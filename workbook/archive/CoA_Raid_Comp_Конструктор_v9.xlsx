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mpa\Downloads\"/>
    </mc:Choice>
  </mc:AlternateContent>
  <xr:revisionPtr revIDLastSave="0" documentId="13_ncr:1_{BA8EC763-0CD1-4AD1-AA92-0BDA070F4E83}" xr6:coauthVersionLast="47" xr6:coauthVersionMax="47" xr10:uidLastSave="{00000000-0000-0000-0000-000000000000}"/>
  <bookViews>
    <workbookView xWindow="-120" yWindow="-120" windowWidth="29040" windowHeight="15840" tabRatio="920" xr2:uid="{00000000-000D-0000-FFFF-FFFF00000000}"/>
  </bookViews>
  <sheets>
    <sheet name="РЕЙД-КОНСТРУКТОР" sheetId="1" r:id="rId1"/>
    <sheet name="СРАВНЕНИЕ СПЕКОВ" sheetId="2" r:id="rId2"/>
    <sheet name="КАТАЛОГ СПЕКОВ" sheetId="3" r:id="rId3"/>
    <sheet name="СПРАВОЧНИК ЭФФЕКТОВ" sheetId="4" r:id="rId4"/>
    <sheet name="ДАННЫЕ_Комбинации" sheetId="5" r:id="rId5"/>
    <sheet name="ДАННЫЕ_Источники" sheetId="6" r:id="rId6"/>
    <sheet name="Справка" sheetId="7" r:id="rId7"/>
    <sheet name="ТЕХ_Списки" sheetId="8" r:id="rId8"/>
    <sheet name="ТЕХ_Расчет" sheetId="9" r:id="rId9"/>
    <sheet name="ЛОГИ_Эффекты" sheetId="10" r:id="rId10"/>
    <sheet name="ЛОГИ_Пакеты" sheetId="11" r:id="rId11"/>
    <sheet name="ЛОГИ_Эксклюзивы" sheetId="12" r:id="rId12"/>
    <sheet name="ЛОГИ_Спеки" sheetId="13" r:id="rId13"/>
    <sheet name="ЛОГИ_Сводка" sheetId="14" r:id="rId14"/>
    <sheet name="ТЕХ_Подсказки" sheetId="15" r:id="rId15"/>
    <sheet name="ЛОГИ_Быстрые" sheetId="16" r:id="rId16"/>
  </sheets>
  <definedNames>
    <definedName name="_xlnm._FilterDatabase" localSheetId="0" hidden="1">'РЕЙД-КОНСТРУКТОР'!$A$34:$H$34</definedName>
    <definedName name="_xlnm._FilterDatabase" localSheetId="14" hidden="1">ТЕХ_Подсказки!$A$1:$BX$71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9" l="1"/>
  <c r="E16" i="1"/>
  <c r="C12" i="9" s="1"/>
  <c r="E17" i="1"/>
  <c r="C13" i="9" s="1"/>
  <c r="E18" i="1"/>
  <c r="C14" i="9" s="1"/>
  <c r="E19" i="1"/>
  <c r="C15" i="9" s="1"/>
  <c r="E20" i="1"/>
  <c r="C16" i="9" s="1"/>
  <c r="E21" i="1"/>
  <c r="C17" i="9" s="1"/>
  <c r="E22" i="1"/>
  <c r="C18" i="9" s="1"/>
  <c r="E23" i="1"/>
  <c r="C19" i="9" s="1"/>
  <c r="E24" i="1"/>
  <c r="C20" i="9" s="1"/>
  <c r="E25" i="1"/>
  <c r="C21" i="9" s="1"/>
  <c r="E26" i="1"/>
  <c r="C22" i="9" s="1"/>
  <c r="E27" i="1"/>
  <c r="C23" i="9" s="1"/>
  <c r="E28" i="1"/>
  <c r="C24" i="9" s="1"/>
  <c r="E29" i="1"/>
  <c r="E30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P26" i="1"/>
  <c r="BW69" i="15"/>
  <c r="BV69" i="15"/>
  <c r="BT69" i="15"/>
  <c r="BW41" i="15"/>
  <c r="BV41" i="15"/>
  <c r="BT41" i="15"/>
  <c r="BW4" i="15"/>
  <c r="BV4" i="15"/>
  <c r="BT4" i="15"/>
  <c r="BW55" i="15"/>
  <c r="BV55" i="15"/>
  <c r="BT55" i="15"/>
  <c r="BW71" i="15"/>
  <c r="BV71" i="15"/>
  <c r="BT71" i="15"/>
  <c r="BW51" i="15"/>
  <c r="BV51" i="15"/>
  <c r="BT51" i="15"/>
  <c r="BW24" i="15"/>
  <c r="BV24" i="15"/>
  <c r="BT24" i="15"/>
  <c r="BW38" i="15"/>
  <c r="BV38" i="15"/>
  <c r="BT38" i="15"/>
  <c r="BW56" i="15"/>
  <c r="BV56" i="15"/>
  <c r="BT56" i="15"/>
  <c r="BW7" i="15"/>
  <c r="BV7" i="15"/>
  <c r="BT7" i="15"/>
  <c r="BW25" i="15"/>
  <c r="BV25" i="15"/>
  <c r="BT25" i="15"/>
  <c r="BW35" i="15"/>
  <c r="BV35" i="15"/>
  <c r="BT35" i="15"/>
  <c r="BW18" i="15"/>
  <c r="BV18" i="15"/>
  <c r="BT18" i="15"/>
  <c r="BW34" i="15"/>
  <c r="BV34" i="15"/>
  <c r="BT34" i="15"/>
  <c r="BW23" i="15"/>
  <c r="BV23" i="15"/>
  <c r="BT23" i="15"/>
  <c r="BW46" i="15"/>
  <c r="BV46" i="15"/>
  <c r="BT46" i="15"/>
  <c r="BW16" i="15"/>
  <c r="BV16" i="15"/>
  <c r="BT16" i="15"/>
  <c r="BW52" i="15"/>
  <c r="BV52" i="15"/>
  <c r="BT52" i="15"/>
  <c r="BW40" i="15"/>
  <c r="BV40" i="15"/>
  <c r="BT40" i="15"/>
  <c r="BW68" i="15"/>
  <c r="BV68" i="15"/>
  <c r="BT68" i="15"/>
  <c r="BW65" i="15"/>
  <c r="BV65" i="15"/>
  <c r="BT65" i="15"/>
  <c r="BW42" i="15"/>
  <c r="BV42" i="15"/>
  <c r="BT42" i="15"/>
  <c r="BW63" i="15"/>
  <c r="BV63" i="15"/>
  <c r="BT63" i="15"/>
  <c r="BW30" i="15"/>
  <c r="BV30" i="15"/>
  <c r="BT30" i="15"/>
  <c r="BW29" i="15"/>
  <c r="BV29" i="15"/>
  <c r="BT29" i="15"/>
  <c r="BW22" i="15"/>
  <c r="BV22" i="15"/>
  <c r="BT22" i="15"/>
  <c r="BW43" i="15"/>
  <c r="BV43" i="15"/>
  <c r="BT43" i="15"/>
  <c r="BW31" i="15"/>
  <c r="BV31" i="15"/>
  <c r="BT31" i="15"/>
  <c r="BW9" i="15"/>
  <c r="BV9" i="15"/>
  <c r="BT9" i="15"/>
  <c r="BW67" i="15"/>
  <c r="BV67" i="15"/>
  <c r="BT67" i="15"/>
  <c r="BW17" i="15"/>
  <c r="BV17" i="15"/>
  <c r="BT17" i="15"/>
  <c r="BW47" i="15"/>
  <c r="BV47" i="15"/>
  <c r="BT47" i="15"/>
  <c r="BW54" i="15"/>
  <c r="BV54" i="15"/>
  <c r="BT54" i="15"/>
  <c r="BW48" i="15"/>
  <c r="BV48" i="15"/>
  <c r="BT48" i="15"/>
  <c r="BW36" i="15"/>
  <c r="BV36" i="15"/>
  <c r="BT36" i="15"/>
  <c r="BW12" i="15"/>
  <c r="BV12" i="15"/>
  <c r="BT12" i="15"/>
  <c r="BW57" i="15"/>
  <c r="BV57" i="15"/>
  <c r="BT57" i="15"/>
  <c r="BW8" i="15"/>
  <c r="BV8" i="15"/>
  <c r="BT8" i="15"/>
  <c r="BW13" i="15"/>
  <c r="BV13" i="15"/>
  <c r="BT13" i="15"/>
  <c r="BW53" i="15"/>
  <c r="BV53" i="15"/>
  <c r="BT53" i="15"/>
  <c r="BW14" i="15"/>
  <c r="BV14" i="15"/>
  <c r="BT14" i="15"/>
  <c r="BW20" i="15"/>
  <c r="BV20" i="15"/>
  <c r="BT20" i="15"/>
  <c r="BW39" i="15"/>
  <c r="BV39" i="15"/>
  <c r="BT39" i="15"/>
  <c r="BW32" i="15"/>
  <c r="BV32" i="15"/>
  <c r="BT32" i="15"/>
  <c r="BW66" i="15"/>
  <c r="BV66" i="15"/>
  <c r="BT66" i="15"/>
  <c r="BS1" i="15"/>
  <c r="BR1" i="15"/>
  <c r="BQ1" i="15"/>
  <c r="BP1" i="15"/>
  <c r="BO1" i="15"/>
  <c r="BN1" i="15"/>
  <c r="BM1" i="15"/>
  <c r="BL1" i="15"/>
  <c r="BK1" i="15"/>
  <c r="BJ1" i="15"/>
  <c r="BI1" i="15"/>
  <c r="BH1" i="15"/>
  <c r="BG1" i="15"/>
  <c r="BF1" i="15"/>
  <c r="BE1" i="15"/>
  <c r="BD1" i="15"/>
  <c r="BC1" i="15"/>
  <c r="BB1" i="15"/>
  <c r="BA1" i="15"/>
  <c r="AZ1" i="15"/>
  <c r="AY1" i="15"/>
  <c r="AX1" i="15"/>
  <c r="AW1" i="15"/>
  <c r="AV1" i="15"/>
  <c r="AU1" i="15"/>
  <c r="AT1" i="15"/>
  <c r="AS1" i="15"/>
  <c r="AR1" i="15"/>
  <c r="AQ1" i="15"/>
  <c r="AP1" i="15"/>
  <c r="AO1" i="15"/>
  <c r="AN1" i="15"/>
  <c r="AM1" i="15"/>
  <c r="AL1" i="15"/>
  <c r="AK1" i="15"/>
  <c r="AJ1" i="15"/>
  <c r="AI1" i="15"/>
  <c r="AH1" i="15"/>
  <c r="AG1" i="15"/>
  <c r="AF1" i="15"/>
  <c r="AE1" i="15"/>
  <c r="AD1" i="15"/>
  <c r="AC1" i="15"/>
  <c r="AB1" i="15"/>
  <c r="AA1" i="15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A26" i="9"/>
  <c r="AR26" i="9" s="1"/>
  <c r="A25" i="9"/>
  <c r="AD25" i="9" s="1"/>
  <c r="A24" i="9"/>
  <c r="AC24" i="9" s="1"/>
  <c r="A23" i="9"/>
  <c r="AC23" i="9" s="1"/>
  <c r="A22" i="9"/>
  <c r="AP22" i="9" s="1"/>
  <c r="A21" i="9"/>
  <c r="AP21" i="9" s="1"/>
  <c r="A20" i="9"/>
  <c r="AI20" i="9" s="1"/>
  <c r="A19" i="9"/>
  <c r="AP19" i="9" s="1"/>
  <c r="A18" i="9"/>
  <c r="AQ18" i="9" s="1"/>
  <c r="A17" i="9"/>
  <c r="AP17" i="9" s="1"/>
  <c r="A16" i="9"/>
  <c r="AI16" i="9" s="1"/>
  <c r="A15" i="9"/>
  <c r="Z15" i="9" s="1"/>
  <c r="A14" i="9"/>
  <c r="AA14" i="9" s="1"/>
  <c r="A13" i="9"/>
  <c r="AM13" i="9" s="1"/>
  <c r="A12" i="9"/>
  <c r="AR12" i="9" s="1"/>
  <c r="A10" i="9"/>
  <c r="AA10" i="9" s="1"/>
  <c r="A9" i="9"/>
  <c r="AH9" i="9" s="1"/>
  <c r="A8" i="9"/>
  <c r="Z8" i="9" s="1"/>
  <c r="A7" i="9"/>
  <c r="AF7" i="9" s="1"/>
  <c r="A6" i="9"/>
  <c r="AT6" i="9" s="1"/>
  <c r="A5" i="9"/>
  <c r="AT5" i="9" s="1"/>
  <c r="A4" i="9"/>
  <c r="A3" i="9"/>
  <c r="AN3" i="9" s="1"/>
  <c r="A2" i="9"/>
  <c r="AP2" i="9" s="1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F7" i="2"/>
  <c r="B7" i="2"/>
  <c r="N52" i="1"/>
  <c r="M50" i="1"/>
  <c r="BU69" i="15" s="1"/>
  <c r="M49" i="1"/>
  <c r="BU41" i="15" s="1"/>
  <c r="M48" i="1"/>
  <c r="BU4" i="15" s="1"/>
  <c r="M47" i="1"/>
  <c r="BU55" i="15" s="1"/>
  <c r="M46" i="1"/>
  <c r="BU71" i="15" s="1"/>
  <c r="M45" i="1"/>
  <c r="N45" i="1" s="1"/>
  <c r="M44" i="1"/>
  <c r="M43" i="1"/>
  <c r="BU38" i="15" s="1"/>
  <c r="M42" i="1"/>
  <c r="BU56" i="15" s="1"/>
  <c r="M41" i="1"/>
  <c r="BU7" i="15" s="1"/>
  <c r="M40" i="1"/>
  <c r="BU25" i="15" s="1"/>
  <c r="M39" i="1"/>
  <c r="BU35" i="15" s="1"/>
  <c r="M38" i="1"/>
  <c r="BU18" i="15" s="1"/>
  <c r="M37" i="1"/>
  <c r="M36" i="1"/>
  <c r="BU23" i="15" s="1"/>
  <c r="M35" i="1"/>
  <c r="BU46" i="15" s="1"/>
  <c r="M34" i="1"/>
  <c r="BU16" i="15" s="1"/>
  <c r="M33" i="1"/>
  <c r="BU52" i="15" s="1"/>
  <c r="P32" i="1"/>
  <c r="M32" i="1"/>
  <c r="BU40" i="15" s="1"/>
  <c r="P31" i="1"/>
  <c r="M31" i="1"/>
  <c r="BU68" i="15" s="1"/>
  <c r="P30" i="1"/>
  <c r="M30" i="1"/>
  <c r="BU65" i="15" s="1"/>
  <c r="H30" i="1"/>
  <c r="C26" i="9"/>
  <c r="M29" i="1"/>
  <c r="BU42" i="15" s="1"/>
  <c r="H29" i="1"/>
  <c r="C25" i="9"/>
  <c r="M28" i="1"/>
  <c r="BU63" i="15" s="1"/>
  <c r="H28" i="1"/>
  <c r="M27" i="1"/>
  <c r="BU30" i="15" s="1"/>
  <c r="H27" i="1"/>
  <c r="M26" i="1"/>
  <c r="BU29" i="15" s="1"/>
  <c r="H26" i="1"/>
  <c r="M25" i="1"/>
  <c r="BU22" i="15" s="1"/>
  <c r="H25" i="1"/>
  <c r="M24" i="1"/>
  <c r="BU43" i="15" s="1"/>
  <c r="H24" i="1"/>
  <c r="M23" i="1"/>
  <c r="BU31" i="15" s="1"/>
  <c r="H23" i="1"/>
  <c r="M22" i="1"/>
  <c r="BU9" i="15" s="1"/>
  <c r="H22" i="1"/>
  <c r="M21" i="1"/>
  <c r="BU67" i="15" s="1"/>
  <c r="H21" i="1"/>
  <c r="M20" i="1"/>
  <c r="BU17" i="15" s="1"/>
  <c r="H20" i="1"/>
  <c r="M19" i="1"/>
  <c r="BU47" i="15" s="1"/>
  <c r="H19" i="1"/>
  <c r="M18" i="1"/>
  <c r="BU54" i="15" s="1"/>
  <c r="H18" i="1"/>
  <c r="M17" i="1"/>
  <c r="BU48" i="15" s="1"/>
  <c r="H17" i="1"/>
  <c r="M16" i="1"/>
  <c r="BU36" i="15" s="1"/>
  <c r="H16" i="1"/>
  <c r="M15" i="1"/>
  <c r="BU12" i="15" s="1"/>
  <c r="M14" i="1"/>
  <c r="BU57" i="15" s="1"/>
  <c r="H14" i="1"/>
  <c r="C10" i="9"/>
  <c r="M13" i="1"/>
  <c r="BU8" i="15" s="1"/>
  <c r="H13" i="1"/>
  <c r="C9" i="9"/>
  <c r="M12" i="1"/>
  <c r="BU13" i="15" s="1"/>
  <c r="H12" i="1"/>
  <c r="C8" i="9"/>
  <c r="M11" i="1"/>
  <c r="BU53" i="15" s="1"/>
  <c r="H11" i="1"/>
  <c r="M10" i="1"/>
  <c r="BU14" i="15" s="1"/>
  <c r="H10" i="1"/>
  <c r="C6" i="9"/>
  <c r="M9" i="1"/>
  <c r="BU20" i="15" s="1"/>
  <c r="H9" i="1"/>
  <c r="C5" i="9"/>
  <c r="M8" i="1"/>
  <c r="BU39" i="15" s="1"/>
  <c r="H8" i="1"/>
  <c r="C4" i="9"/>
  <c r="M7" i="1"/>
  <c r="BU32" i="15" s="1"/>
  <c r="H7" i="1"/>
  <c r="C3" i="9"/>
  <c r="M6" i="1"/>
  <c r="BU66" i="15" s="1"/>
  <c r="H6" i="1"/>
  <c r="C2" i="9"/>
  <c r="V3" i="1"/>
  <c r="F10" i="2" l="1"/>
  <c r="B10" i="2"/>
  <c r="F25" i="2"/>
  <c r="F33" i="2"/>
  <c r="F40" i="2"/>
  <c r="S3" i="9"/>
  <c r="G15" i="9"/>
  <c r="F21" i="2"/>
  <c r="N15" i="9"/>
  <c r="R15" i="9"/>
  <c r="S15" i="9"/>
  <c r="I3" i="9"/>
  <c r="P33" i="1"/>
  <c r="Y15" i="9"/>
  <c r="F26" i="9"/>
  <c r="AG15" i="9"/>
  <c r="G26" i="9"/>
  <c r="E20" i="9"/>
  <c r="AL15" i="9"/>
  <c r="N27" i="1"/>
  <c r="Y45" i="9" s="1"/>
  <c r="I10" i="9"/>
  <c r="E15" i="9"/>
  <c r="N17" i="9"/>
  <c r="H3" i="9"/>
  <c r="E12" i="9"/>
  <c r="F38" i="2"/>
  <c r="O3" i="9"/>
  <c r="AC3" i="9"/>
  <c r="N12" i="9"/>
  <c r="P16" i="9"/>
  <c r="AK3" i="9"/>
  <c r="AM12" i="9"/>
  <c r="D26" i="9"/>
  <c r="N34" i="1"/>
  <c r="AF45" i="9" s="1"/>
  <c r="K5" i="9"/>
  <c r="U14" i="9"/>
  <c r="T26" i="9"/>
  <c r="Y19" i="9"/>
  <c r="AE26" i="9"/>
  <c r="N7" i="1"/>
  <c r="E45" i="9" s="1"/>
  <c r="F50" i="2"/>
  <c r="F58" i="2"/>
  <c r="N38" i="1"/>
  <c r="AJ45" i="9" s="1"/>
  <c r="F35" i="2"/>
  <c r="D2" i="9"/>
  <c r="N8" i="9"/>
  <c r="L15" i="9"/>
  <c r="AG20" i="9"/>
  <c r="AG2" i="9"/>
  <c r="AO8" i="9"/>
  <c r="F44" i="2"/>
  <c r="AT2" i="9"/>
  <c r="T23" i="9"/>
  <c r="N40" i="1"/>
  <c r="AL45" i="9" s="1"/>
  <c r="O22" i="9"/>
  <c r="F24" i="2"/>
  <c r="F32" i="2"/>
  <c r="Q3" i="9"/>
  <c r="AE7" i="9"/>
  <c r="AD12" i="9"/>
  <c r="AA15" i="9"/>
  <c r="R20" i="9"/>
  <c r="M26" i="9"/>
  <c r="N9" i="1"/>
  <c r="G45" i="9" s="1"/>
  <c r="X3" i="9"/>
  <c r="AL7" i="9"/>
  <c r="AT12" i="9"/>
  <c r="AM20" i="9"/>
  <c r="AB3" i="9"/>
  <c r="AR15" i="9"/>
  <c r="AV20" i="9"/>
  <c r="AP26" i="9"/>
  <c r="AQ26" i="9"/>
  <c r="AG3" i="9"/>
  <c r="G14" i="9"/>
  <c r="I16" i="9"/>
  <c r="AU26" i="9"/>
  <c r="AO3" i="9"/>
  <c r="J9" i="9"/>
  <c r="AQ14" i="9"/>
  <c r="Q16" i="9"/>
  <c r="AK7" i="9"/>
  <c r="F20" i="2"/>
  <c r="AR9" i="9"/>
  <c r="M23" i="9"/>
  <c r="F7" i="9"/>
  <c r="N19" i="1"/>
  <c r="Q45" i="9" s="1"/>
  <c r="AU5" i="9"/>
  <c r="U18" i="9"/>
  <c r="F22" i="2"/>
  <c r="F30" i="2"/>
  <c r="F46" i="2"/>
  <c r="F54" i="2"/>
  <c r="J3" i="9"/>
  <c r="E7" i="9"/>
  <c r="L12" i="9"/>
  <c r="F34" i="2"/>
  <c r="I7" i="9"/>
  <c r="AP7" i="9"/>
  <c r="N9" i="9"/>
  <c r="S16" i="9"/>
  <c r="Z17" i="9"/>
  <c r="K26" i="9"/>
  <c r="AV26" i="9"/>
  <c r="J7" i="9"/>
  <c r="AR7" i="9"/>
  <c r="P9" i="9"/>
  <c r="U16" i="9"/>
  <c r="AA17" i="9"/>
  <c r="F42" i="2"/>
  <c r="L7" i="9"/>
  <c r="AU7" i="9"/>
  <c r="R9" i="9"/>
  <c r="Z16" i="9"/>
  <c r="AG17" i="9"/>
  <c r="F20" i="9"/>
  <c r="N26" i="9"/>
  <c r="O17" i="9"/>
  <c r="N8" i="1"/>
  <c r="F45" i="9" s="1"/>
  <c r="N41" i="1"/>
  <c r="AM45" i="9" s="1"/>
  <c r="F28" i="2"/>
  <c r="F36" i="2"/>
  <c r="F43" i="2"/>
  <c r="AJ3" i="9"/>
  <c r="N7" i="9"/>
  <c r="AV7" i="9"/>
  <c r="S9" i="9"/>
  <c r="B14" i="9"/>
  <c r="AF15" i="9"/>
  <c r="AA16" i="9"/>
  <c r="AI17" i="9"/>
  <c r="K20" i="9"/>
  <c r="D23" i="9"/>
  <c r="Q26" i="9"/>
  <c r="L9" i="9"/>
  <c r="F59" i="2"/>
  <c r="O7" i="9"/>
  <c r="Z9" i="9"/>
  <c r="AE16" i="9"/>
  <c r="AO17" i="9"/>
  <c r="N20" i="9"/>
  <c r="S26" i="9"/>
  <c r="E21" i="9"/>
  <c r="Q7" i="9"/>
  <c r="AA9" i="9"/>
  <c r="AH16" i="9"/>
  <c r="AU17" i="9"/>
  <c r="F29" i="2"/>
  <c r="R7" i="9"/>
  <c r="O8" i="9"/>
  <c r="AD9" i="9"/>
  <c r="W14" i="9"/>
  <c r="AK16" i="9"/>
  <c r="S20" i="9"/>
  <c r="W23" i="9"/>
  <c r="AA26" i="9"/>
  <c r="AE19" i="9"/>
  <c r="V7" i="9"/>
  <c r="V8" i="9"/>
  <c r="AG9" i="9"/>
  <c r="AG14" i="9"/>
  <c r="AT15" i="9"/>
  <c r="AL16" i="9"/>
  <c r="I18" i="9"/>
  <c r="U20" i="9"/>
  <c r="AG23" i="9"/>
  <c r="AB26" i="9"/>
  <c r="F18" i="2"/>
  <c r="F15" i="2"/>
  <c r="B3" i="9"/>
  <c r="J5" i="9"/>
  <c r="Y7" i="9"/>
  <c r="AM8" i="9"/>
  <c r="AI9" i="9"/>
  <c r="AI14" i="9"/>
  <c r="AU15" i="9"/>
  <c r="AO16" i="9"/>
  <c r="S18" i="9"/>
  <c r="AA20" i="9"/>
  <c r="AQ23" i="9"/>
  <c r="AC26" i="9"/>
  <c r="AA7" i="9"/>
  <c r="AK9" i="9"/>
  <c r="AP16" i="9"/>
  <c r="N25" i="1"/>
  <c r="W45" i="9" s="1"/>
  <c r="AD7" i="9"/>
  <c r="AV8" i="9"/>
  <c r="AM9" i="9"/>
  <c r="F16" i="9"/>
  <c r="AU16" i="9"/>
  <c r="V18" i="9"/>
  <c r="AH20" i="9"/>
  <c r="AG26" i="9"/>
  <c r="AI26" i="9"/>
  <c r="AI6" i="9"/>
  <c r="AG7" i="9"/>
  <c r="F9" i="9"/>
  <c r="AT9" i="9"/>
  <c r="J16" i="9"/>
  <c r="E17" i="9"/>
  <c r="I19" i="9"/>
  <c r="AO20" i="9"/>
  <c r="AM26" i="9"/>
  <c r="F48" i="2"/>
  <c r="AH7" i="9"/>
  <c r="G9" i="9"/>
  <c r="N16" i="9"/>
  <c r="K17" i="9"/>
  <c r="Q19" i="9"/>
  <c r="N24" i="1"/>
  <c r="V45" i="9" s="1"/>
  <c r="AM6" i="9"/>
  <c r="N39" i="1"/>
  <c r="AK45" i="9" s="1"/>
  <c r="F17" i="2"/>
  <c r="F47" i="2"/>
  <c r="AU2" i="9"/>
  <c r="AD3" i="9"/>
  <c r="N5" i="9"/>
  <c r="B6" i="9"/>
  <c r="AR6" i="9"/>
  <c r="W7" i="9"/>
  <c r="Q9" i="9"/>
  <c r="AU9" i="9"/>
  <c r="R12" i="9"/>
  <c r="B13" i="9"/>
  <c r="AK13" i="9"/>
  <c r="AT14" i="9"/>
  <c r="AH15" i="9"/>
  <c r="R16" i="9"/>
  <c r="AV16" i="9"/>
  <c r="AV17" i="9"/>
  <c r="AI19" i="9"/>
  <c r="Y20" i="9"/>
  <c r="F21" i="9"/>
  <c r="S22" i="9"/>
  <c r="K25" i="9"/>
  <c r="Z26" i="9"/>
  <c r="F55" i="2"/>
  <c r="AE3" i="9"/>
  <c r="R5" i="9"/>
  <c r="E6" i="9"/>
  <c r="AS6" i="9"/>
  <c r="S12" i="9"/>
  <c r="E13" i="9"/>
  <c r="AP13" i="9"/>
  <c r="AK15" i="9"/>
  <c r="AK19" i="9"/>
  <c r="Z20" i="9"/>
  <c r="K21" i="9"/>
  <c r="U22" i="9"/>
  <c r="L25" i="9"/>
  <c r="AI13" i="9"/>
  <c r="S5" i="9"/>
  <c r="G6" i="9"/>
  <c r="AU6" i="9"/>
  <c r="U12" i="9"/>
  <c r="J13" i="9"/>
  <c r="AQ13" i="9"/>
  <c r="AL19" i="9"/>
  <c r="N21" i="9"/>
  <c r="AO22" i="9"/>
  <c r="AJ25" i="9"/>
  <c r="N28" i="1"/>
  <c r="Z45" i="9" s="1"/>
  <c r="N32" i="1"/>
  <c r="AD45" i="9" s="1"/>
  <c r="F19" i="2"/>
  <c r="F26" i="2"/>
  <c r="F41" i="2"/>
  <c r="F56" i="2"/>
  <c r="E3" i="9"/>
  <c r="AH3" i="9"/>
  <c r="U5" i="9"/>
  <c r="J6" i="9"/>
  <c r="AB7" i="9"/>
  <c r="Y9" i="9"/>
  <c r="AL10" i="9"/>
  <c r="W12" i="9"/>
  <c r="K13" i="9"/>
  <c r="AR13" i="9"/>
  <c r="F15" i="9"/>
  <c r="AM15" i="9"/>
  <c r="Y16" i="9"/>
  <c r="F17" i="9"/>
  <c r="O18" i="9"/>
  <c r="AU19" i="9"/>
  <c r="AE20" i="9"/>
  <c r="O21" i="9"/>
  <c r="AM25" i="9"/>
  <c r="F27" i="2"/>
  <c r="F49" i="2"/>
  <c r="V5" i="9"/>
  <c r="K6" i="9"/>
  <c r="Y12" i="9"/>
  <c r="L13" i="9"/>
  <c r="AF20" i="9"/>
  <c r="S21" i="9"/>
  <c r="AD26" i="9"/>
  <c r="F57" i="2"/>
  <c r="AA5" i="9"/>
  <c r="O6" i="9"/>
  <c r="Z12" i="9"/>
  <c r="O13" i="9"/>
  <c r="Y21" i="9"/>
  <c r="AC5" i="9"/>
  <c r="P13" i="9"/>
  <c r="Z21" i="9"/>
  <c r="N18" i="1"/>
  <c r="P45" i="9" s="1"/>
  <c r="L3" i="9"/>
  <c r="AP3" i="9"/>
  <c r="AE5" i="9"/>
  <c r="U6" i="9"/>
  <c r="AE9" i="9"/>
  <c r="AE12" i="9"/>
  <c r="Q13" i="9"/>
  <c r="I14" i="9"/>
  <c r="O15" i="9"/>
  <c r="AF16" i="9"/>
  <c r="S17" i="9"/>
  <c r="AI18" i="9"/>
  <c r="I20" i="9"/>
  <c r="AK20" i="9"/>
  <c r="AA21" i="9"/>
  <c r="S6" i="9"/>
  <c r="N11" i="1"/>
  <c r="I45" i="9" s="1"/>
  <c r="M3" i="9"/>
  <c r="AS3" i="9"/>
  <c r="AG5" i="9"/>
  <c r="V6" i="9"/>
  <c r="K7" i="9"/>
  <c r="AI7" i="9"/>
  <c r="E9" i="9"/>
  <c r="AF9" i="9"/>
  <c r="AG12" i="9"/>
  <c r="V13" i="9"/>
  <c r="O14" i="9"/>
  <c r="Q15" i="9"/>
  <c r="E16" i="9"/>
  <c r="AG16" i="9"/>
  <c r="Y17" i="9"/>
  <c r="J20" i="9"/>
  <c r="AL20" i="9"/>
  <c r="AG21" i="9"/>
  <c r="V23" i="9"/>
  <c r="J26" i="9"/>
  <c r="AJ26" i="9"/>
  <c r="F37" i="2"/>
  <c r="F51" i="2"/>
  <c r="AH5" i="9"/>
  <c r="W6" i="9"/>
  <c r="AL12" i="9"/>
  <c r="W13" i="9"/>
  <c r="AH21" i="9"/>
  <c r="AL5" i="9"/>
  <c r="AA6" i="9"/>
  <c r="Y13" i="9"/>
  <c r="AI21" i="9"/>
  <c r="L2" i="9"/>
  <c r="B5" i="9"/>
  <c r="AP5" i="9"/>
  <c r="AC6" i="9"/>
  <c r="F12" i="9"/>
  <c r="AO12" i="9"/>
  <c r="AD13" i="9"/>
  <c r="Z14" i="9"/>
  <c r="O19" i="9"/>
  <c r="P20" i="9"/>
  <c r="AP20" i="9"/>
  <c r="AO21" i="9"/>
  <c r="N49" i="1"/>
  <c r="AU45" i="9" s="1"/>
  <c r="N12" i="1"/>
  <c r="J45" i="9" s="1"/>
  <c r="N30" i="1"/>
  <c r="AB45" i="9" s="1"/>
  <c r="N47" i="1"/>
  <c r="AS45" i="9" s="1"/>
  <c r="F23" i="2"/>
  <c r="F45" i="2"/>
  <c r="F52" i="2"/>
  <c r="Y2" i="9"/>
  <c r="T3" i="9"/>
  <c r="D5" i="9"/>
  <c r="AS5" i="9"/>
  <c r="AD6" i="9"/>
  <c r="P7" i="9"/>
  <c r="AQ7" i="9"/>
  <c r="K9" i="9"/>
  <c r="AL9" i="9"/>
  <c r="J12" i="9"/>
  <c r="AQ12" i="9"/>
  <c r="AE13" i="9"/>
  <c r="AB14" i="9"/>
  <c r="K16" i="9"/>
  <c r="AM16" i="9"/>
  <c r="AH17" i="9"/>
  <c r="P19" i="9"/>
  <c r="Q20" i="9"/>
  <c r="AU20" i="9"/>
  <c r="AU21" i="9"/>
  <c r="AU23" i="9"/>
  <c r="O26" i="9"/>
  <c r="AT26" i="9"/>
  <c r="F16" i="2"/>
  <c r="F31" i="2"/>
  <c r="F53" i="2"/>
  <c r="Z2" i="9"/>
  <c r="E5" i="9"/>
  <c r="AH6" i="9"/>
  <c r="K12" i="9"/>
  <c r="AF13" i="9"/>
  <c r="AV21" i="9"/>
  <c r="AH13" i="9"/>
  <c r="N22" i="1"/>
  <c r="N26" i="1"/>
  <c r="G15" i="2"/>
  <c r="G23" i="2"/>
  <c r="G31" i="2"/>
  <c r="G42" i="2"/>
  <c r="G45" i="2"/>
  <c r="G48" i="2"/>
  <c r="G51" i="2"/>
  <c r="AQ4" i="9"/>
  <c r="AA4" i="9"/>
  <c r="K4" i="9"/>
  <c r="AM4" i="9"/>
  <c r="W4" i="9"/>
  <c r="G4" i="9"/>
  <c r="AL4" i="9"/>
  <c r="V4" i="9"/>
  <c r="F4" i="9"/>
  <c r="AV4" i="9"/>
  <c r="AF4" i="9"/>
  <c r="P4" i="9"/>
  <c r="U4" i="9"/>
  <c r="AR4" i="9"/>
  <c r="N36" i="1"/>
  <c r="N46" i="1"/>
  <c r="N50" i="1"/>
  <c r="M2" i="9"/>
  <c r="AH2" i="9"/>
  <c r="B4" i="9"/>
  <c r="X4" i="9"/>
  <c r="AS4" i="9"/>
  <c r="Y8" i="9"/>
  <c r="J10" i="9"/>
  <c r="AO10" i="9"/>
  <c r="G18" i="2"/>
  <c r="G26" i="2"/>
  <c r="G34" i="2"/>
  <c r="G55" i="2"/>
  <c r="N2" i="9"/>
  <c r="AI2" i="9"/>
  <c r="Y4" i="9"/>
  <c r="AT4" i="9"/>
  <c r="K10" i="9"/>
  <c r="AP10" i="9"/>
  <c r="N14" i="9"/>
  <c r="AU14" i="9"/>
  <c r="N14" i="1"/>
  <c r="N42" i="1"/>
  <c r="G37" i="2"/>
  <c r="G58" i="2"/>
  <c r="O2" i="9"/>
  <c r="AJ2" i="9"/>
  <c r="D4" i="9"/>
  <c r="Z4" i="9"/>
  <c r="AU4" i="9"/>
  <c r="AS8" i="9"/>
  <c r="AC8" i="9"/>
  <c r="M8" i="9"/>
  <c r="AN8" i="9"/>
  <c r="X8" i="9"/>
  <c r="H8" i="9"/>
  <c r="AJ8" i="9"/>
  <c r="T8" i="9"/>
  <c r="D8" i="9"/>
  <c r="AK8" i="9"/>
  <c r="Q8" i="9"/>
  <c r="AF8" i="9"/>
  <c r="L8" i="9"/>
  <c r="AE8" i="9"/>
  <c r="K8" i="9"/>
  <c r="AQ8" i="9"/>
  <c r="W8" i="9"/>
  <c r="AA8" i="9"/>
  <c r="P10" i="9"/>
  <c r="AQ10" i="9"/>
  <c r="AV14" i="9"/>
  <c r="N6" i="1"/>
  <c r="N16" i="1"/>
  <c r="N33" i="1"/>
  <c r="G21" i="2"/>
  <c r="G29" i="2"/>
  <c r="G40" i="2"/>
  <c r="Q2" i="9"/>
  <c r="AK2" i="9"/>
  <c r="E4" i="9"/>
  <c r="AB4" i="9"/>
  <c r="AN5" i="9"/>
  <c r="X5" i="9"/>
  <c r="H5" i="9"/>
  <c r="AJ5" i="9"/>
  <c r="T5" i="9"/>
  <c r="AV5" i="9"/>
  <c r="AD5" i="9"/>
  <c r="L5" i="9"/>
  <c r="AR5" i="9"/>
  <c r="Z5" i="9"/>
  <c r="G5" i="9"/>
  <c r="AQ5" i="9"/>
  <c r="Y5" i="9"/>
  <c r="F5" i="9"/>
  <c r="AI5" i="9"/>
  <c r="Q5" i="9"/>
  <c r="W5" i="9"/>
  <c r="AN6" i="9"/>
  <c r="X6" i="9"/>
  <c r="H6" i="9"/>
  <c r="AJ6" i="9"/>
  <c r="T6" i="9"/>
  <c r="D6" i="9"/>
  <c r="AK6" i="9"/>
  <c r="R6" i="9"/>
  <c r="AF6" i="9"/>
  <c r="N6" i="9"/>
  <c r="AE6" i="9"/>
  <c r="M6" i="9"/>
  <c r="AQ6" i="9"/>
  <c r="Y6" i="9"/>
  <c r="F6" i="9"/>
  <c r="Z6" i="9"/>
  <c r="AV6" i="9"/>
  <c r="B8" i="9"/>
  <c r="AB8" i="9"/>
  <c r="Q10" i="9"/>
  <c r="AU10" i="9"/>
  <c r="P14" i="9"/>
  <c r="G49" i="2"/>
  <c r="G52" i="2"/>
  <c r="R2" i="9"/>
  <c r="AN2" i="9"/>
  <c r="H4" i="9"/>
  <c r="AC4" i="9"/>
  <c r="E8" i="9"/>
  <c r="AD8" i="9"/>
  <c r="R10" i="9"/>
  <c r="AV10" i="9"/>
  <c r="N10" i="1"/>
  <c r="N21" i="1"/>
  <c r="N29" i="1"/>
  <c r="N31" i="1"/>
  <c r="N35" i="1"/>
  <c r="G16" i="2"/>
  <c r="G24" i="2"/>
  <c r="G32" i="2"/>
  <c r="G43" i="2"/>
  <c r="H49" i="2"/>
  <c r="S2" i="9"/>
  <c r="AO2" i="9"/>
  <c r="N3" i="9"/>
  <c r="AI3" i="9"/>
  <c r="I4" i="9"/>
  <c r="AD4" i="9"/>
  <c r="AB5" i="9"/>
  <c r="AB6" i="9"/>
  <c r="F8" i="9"/>
  <c r="AG8" i="9"/>
  <c r="U10" i="9"/>
  <c r="V14" i="9"/>
  <c r="AS18" i="9"/>
  <c r="AC18" i="9"/>
  <c r="M18" i="9"/>
  <c r="AR18" i="9"/>
  <c r="AB18" i="9"/>
  <c r="L18" i="9"/>
  <c r="AN18" i="9"/>
  <c r="X18" i="9"/>
  <c r="H18" i="9"/>
  <c r="AJ18" i="9"/>
  <c r="T18" i="9"/>
  <c r="D18" i="9"/>
  <c r="AM18" i="9"/>
  <c r="R18" i="9"/>
  <c r="AL18" i="9"/>
  <c r="Q18" i="9"/>
  <c r="AK18" i="9"/>
  <c r="P18" i="9"/>
  <c r="AH18" i="9"/>
  <c r="N18" i="9"/>
  <c r="AG18" i="9"/>
  <c r="K18" i="9"/>
  <c r="AF18" i="9"/>
  <c r="J18" i="9"/>
  <c r="AD18" i="9"/>
  <c r="G18" i="9"/>
  <c r="AA18" i="9"/>
  <c r="F18" i="9"/>
  <c r="AV18" i="9"/>
  <c r="Z18" i="9"/>
  <c r="E18" i="9"/>
  <c r="AU18" i="9"/>
  <c r="Y18" i="9"/>
  <c r="AT18" i="9"/>
  <c r="W18" i="9"/>
  <c r="B18" i="9"/>
  <c r="T2" i="9"/>
  <c r="J4" i="9"/>
  <c r="AE4" i="9"/>
  <c r="G8" i="9"/>
  <c r="AH8" i="9"/>
  <c r="V10" i="9"/>
  <c r="BU24" i="15"/>
  <c r="G53" i="2"/>
  <c r="G19" i="2"/>
  <c r="G27" i="2"/>
  <c r="G35" i="2"/>
  <c r="G56" i="2"/>
  <c r="G59" i="2"/>
  <c r="AQ2" i="9"/>
  <c r="AA2" i="9"/>
  <c r="K2" i="9"/>
  <c r="AM2" i="9"/>
  <c r="W2" i="9"/>
  <c r="G2" i="9"/>
  <c r="AL2" i="9"/>
  <c r="V2" i="9"/>
  <c r="F2" i="9"/>
  <c r="AV2" i="9"/>
  <c r="AF2" i="9"/>
  <c r="P2" i="9"/>
  <c r="U2" i="9"/>
  <c r="AR2" i="9"/>
  <c r="L4" i="9"/>
  <c r="AG4" i="9"/>
  <c r="I8" i="9"/>
  <c r="AI8" i="9"/>
  <c r="W10" i="9"/>
  <c r="N44" i="1"/>
  <c r="N48" i="1"/>
  <c r="G38" i="2"/>
  <c r="B2" i="9"/>
  <c r="X2" i="9"/>
  <c r="AS2" i="9"/>
  <c r="R3" i="9"/>
  <c r="M4" i="9"/>
  <c r="AH4" i="9"/>
  <c r="I5" i="9"/>
  <c r="AF5" i="9"/>
  <c r="I6" i="9"/>
  <c r="AG6" i="9"/>
  <c r="J8" i="9"/>
  <c r="AL8" i="9"/>
  <c r="Y10" i="9"/>
  <c r="N15" i="1"/>
  <c r="N23" i="1"/>
  <c r="G22" i="2"/>
  <c r="G30" i="2"/>
  <c r="G41" i="2"/>
  <c r="G47" i="2"/>
  <c r="N4" i="9"/>
  <c r="AI4" i="9"/>
  <c r="BU34" i="15"/>
  <c r="G46" i="2"/>
  <c r="H41" i="2"/>
  <c r="G44" i="2"/>
  <c r="G50" i="2"/>
  <c r="O4" i="9"/>
  <c r="AJ4" i="9"/>
  <c r="AS10" i="9"/>
  <c r="AC10" i="9"/>
  <c r="M10" i="9"/>
  <c r="AN10" i="9"/>
  <c r="X10" i="9"/>
  <c r="H10" i="9"/>
  <c r="AJ10" i="9"/>
  <c r="T10" i="9"/>
  <c r="D10" i="9"/>
  <c r="AM10" i="9"/>
  <c r="S10" i="9"/>
  <c r="AH10" i="9"/>
  <c r="O10" i="9"/>
  <c r="AG10" i="9"/>
  <c r="N10" i="9"/>
  <c r="AF10" i="9"/>
  <c r="L10" i="9"/>
  <c r="AT10" i="9"/>
  <c r="Z10" i="9"/>
  <c r="F10" i="9"/>
  <c r="AR10" i="9"/>
  <c r="AB10" i="9"/>
  <c r="N13" i="1"/>
  <c r="N20" i="1"/>
  <c r="N37" i="1"/>
  <c r="BU51" i="15"/>
  <c r="G54" i="2"/>
  <c r="G17" i="2"/>
  <c r="G25" i="2"/>
  <c r="G33" i="2"/>
  <c r="F39" i="2"/>
  <c r="E2" i="9"/>
  <c r="AB2" i="9"/>
  <c r="AQ3" i="9"/>
  <c r="AA3" i="9"/>
  <c r="K3" i="9"/>
  <c r="AM3" i="9"/>
  <c r="W3" i="9"/>
  <c r="G3" i="9"/>
  <c r="AL3" i="9"/>
  <c r="V3" i="9"/>
  <c r="F3" i="9"/>
  <c r="AV3" i="9"/>
  <c r="AF3" i="9"/>
  <c r="P3" i="9"/>
  <c r="U3" i="9"/>
  <c r="AR3" i="9"/>
  <c r="Q4" i="9"/>
  <c r="AK4" i="9"/>
  <c r="M5" i="9"/>
  <c r="AK5" i="9"/>
  <c r="L6" i="9"/>
  <c r="AL6" i="9"/>
  <c r="P8" i="9"/>
  <c r="AP8" i="9"/>
  <c r="B10" i="9"/>
  <c r="AD10" i="9"/>
  <c r="AS14" i="9"/>
  <c r="AC14" i="9"/>
  <c r="M14" i="9"/>
  <c r="AN14" i="9"/>
  <c r="X14" i="9"/>
  <c r="H14" i="9"/>
  <c r="AJ14" i="9"/>
  <c r="T14" i="9"/>
  <c r="D14" i="9"/>
  <c r="AR14" i="9"/>
  <c r="Y14" i="9"/>
  <c r="E14" i="9"/>
  <c r="AM14" i="9"/>
  <c r="S14" i="9"/>
  <c r="AL14" i="9"/>
  <c r="R14" i="9"/>
  <c r="AK14" i="9"/>
  <c r="Q14" i="9"/>
  <c r="AF14" i="9"/>
  <c r="L14" i="9"/>
  <c r="AE14" i="9"/>
  <c r="K14" i="9"/>
  <c r="AD14" i="9"/>
  <c r="J14" i="9"/>
  <c r="AH14" i="9"/>
  <c r="AE18" i="9"/>
  <c r="AQ45" i="9"/>
  <c r="H54" i="2"/>
  <c r="G57" i="2"/>
  <c r="H2" i="9"/>
  <c r="AC2" i="9"/>
  <c r="R4" i="9"/>
  <c r="AN4" i="9"/>
  <c r="R8" i="9"/>
  <c r="AR8" i="9"/>
  <c r="AE10" i="9"/>
  <c r="N17" i="1"/>
  <c r="N43" i="1"/>
  <c r="G20" i="2"/>
  <c r="G28" i="2"/>
  <c r="G36" i="2"/>
  <c r="G39" i="2"/>
  <c r="I2" i="9"/>
  <c r="AD2" i="9"/>
  <c r="Y3" i="9"/>
  <c r="AT3" i="9"/>
  <c r="S4" i="9"/>
  <c r="AO4" i="9"/>
  <c r="O5" i="9"/>
  <c r="AM5" i="9"/>
  <c r="P6" i="9"/>
  <c r="AO6" i="9"/>
  <c r="S8" i="9"/>
  <c r="AT8" i="9"/>
  <c r="E10" i="9"/>
  <c r="AI10" i="9"/>
  <c r="AS12" i="9"/>
  <c r="AC12" i="9"/>
  <c r="M12" i="9"/>
  <c r="AN12" i="9"/>
  <c r="X12" i="9"/>
  <c r="H12" i="9"/>
  <c r="AJ12" i="9"/>
  <c r="T12" i="9"/>
  <c r="D12" i="9"/>
  <c r="AP12" i="9"/>
  <c r="V12" i="9"/>
  <c r="B12" i="9"/>
  <c r="AK12" i="9"/>
  <c r="Q12" i="9"/>
  <c r="AI12" i="9"/>
  <c r="P12" i="9"/>
  <c r="AH12" i="9"/>
  <c r="O12" i="9"/>
  <c r="AV12" i="9"/>
  <c r="AB12" i="9"/>
  <c r="I12" i="9"/>
  <c r="AU12" i="9"/>
  <c r="AA12" i="9"/>
  <c r="G12" i="9"/>
  <c r="AF12" i="9"/>
  <c r="AO14" i="9"/>
  <c r="AO18" i="9"/>
  <c r="J2" i="9"/>
  <c r="AE2" i="9"/>
  <c r="D3" i="9"/>
  <c r="Z3" i="9"/>
  <c r="AU3" i="9"/>
  <c r="T4" i="9"/>
  <c r="AP4" i="9"/>
  <c r="P5" i="9"/>
  <c r="AO5" i="9"/>
  <c r="Q6" i="9"/>
  <c r="AP6" i="9"/>
  <c r="U8" i="9"/>
  <c r="AU8" i="9"/>
  <c r="G10" i="9"/>
  <c r="AK10" i="9"/>
  <c r="F14" i="9"/>
  <c r="AP14" i="9"/>
  <c r="AP18" i="9"/>
  <c r="AO24" i="9"/>
  <c r="Y24" i="9"/>
  <c r="I24" i="9"/>
  <c r="AN24" i="9"/>
  <c r="X24" i="9"/>
  <c r="H24" i="9"/>
  <c r="AK24" i="9"/>
  <c r="U24" i="9"/>
  <c r="E24" i="9"/>
  <c r="AH24" i="9"/>
  <c r="R24" i="9"/>
  <c r="B24" i="9"/>
  <c r="AG24" i="9"/>
  <c r="M24" i="9"/>
  <c r="AF24" i="9"/>
  <c r="L24" i="9"/>
  <c r="AV24" i="9"/>
  <c r="AB24" i="9"/>
  <c r="F24" i="9"/>
  <c r="AR24" i="9"/>
  <c r="V24" i="9"/>
  <c r="AD24" i="9"/>
  <c r="AS22" i="9"/>
  <c r="AC22" i="9"/>
  <c r="M22" i="9"/>
  <c r="AR22" i="9"/>
  <c r="AB22" i="9"/>
  <c r="L22" i="9"/>
  <c r="AN22" i="9"/>
  <c r="X22" i="9"/>
  <c r="H22" i="9"/>
  <c r="AJ22" i="9"/>
  <c r="T22" i="9"/>
  <c r="D22" i="9"/>
  <c r="V22" i="9"/>
  <c r="AQ22" i="9"/>
  <c r="AE24" i="9"/>
  <c r="M25" i="9"/>
  <c r="AP25" i="9"/>
  <c r="R13" i="9"/>
  <c r="AL13" i="9"/>
  <c r="AS15" i="9"/>
  <c r="AC15" i="9"/>
  <c r="M15" i="9"/>
  <c r="AN15" i="9"/>
  <c r="X15" i="9"/>
  <c r="H15" i="9"/>
  <c r="AJ15" i="9"/>
  <c r="T15" i="9"/>
  <c r="D15" i="9"/>
  <c r="U15" i="9"/>
  <c r="AO15" i="9"/>
  <c r="G17" i="9"/>
  <c r="AD17" i="9"/>
  <c r="R19" i="9"/>
  <c r="AM19" i="9"/>
  <c r="G21" i="9"/>
  <c r="AD21" i="9"/>
  <c r="B22" i="9"/>
  <c r="W22" i="9"/>
  <c r="AT22" i="9"/>
  <c r="Z23" i="9"/>
  <c r="D24" i="9"/>
  <c r="AI24" i="9"/>
  <c r="N25" i="9"/>
  <c r="AQ25" i="9"/>
  <c r="M7" i="9"/>
  <c r="O9" i="9"/>
  <c r="S13" i="9"/>
  <c r="B15" i="9"/>
  <c r="V15" i="9"/>
  <c r="AP15" i="9"/>
  <c r="O16" i="9"/>
  <c r="I17" i="9"/>
  <c r="AE17" i="9"/>
  <c r="S19" i="9"/>
  <c r="AO19" i="9"/>
  <c r="O20" i="9"/>
  <c r="I21" i="9"/>
  <c r="AE21" i="9"/>
  <c r="Y22" i="9"/>
  <c r="AU22" i="9"/>
  <c r="AA23" i="9"/>
  <c r="G24" i="9"/>
  <c r="AJ24" i="9"/>
  <c r="O25" i="9"/>
  <c r="AS25" i="9"/>
  <c r="AS13" i="9"/>
  <c r="AC13" i="9"/>
  <c r="M13" i="9"/>
  <c r="AN13" i="9"/>
  <c r="X13" i="9"/>
  <c r="H13" i="9"/>
  <c r="AJ13" i="9"/>
  <c r="T13" i="9"/>
  <c r="D13" i="9"/>
  <c r="U13" i="9"/>
  <c r="AO13" i="9"/>
  <c r="W15" i="9"/>
  <c r="AQ15" i="9"/>
  <c r="J17" i="9"/>
  <c r="AF17" i="9"/>
  <c r="U19" i="9"/>
  <c r="J21" i="9"/>
  <c r="AF21" i="9"/>
  <c r="E22" i="9"/>
  <c r="Z22" i="9"/>
  <c r="AV22" i="9"/>
  <c r="J24" i="9"/>
  <c r="AL24" i="9"/>
  <c r="Q25" i="9"/>
  <c r="AT25" i="9"/>
  <c r="AS19" i="9"/>
  <c r="AC19" i="9"/>
  <c r="M19" i="9"/>
  <c r="AR19" i="9"/>
  <c r="AB19" i="9"/>
  <c r="L19" i="9"/>
  <c r="AN19" i="9"/>
  <c r="X19" i="9"/>
  <c r="H19" i="9"/>
  <c r="AJ19" i="9"/>
  <c r="T19" i="9"/>
  <c r="D19" i="9"/>
  <c r="V19" i="9"/>
  <c r="AQ19" i="9"/>
  <c r="F22" i="9"/>
  <c r="AA22" i="9"/>
  <c r="AO23" i="9"/>
  <c r="Y23" i="9"/>
  <c r="I23" i="9"/>
  <c r="AN23" i="9"/>
  <c r="X23" i="9"/>
  <c r="H23" i="9"/>
  <c r="AK23" i="9"/>
  <c r="U23" i="9"/>
  <c r="E23" i="9"/>
  <c r="AH23" i="9"/>
  <c r="R23" i="9"/>
  <c r="B23" i="9"/>
  <c r="AM23" i="9"/>
  <c r="Q23" i="9"/>
  <c r="AL23" i="9"/>
  <c r="P23" i="9"/>
  <c r="AF23" i="9"/>
  <c r="L23" i="9"/>
  <c r="AV23" i="9"/>
  <c r="AB23" i="9"/>
  <c r="F23" i="9"/>
  <c r="AD23" i="9"/>
  <c r="K24" i="9"/>
  <c r="AM24" i="9"/>
  <c r="S25" i="9"/>
  <c r="AU25" i="9"/>
  <c r="B19" i="9"/>
  <c r="W19" i="9"/>
  <c r="AT19" i="9"/>
  <c r="G22" i="9"/>
  <c r="AD22" i="9"/>
  <c r="AE23" i="9"/>
  <c r="N24" i="9"/>
  <c r="AP24" i="9"/>
  <c r="T25" i="9"/>
  <c r="I22" i="9"/>
  <c r="AE22" i="9"/>
  <c r="O24" i="9"/>
  <c r="AQ24" i="9"/>
  <c r="W25" i="9"/>
  <c r="AS9" i="9"/>
  <c r="AC9" i="9"/>
  <c r="M9" i="9"/>
  <c r="AN9" i="9"/>
  <c r="X9" i="9"/>
  <c r="H9" i="9"/>
  <c r="AJ9" i="9"/>
  <c r="T9" i="9"/>
  <c r="D9" i="9"/>
  <c r="U9" i="9"/>
  <c r="AO9" i="9"/>
  <c r="F13" i="9"/>
  <c r="Z13" i="9"/>
  <c r="AT13" i="9"/>
  <c r="I15" i="9"/>
  <c r="AB15" i="9"/>
  <c r="AV15" i="9"/>
  <c r="P17" i="9"/>
  <c r="AK17" i="9"/>
  <c r="E19" i="9"/>
  <c r="Z19" i="9"/>
  <c r="AV19" i="9"/>
  <c r="P21" i="9"/>
  <c r="AK21" i="9"/>
  <c r="J22" i="9"/>
  <c r="AF22" i="9"/>
  <c r="G23" i="9"/>
  <c r="AI23" i="9"/>
  <c r="P24" i="9"/>
  <c r="AS24" i="9"/>
  <c r="Z25" i="9"/>
  <c r="AS7" i="9"/>
  <c r="AC7" i="9"/>
  <c r="AN7" i="9"/>
  <c r="X7" i="9"/>
  <c r="H7" i="9"/>
  <c r="AJ7" i="9"/>
  <c r="T7" i="9"/>
  <c r="D7" i="9"/>
  <c r="S7" i="9"/>
  <c r="AM7" i="9"/>
  <c r="B9" i="9"/>
  <c r="V9" i="9"/>
  <c r="AP9" i="9"/>
  <c r="G13" i="9"/>
  <c r="AA13" i="9"/>
  <c r="AU13" i="9"/>
  <c r="J15" i="9"/>
  <c r="AD15" i="9"/>
  <c r="AS16" i="9"/>
  <c r="AC16" i="9"/>
  <c r="M16" i="9"/>
  <c r="AR16" i="9"/>
  <c r="AB16" i="9"/>
  <c r="L16" i="9"/>
  <c r="AN16" i="9"/>
  <c r="X16" i="9"/>
  <c r="H16" i="9"/>
  <c r="AJ16" i="9"/>
  <c r="T16" i="9"/>
  <c r="D16" i="9"/>
  <c r="V16" i="9"/>
  <c r="AQ16" i="9"/>
  <c r="Q17" i="9"/>
  <c r="AL17" i="9"/>
  <c r="F19" i="9"/>
  <c r="AA19" i="9"/>
  <c r="AS20" i="9"/>
  <c r="AC20" i="9"/>
  <c r="M20" i="9"/>
  <c r="AR20" i="9"/>
  <c r="AB20" i="9"/>
  <c r="L20" i="9"/>
  <c r="AN20" i="9"/>
  <c r="X20" i="9"/>
  <c r="H20" i="9"/>
  <c r="AJ20" i="9"/>
  <c r="T20" i="9"/>
  <c r="D20" i="9"/>
  <c r="V20" i="9"/>
  <c r="AQ20" i="9"/>
  <c r="Q21" i="9"/>
  <c r="AL21" i="9"/>
  <c r="K22" i="9"/>
  <c r="AG22" i="9"/>
  <c r="J23" i="9"/>
  <c r="AJ23" i="9"/>
  <c r="Q24" i="9"/>
  <c r="AT24" i="9"/>
  <c r="AA25" i="9"/>
  <c r="B7" i="9"/>
  <c r="U7" i="9"/>
  <c r="AO7" i="9"/>
  <c r="W9" i="9"/>
  <c r="AQ9" i="9"/>
  <c r="I13" i="9"/>
  <c r="AB13" i="9"/>
  <c r="AV13" i="9"/>
  <c r="K15" i="9"/>
  <c r="AE15" i="9"/>
  <c r="B16" i="9"/>
  <c r="W16" i="9"/>
  <c r="AT16" i="9"/>
  <c r="R17" i="9"/>
  <c r="AM17" i="9"/>
  <c r="G19" i="9"/>
  <c r="AD19" i="9"/>
  <c r="B20" i="9"/>
  <c r="W20" i="9"/>
  <c r="AT20" i="9"/>
  <c r="R21" i="9"/>
  <c r="AM21" i="9"/>
  <c r="N22" i="9"/>
  <c r="AH22" i="9"/>
  <c r="K23" i="9"/>
  <c r="AP23" i="9"/>
  <c r="S24" i="9"/>
  <c r="AU24" i="9"/>
  <c r="AI22" i="9"/>
  <c r="T24" i="9"/>
  <c r="AO25" i="9"/>
  <c r="Y25" i="9"/>
  <c r="I25" i="9"/>
  <c r="AN25" i="9"/>
  <c r="X25" i="9"/>
  <c r="H25" i="9"/>
  <c r="AK25" i="9"/>
  <c r="U25" i="9"/>
  <c r="E25" i="9"/>
  <c r="AH25" i="9"/>
  <c r="R25" i="9"/>
  <c r="B25" i="9"/>
  <c r="AC25" i="9"/>
  <c r="G25" i="9"/>
  <c r="AV25" i="9"/>
  <c r="AB25" i="9"/>
  <c r="F25" i="9"/>
  <c r="AR25" i="9"/>
  <c r="V25" i="9"/>
  <c r="AL25" i="9"/>
  <c r="P25" i="9"/>
  <c r="AE25" i="9"/>
  <c r="U17" i="9"/>
  <c r="J19" i="9"/>
  <c r="AF19" i="9"/>
  <c r="U21" i="9"/>
  <c r="P22" i="9"/>
  <c r="AK22" i="9"/>
  <c r="N23" i="9"/>
  <c r="AR23" i="9"/>
  <c r="W24" i="9"/>
  <c r="AF25" i="9"/>
  <c r="AS17" i="9"/>
  <c r="AC17" i="9"/>
  <c r="M17" i="9"/>
  <c r="AR17" i="9"/>
  <c r="AB17" i="9"/>
  <c r="L17" i="9"/>
  <c r="AN17" i="9"/>
  <c r="X17" i="9"/>
  <c r="H17" i="9"/>
  <c r="AJ17" i="9"/>
  <c r="T17" i="9"/>
  <c r="D17" i="9"/>
  <c r="V17" i="9"/>
  <c r="AQ17" i="9"/>
  <c r="K19" i="9"/>
  <c r="AG19" i="9"/>
  <c r="AS21" i="9"/>
  <c r="AC21" i="9"/>
  <c r="M21" i="9"/>
  <c r="AR21" i="9"/>
  <c r="AB21" i="9"/>
  <c r="L21" i="9"/>
  <c r="AN21" i="9"/>
  <c r="X21" i="9"/>
  <c r="H21" i="9"/>
  <c r="AJ21" i="9"/>
  <c r="T21" i="9"/>
  <c r="D21" i="9"/>
  <c r="V21" i="9"/>
  <c r="AQ21" i="9"/>
  <c r="Q22" i="9"/>
  <c r="AL22" i="9"/>
  <c r="O23" i="9"/>
  <c r="AS23" i="9"/>
  <c r="Z24" i="9"/>
  <c r="D25" i="9"/>
  <c r="AG25" i="9"/>
  <c r="G7" i="9"/>
  <c r="Z7" i="9"/>
  <c r="AT7" i="9"/>
  <c r="I9" i="9"/>
  <c r="AB9" i="9"/>
  <c r="AV9" i="9"/>
  <c r="N13" i="9"/>
  <c r="AG13" i="9"/>
  <c r="P15" i="9"/>
  <c r="AI15" i="9"/>
  <c r="G16" i="9"/>
  <c r="AD16" i="9"/>
  <c r="B17" i="9"/>
  <c r="W17" i="9"/>
  <c r="AT17" i="9"/>
  <c r="N19" i="9"/>
  <c r="AH19" i="9"/>
  <c r="G20" i="9"/>
  <c r="AD20" i="9"/>
  <c r="B21" i="9"/>
  <c r="W21" i="9"/>
  <c r="AT21" i="9"/>
  <c r="R22" i="9"/>
  <c r="AM22" i="9"/>
  <c r="S23" i="9"/>
  <c r="AT23" i="9"/>
  <c r="AA24" i="9"/>
  <c r="J25" i="9"/>
  <c r="AI25" i="9"/>
  <c r="L26" i="9"/>
  <c r="AF26" i="9"/>
  <c r="P26" i="9"/>
  <c r="AL26" i="9"/>
  <c r="V26" i="9"/>
  <c r="AO26" i="9"/>
  <c r="Y26" i="9"/>
  <c r="I26" i="9"/>
  <c r="AN26" i="9"/>
  <c r="X26" i="9"/>
  <c r="H26" i="9"/>
  <c r="AK26" i="9"/>
  <c r="U26" i="9"/>
  <c r="E26" i="9"/>
  <c r="AH26" i="9"/>
  <c r="R26" i="9"/>
  <c r="B26" i="9"/>
  <c r="W26" i="9"/>
  <c r="AS26" i="9"/>
  <c r="W28" i="15" l="1"/>
  <c r="W15" i="15"/>
  <c r="W5" i="15"/>
  <c r="H20" i="2"/>
  <c r="H47" i="2"/>
  <c r="W40" i="15"/>
  <c r="W46" i="15"/>
  <c r="W16" i="15"/>
  <c r="W52" i="15"/>
  <c r="W11" i="15"/>
  <c r="W2" i="15"/>
  <c r="W58" i="15"/>
  <c r="H17" i="2"/>
  <c r="W43" i="15"/>
  <c r="W31" i="15"/>
  <c r="W9" i="15"/>
  <c r="W22" i="15"/>
  <c r="H58" i="2"/>
  <c r="W34" i="15"/>
  <c r="W18" i="15"/>
  <c r="W23" i="15"/>
  <c r="W35" i="15"/>
  <c r="W57" i="15"/>
  <c r="W8" i="15"/>
  <c r="W13" i="15"/>
  <c r="H50" i="2"/>
  <c r="H18" i="2"/>
  <c r="H36" i="2"/>
  <c r="H43" i="2"/>
  <c r="H21" i="2"/>
  <c r="H16" i="2"/>
  <c r="H39" i="2"/>
  <c r="H37" i="2"/>
  <c r="H34" i="2"/>
  <c r="H28" i="2"/>
  <c r="H27" i="2"/>
  <c r="W67" i="15"/>
  <c r="W17" i="15"/>
  <c r="W47" i="15"/>
  <c r="H48" i="2"/>
  <c r="W48" i="15"/>
  <c r="W36" i="15"/>
  <c r="W12" i="15"/>
  <c r="W54" i="15"/>
  <c r="H33" i="2"/>
  <c r="W39" i="15"/>
  <c r="W32" i="15"/>
  <c r="W66" i="15"/>
  <c r="H56" i="2"/>
  <c r="AO45" i="9"/>
  <c r="H52" i="2"/>
  <c r="AH45" i="9"/>
  <c r="H45" i="2"/>
  <c r="O45" i="9"/>
  <c r="H26" i="2"/>
  <c r="AG45" i="9"/>
  <c r="H44" i="2"/>
  <c r="AE45" i="9"/>
  <c r="H42" i="2"/>
  <c r="AC45" i="9"/>
  <c r="H40" i="2"/>
  <c r="N45" i="9"/>
  <c r="H25" i="2"/>
  <c r="M45" i="9"/>
  <c r="H24" i="2"/>
  <c r="AA45" i="9"/>
  <c r="H38" i="2"/>
  <c r="D45" i="9"/>
  <c r="H15" i="2"/>
  <c r="AN45" i="9"/>
  <c r="H51" i="2"/>
  <c r="AT45" i="9"/>
  <c r="H57" i="2"/>
  <c r="S45" i="9"/>
  <c r="H30" i="2"/>
  <c r="L45" i="9"/>
  <c r="H23" i="2"/>
  <c r="AP45" i="9"/>
  <c r="H53" i="2"/>
  <c r="H45" i="9"/>
  <c r="H19" i="2"/>
  <c r="X45" i="9"/>
  <c r="H35" i="2"/>
  <c r="T45" i="9"/>
  <c r="H31" i="2"/>
  <c r="AI45" i="9"/>
  <c r="H46" i="2"/>
  <c r="R45" i="9"/>
  <c r="H29" i="2"/>
  <c r="U45" i="9"/>
  <c r="H32" i="2"/>
  <c r="K45" i="9"/>
  <c r="H22" i="2"/>
  <c r="AV45" i="9"/>
  <c r="H59" i="2"/>
  <c r="AR45" i="9"/>
  <c r="H55" i="2"/>
  <c r="W62" i="15" l="1"/>
  <c r="W19" i="15"/>
  <c r="W51" i="15"/>
  <c r="W7" i="15"/>
  <c r="W68" i="15"/>
  <c r="W30" i="15"/>
  <c r="W10" i="15"/>
  <c r="W33" i="15"/>
  <c r="W53" i="15"/>
  <c r="H15" i="1"/>
  <c r="W70" i="15"/>
  <c r="W24" i="15"/>
  <c r="W25" i="15"/>
  <c r="W65" i="15"/>
  <c r="W29" i="15"/>
  <c r="W50" i="15"/>
  <c r="W14" i="15"/>
  <c r="A11" i="9"/>
  <c r="W61" i="15"/>
  <c r="W44" i="15"/>
  <c r="W38" i="15"/>
  <c r="W42" i="15"/>
  <c r="W37" i="15"/>
  <c r="W21" i="15"/>
  <c r="W20" i="15"/>
  <c r="W26" i="15"/>
  <c r="W56" i="15"/>
  <c r="W49" i="15"/>
  <c r="W64" i="15"/>
  <c r="W71" i="15"/>
  <c r="W63" i="15"/>
  <c r="C11" i="9" l="1"/>
  <c r="Q32" i="1"/>
  <c r="R32" i="1" s="1"/>
  <c r="Q30" i="1"/>
  <c r="R30" i="1" s="1"/>
  <c r="Q31" i="1"/>
  <c r="R31" i="1" s="1"/>
  <c r="E3" i="1"/>
  <c r="T3" i="1" s="1"/>
  <c r="H31" i="1"/>
  <c r="G31" i="1" s="1"/>
  <c r="U11" i="9"/>
  <c r="H11" i="9"/>
  <c r="AI11" i="9"/>
  <c r="K19" i="15"/>
  <c r="K41" i="15"/>
  <c r="E75" i="9"/>
  <c r="K68" i="15"/>
  <c r="E72" i="9"/>
  <c r="E103" i="9"/>
  <c r="K57" i="15"/>
  <c r="AV11" i="9"/>
  <c r="AL11" i="9"/>
  <c r="AJ11" i="9"/>
  <c r="P11" i="9"/>
  <c r="K62" i="15"/>
  <c r="K51" i="15"/>
  <c r="E59" i="9"/>
  <c r="K30" i="15"/>
  <c r="E56" i="9"/>
  <c r="K54" i="15"/>
  <c r="E108" i="9"/>
  <c r="E71" i="9"/>
  <c r="Q11" i="9"/>
  <c r="K61" i="15"/>
  <c r="AP11" i="9"/>
  <c r="AM11" i="9"/>
  <c r="T11" i="9"/>
  <c r="AG11" i="9"/>
  <c r="K50" i="15"/>
  <c r="K7" i="15"/>
  <c r="K18" i="15"/>
  <c r="K31" i="15"/>
  <c r="K11" i="15"/>
  <c r="K14" i="15"/>
  <c r="K47" i="15"/>
  <c r="S11" i="9"/>
  <c r="X11" i="9"/>
  <c r="N11" i="9"/>
  <c r="D11" i="9"/>
  <c r="K58" i="15"/>
  <c r="K34" i="15"/>
  <c r="K16" i="15"/>
  <c r="E119" i="9"/>
  <c r="K39" i="15"/>
  <c r="E87" i="9"/>
  <c r="E115" i="9"/>
  <c r="AB11" i="9"/>
  <c r="B11" i="9"/>
  <c r="L11" i="9"/>
  <c r="E54" i="9"/>
  <c r="AE11" i="9"/>
  <c r="K49" i="15"/>
  <c r="K42" i="15"/>
  <c r="K65" i="15"/>
  <c r="E102" i="9"/>
  <c r="E106" i="9"/>
  <c r="E78" i="9"/>
  <c r="E96" i="9"/>
  <c r="E112" i="9"/>
  <c r="K46" i="15"/>
  <c r="K11" i="9"/>
  <c r="K43" i="9" s="1"/>
  <c r="K27" i="15"/>
  <c r="K64" i="15"/>
  <c r="E105" i="9"/>
  <c r="K29" i="15"/>
  <c r="E86" i="9"/>
  <c r="E90" i="9"/>
  <c r="K71" i="15"/>
  <c r="E76" i="9"/>
  <c r="K44" i="15"/>
  <c r="K10" i="15"/>
  <c r="AT11" i="9"/>
  <c r="AT43" i="9" s="1"/>
  <c r="K70" i="15"/>
  <c r="K26" i="15"/>
  <c r="E89" i="9"/>
  <c r="K20" i="15"/>
  <c r="E70" i="9"/>
  <c r="E74" i="9"/>
  <c r="K38" i="15"/>
  <c r="E51" i="9"/>
  <c r="E65" i="9"/>
  <c r="E81" i="9"/>
  <c r="AF11" i="9"/>
  <c r="AF43" i="9" s="1"/>
  <c r="E69" i="9"/>
  <c r="AA11" i="9"/>
  <c r="AA43" i="9" s="1"/>
  <c r="Z11" i="9"/>
  <c r="Z43" i="9" s="1"/>
  <c r="K24" i="15"/>
  <c r="K3" i="15"/>
  <c r="E73" i="9"/>
  <c r="E114" i="9"/>
  <c r="E116" i="9"/>
  <c r="K6" i="15"/>
  <c r="K13" i="15"/>
  <c r="K36" i="15"/>
  <c r="E94" i="9"/>
  <c r="R11" i="9"/>
  <c r="R43" i="9" s="1"/>
  <c r="E107" i="9"/>
  <c r="E88" i="9"/>
  <c r="AH11" i="9"/>
  <c r="AH43" i="9" s="1"/>
  <c r="AO11" i="9"/>
  <c r="AO43" i="9" s="1"/>
  <c r="I11" i="9"/>
  <c r="I43" i="9" s="1"/>
  <c r="F11" i="9"/>
  <c r="F43" i="9" s="1"/>
  <c r="K25" i="15"/>
  <c r="K69" i="15"/>
  <c r="E57" i="9"/>
  <c r="E100" i="9"/>
  <c r="E95" i="9"/>
  <c r="E118" i="9"/>
  <c r="E92" i="9"/>
  <c r="E68" i="9"/>
  <c r="E83" i="9"/>
  <c r="E80" i="9"/>
  <c r="AU11" i="9"/>
  <c r="AU43" i="9" s="1"/>
  <c r="AR11" i="9"/>
  <c r="AR43" i="9" s="1"/>
  <c r="K40" i="15"/>
  <c r="K21" i="15"/>
  <c r="E117" i="9"/>
  <c r="E84" i="9"/>
  <c r="E79" i="9"/>
  <c r="E113" i="9"/>
  <c r="E52" i="9"/>
  <c r="E99" i="9"/>
  <c r="K55" i="15"/>
  <c r="V11" i="9"/>
  <c r="V43" i="9" s="1"/>
  <c r="AD11" i="9"/>
  <c r="AD43" i="9" s="1"/>
  <c r="Y11" i="9"/>
  <c r="Y43" i="9" s="1"/>
  <c r="K63" i="15"/>
  <c r="K60" i="15"/>
  <c r="E98" i="9"/>
  <c r="E109" i="9"/>
  <c r="E63" i="9"/>
  <c r="K12" i="15"/>
  <c r="E97" i="9"/>
  <c r="E64" i="9"/>
  <c r="E104" i="9"/>
  <c r="E110" i="9"/>
  <c r="AS11" i="9"/>
  <c r="AS43" i="9" s="1"/>
  <c r="E11" i="9"/>
  <c r="E43" i="9" s="1"/>
  <c r="K43" i="15"/>
  <c r="K5" i="15"/>
  <c r="E82" i="9"/>
  <c r="E93" i="9"/>
  <c r="K56" i="15"/>
  <c r="K53" i="15"/>
  <c r="E62" i="9"/>
  <c r="E67" i="9"/>
  <c r="G11" i="9"/>
  <c r="G43" i="9" s="1"/>
  <c r="O11" i="9"/>
  <c r="O43" i="9" s="1"/>
  <c r="AC11" i="9"/>
  <c r="AC43" i="9" s="1"/>
  <c r="AQ11" i="9"/>
  <c r="AQ43" i="9" s="1"/>
  <c r="K17" i="15"/>
  <c r="K37" i="15"/>
  <c r="E66" i="9"/>
  <c r="E77" i="9"/>
  <c r="K35" i="15"/>
  <c r="E101" i="9"/>
  <c r="E58" i="9"/>
  <c r="AK11" i="9"/>
  <c r="AK43" i="9" s="1"/>
  <c r="K45" i="15"/>
  <c r="E53" i="9"/>
  <c r="M11" i="9"/>
  <c r="M43" i="9" s="1"/>
  <c r="W11" i="9"/>
  <c r="W43" i="9" s="1"/>
  <c r="K33" i="15"/>
  <c r="K15" i="15"/>
  <c r="E50" i="9"/>
  <c r="E61" i="9"/>
  <c r="E111" i="9"/>
  <c r="E85" i="9"/>
  <c r="E55" i="9"/>
  <c r="E60" i="9"/>
  <c r="J11" i="9"/>
  <c r="J43" i="9" s="1"/>
  <c r="AN11" i="9"/>
  <c r="AN43" i="9" s="1"/>
  <c r="K59" i="15"/>
  <c r="E91" i="9"/>
  <c r="G14" i="1"/>
  <c r="K2" i="15"/>
  <c r="K8" i="15"/>
  <c r="G9" i="1"/>
  <c r="K9" i="15"/>
  <c r="K23" i="15"/>
  <c r="G8" i="1"/>
  <c r="G13" i="1"/>
  <c r="G6" i="1"/>
  <c r="K4" i="15"/>
  <c r="G10" i="1"/>
  <c r="K48" i="15"/>
  <c r="G11" i="1"/>
  <c r="K32" i="15"/>
  <c r="K66" i="15"/>
  <c r="G12" i="1"/>
  <c r="K28" i="15"/>
  <c r="K22" i="15"/>
  <c r="G7" i="1"/>
  <c r="K52" i="15"/>
  <c r="K67" i="15"/>
  <c r="W59" i="15" l="1"/>
  <c r="W3" i="15"/>
  <c r="W60" i="15"/>
  <c r="W6" i="15"/>
  <c r="W45" i="15"/>
  <c r="Y45" i="15" s="1"/>
  <c r="W27" i="15"/>
  <c r="L43" i="9"/>
  <c r="D43" i="9"/>
  <c r="S43" i="9"/>
  <c r="AE43" i="9"/>
  <c r="AE44" i="9" s="1"/>
  <c r="AB43" i="9"/>
  <c r="AP43" i="9"/>
  <c r="Q43" i="9"/>
  <c r="Q44" i="9" s="1"/>
  <c r="N43" i="9"/>
  <c r="K16" i="1" s="1"/>
  <c r="X43" i="9"/>
  <c r="X44" i="9" s="1"/>
  <c r="AG43" i="9"/>
  <c r="AG44" i="9" s="1"/>
  <c r="AL43" i="9"/>
  <c r="K40" i="1" s="1"/>
  <c r="T43" i="9"/>
  <c r="K22" i="1" s="1"/>
  <c r="AV43" i="9"/>
  <c r="AV44" i="9" s="1"/>
  <c r="Y17" i="15"/>
  <c r="X17" i="15"/>
  <c r="Y25" i="15"/>
  <c r="X25" i="15"/>
  <c r="Y24" i="15"/>
  <c r="X24" i="15"/>
  <c r="X10" i="15"/>
  <c r="Y10" i="15"/>
  <c r="D44" i="9"/>
  <c r="K6" i="1"/>
  <c r="K19" i="1"/>
  <c r="X68" i="15"/>
  <c r="Y68" i="15"/>
  <c r="AQ44" i="9"/>
  <c r="K45" i="1"/>
  <c r="F44" i="9"/>
  <c r="K8" i="1"/>
  <c r="K28" i="1"/>
  <c r="Z44" i="9"/>
  <c r="X44" i="15"/>
  <c r="Y44" i="15"/>
  <c r="X65" i="15"/>
  <c r="Y65" i="15"/>
  <c r="AS44" i="9"/>
  <c r="K47" i="1"/>
  <c r="Y61" i="15"/>
  <c r="X61" i="15"/>
  <c r="AC44" i="9"/>
  <c r="K31" i="1"/>
  <c r="K11" i="1"/>
  <c r="I44" i="9"/>
  <c r="AA44" i="9"/>
  <c r="K29" i="1"/>
  <c r="X42" i="15"/>
  <c r="Y42" i="15"/>
  <c r="AT44" i="9"/>
  <c r="K48" i="1"/>
  <c r="Y23" i="15"/>
  <c r="X23" i="15"/>
  <c r="X15" i="15"/>
  <c r="Y15" i="15"/>
  <c r="O44" i="9"/>
  <c r="K17" i="1"/>
  <c r="Y12" i="15"/>
  <c r="X12" i="15"/>
  <c r="Y21" i="15"/>
  <c r="X21" i="15"/>
  <c r="AO44" i="9"/>
  <c r="K43" i="1"/>
  <c r="X71" i="15"/>
  <c r="Y71" i="15"/>
  <c r="Y49" i="15"/>
  <c r="X49" i="15"/>
  <c r="S44" i="9"/>
  <c r="K21" i="1"/>
  <c r="Y54" i="15"/>
  <c r="X54" i="15"/>
  <c r="Y19" i="15"/>
  <c r="X19" i="15"/>
  <c r="Y70" i="15"/>
  <c r="X70" i="15"/>
  <c r="Y58" i="15"/>
  <c r="X58" i="15"/>
  <c r="X67" i="15"/>
  <c r="Y67" i="15"/>
  <c r="Y9" i="15"/>
  <c r="X9" i="15"/>
  <c r="Y33" i="15"/>
  <c r="X33" i="15"/>
  <c r="K9" i="1"/>
  <c r="G44" i="9"/>
  <c r="Y40" i="15"/>
  <c r="X40" i="15"/>
  <c r="K36" i="1"/>
  <c r="AH44" i="9"/>
  <c r="AF44" i="9"/>
  <c r="K34" i="1"/>
  <c r="Y47" i="15"/>
  <c r="X47" i="15"/>
  <c r="AI43" i="9"/>
  <c r="X52" i="15"/>
  <c r="Y52" i="15"/>
  <c r="W44" i="9"/>
  <c r="K25" i="1"/>
  <c r="AR44" i="9"/>
  <c r="K46" i="1"/>
  <c r="Y14" i="15"/>
  <c r="X14" i="15"/>
  <c r="X30" i="15"/>
  <c r="Y30" i="15"/>
  <c r="H43" i="9"/>
  <c r="Y8" i="15"/>
  <c r="X8" i="15"/>
  <c r="K15" i="1"/>
  <c r="M44" i="9"/>
  <c r="AU44" i="9"/>
  <c r="K49" i="1"/>
  <c r="X29" i="15"/>
  <c r="Y29" i="15"/>
  <c r="L44" i="9"/>
  <c r="K14" i="1"/>
  <c r="X11" i="15"/>
  <c r="Y11" i="15"/>
  <c r="U43" i="9"/>
  <c r="Y22" i="15"/>
  <c r="X22" i="15"/>
  <c r="X2" i="15"/>
  <c r="Y2" i="15"/>
  <c r="Y53" i="15"/>
  <c r="X53" i="15"/>
  <c r="Y60" i="15"/>
  <c r="X60" i="15"/>
  <c r="R44" i="9"/>
  <c r="K20" i="1"/>
  <c r="W41" i="15"/>
  <c r="X41" i="15" s="1"/>
  <c r="W4" i="15"/>
  <c r="Y4" i="15" s="1"/>
  <c r="W55" i="15"/>
  <c r="Y55" i="15" s="1"/>
  <c r="W69" i="15"/>
  <c r="X69" i="15" s="1"/>
  <c r="G15" i="1"/>
  <c r="X31" i="15"/>
  <c r="Y31" i="15"/>
  <c r="X51" i="15"/>
  <c r="Y51" i="15"/>
  <c r="Q33" i="1"/>
  <c r="R33" i="1" s="1"/>
  <c r="K44" i="1"/>
  <c r="AP44" i="9"/>
  <c r="Y3" i="15"/>
  <c r="X3" i="15"/>
  <c r="Y28" i="15"/>
  <c r="X28" i="15"/>
  <c r="Y56" i="15"/>
  <c r="X56" i="15"/>
  <c r="Y63" i="15"/>
  <c r="X63" i="15"/>
  <c r="X38" i="15"/>
  <c r="Y38" i="15"/>
  <c r="X64" i="15"/>
  <c r="Y64" i="15"/>
  <c r="K30" i="1"/>
  <c r="AB44" i="9"/>
  <c r="Y18" i="15"/>
  <c r="X18" i="15"/>
  <c r="Y62" i="15"/>
  <c r="X62" i="15"/>
  <c r="Y37" i="15"/>
  <c r="X37" i="15"/>
  <c r="K39" i="1"/>
  <c r="AK44" i="9"/>
  <c r="Y44" i="9"/>
  <c r="K27" i="1"/>
  <c r="Y36" i="15"/>
  <c r="X36" i="15"/>
  <c r="Y27" i="15"/>
  <c r="X27" i="15"/>
  <c r="X7" i="15"/>
  <c r="Y7" i="15"/>
  <c r="P43" i="9"/>
  <c r="X34" i="15"/>
  <c r="Y34" i="15"/>
  <c r="Y66" i="15"/>
  <c r="X66" i="15"/>
  <c r="Y59" i="15"/>
  <c r="X59" i="15"/>
  <c r="AD44" i="9"/>
  <c r="K32" i="1"/>
  <c r="X13" i="15"/>
  <c r="Y13" i="15"/>
  <c r="K13" i="1"/>
  <c r="K44" i="9"/>
  <c r="Y50" i="15"/>
  <c r="X50" i="15"/>
  <c r="AJ43" i="9"/>
  <c r="Q9" i="15"/>
  <c r="R9" i="15" s="1"/>
  <c r="Q64" i="15"/>
  <c r="R64" i="15" s="1"/>
  <c r="Q28" i="15"/>
  <c r="R28" i="15" s="1"/>
  <c r="Q70" i="15"/>
  <c r="R70" i="15" s="1"/>
  <c r="Q2" i="15"/>
  <c r="R2" i="15" s="1"/>
  <c r="Q23" i="15"/>
  <c r="R23" i="15" s="1"/>
  <c r="Q40" i="15"/>
  <c r="R40" i="15" s="1"/>
  <c r="Q53" i="15"/>
  <c r="R53" i="15" s="1"/>
  <c r="X32" i="15"/>
  <c r="Y32" i="15"/>
  <c r="K42" i="1"/>
  <c r="AN44" i="9"/>
  <c r="Y5" i="15"/>
  <c r="X5" i="15"/>
  <c r="K24" i="1"/>
  <c r="V44" i="9"/>
  <c r="Y6" i="15"/>
  <c r="X6" i="15"/>
  <c r="Y20" i="15"/>
  <c r="X20" i="15"/>
  <c r="X46" i="15"/>
  <c r="Y46" i="15"/>
  <c r="Y39" i="15"/>
  <c r="X39" i="15"/>
  <c r="AL44" i="9"/>
  <c r="Q46" i="15"/>
  <c r="R46" i="15" s="1"/>
  <c r="Q31" i="15"/>
  <c r="R31" i="15" s="1"/>
  <c r="Q26" i="15"/>
  <c r="R26" i="15" s="1"/>
  <c r="Q61" i="15"/>
  <c r="R61" i="15" s="1"/>
  <c r="Q35" i="15"/>
  <c r="R35" i="15" s="1"/>
  <c r="Q63" i="15"/>
  <c r="R63" i="15" s="1"/>
  <c r="Q48" i="15"/>
  <c r="R48" i="15" s="1"/>
  <c r="Q8" i="15"/>
  <c r="R8" i="15" s="1"/>
  <c r="Q24" i="15"/>
  <c r="R24" i="15" s="1"/>
  <c r="Q42" i="15"/>
  <c r="R42" i="15" s="1"/>
  <c r="Q69" i="15"/>
  <c r="R69" i="15" s="1"/>
  <c r="Q56" i="15"/>
  <c r="R56" i="15" s="1"/>
  <c r="K12" i="1"/>
  <c r="J44" i="9"/>
  <c r="X35" i="15"/>
  <c r="Y35" i="15"/>
  <c r="X43" i="15"/>
  <c r="Y43" i="15"/>
  <c r="Q67" i="15"/>
  <c r="R67" i="15" s="1"/>
  <c r="Q68" i="15"/>
  <c r="R68" i="15" s="1"/>
  <c r="Q66" i="15"/>
  <c r="R66" i="15" s="1"/>
  <c r="Q4" i="15"/>
  <c r="R4" i="15" s="1"/>
  <c r="Q71" i="15"/>
  <c r="R71" i="15" s="1"/>
  <c r="Q60" i="15"/>
  <c r="R60" i="15" s="1"/>
  <c r="X48" i="15"/>
  <c r="Y48" i="15"/>
  <c r="E44" i="9"/>
  <c r="K7" i="1"/>
  <c r="Y26" i="15"/>
  <c r="X26" i="15"/>
  <c r="X16" i="15"/>
  <c r="Y16" i="15"/>
  <c r="AM43" i="9"/>
  <c r="X57" i="15"/>
  <c r="Y57" i="15"/>
  <c r="V25" i="1"/>
  <c r="O66" i="15"/>
  <c r="N24" i="15"/>
  <c r="N26" i="15"/>
  <c r="L14" i="15"/>
  <c r="N2" i="15"/>
  <c r="O11" i="15"/>
  <c r="L24" i="15"/>
  <c r="N30" i="15"/>
  <c r="N60" i="15"/>
  <c r="L17" i="15"/>
  <c r="M15" i="15"/>
  <c r="M12" i="15"/>
  <c r="L30" i="15"/>
  <c r="N48" i="15"/>
  <c r="N4" i="15"/>
  <c r="N7" i="15"/>
  <c r="N64" i="15"/>
  <c r="N62" i="15"/>
  <c r="M22" i="15"/>
  <c r="M43" i="15"/>
  <c r="M66" i="15"/>
  <c r="M50" i="15"/>
  <c r="L57" i="15"/>
  <c r="L3" i="15"/>
  <c r="L15" i="15"/>
  <c r="L46" i="15"/>
  <c r="L4" i="15"/>
  <c r="O69" i="15"/>
  <c r="O56" i="15"/>
  <c r="O27" i="15"/>
  <c r="O49" i="15"/>
  <c r="N25" i="15"/>
  <c r="N70" i="15"/>
  <c r="N51" i="15"/>
  <c r="N11" i="15"/>
  <c r="N19" i="15"/>
  <c r="M42" i="15"/>
  <c r="M63" i="15"/>
  <c r="M56" i="15"/>
  <c r="M20" i="15"/>
  <c r="M61" i="15"/>
  <c r="M5" i="15"/>
  <c r="M31" i="15"/>
  <c r="L36" i="15"/>
  <c r="L45" i="15"/>
  <c r="L37" i="15"/>
  <c r="L35" i="15"/>
  <c r="L70" i="15"/>
  <c r="O42" i="15"/>
  <c r="O51" i="15"/>
  <c r="O6" i="15"/>
  <c r="O58" i="15"/>
  <c r="N55" i="15"/>
  <c r="L25" i="15"/>
  <c r="N17" i="15"/>
  <c r="N66" i="15"/>
  <c r="N41" i="15"/>
  <c r="N49" i="15"/>
  <c r="N10" i="15"/>
  <c r="M52" i="15"/>
  <c r="M40" i="15"/>
  <c r="M51" i="15"/>
  <c r="M67" i="15"/>
  <c r="M21" i="15"/>
  <c r="M30" i="15"/>
  <c r="L54" i="15"/>
  <c r="L66" i="15"/>
  <c r="L5" i="15"/>
  <c r="L38" i="15"/>
  <c r="O52" i="15"/>
  <c r="O44" i="15"/>
  <c r="O45" i="15"/>
  <c r="O50" i="15"/>
  <c r="N37" i="15"/>
  <c r="L18" i="15"/>
  <c r="N33" i="15"/>
  <c r="N20" i="15"/>
  <c r="N61" i="15"/>
  <c r="N58" i="15"/>
  <c r="M14" i="15"/>
  <c r="M34" i="15"/>
  <c r="M23" i="15"/>
  <c r="M27" i="15"/>
  <c r="M9" i="15"/>
  <c r="M28" i="15"/>
  <c r="M68" i="15"/>
  <c r="L71" i="15"/>
  <c r="L8" i="15"/>
  <c r="L60" i="15"/>
  <c r="L55" i="15"/>
  <c r="O34" i="15"/>
  <c r="O18" i="15"/>
  <c r="O41" i="15"/>
  <c r="O31" i="15"/>
  <c r="N52" i="15"/>
  <c r="L28" i="15"/>
  <c r="N14" i="15"/>
  <c r="N67" i="15"/>
  <c r="N28" i="15"/>
  <c r="N50" i="15"/>
  <c r="M54" i="15"/>
  <c r="M71" i="15"/>
  <c r="M29" i="15"/>
  <c r="M26" i="15"/>
  <c r="M46" i="15"/>
  <c r="L6" i="15"/>
  <c r="L48" i="15"/>
  <c r="L21" i="15"/>
  <c r="L2" i="15"/>
  <c r="O33" i="15"/>
  <c r="O7" i="15"/>
  <c r="O61" i="15"/>
  <c r="O30" i="15"/>
  <c r="M58" i="15"/>
  <c r="N13" i="15"/>
  <c r="N9" i="15"/>
  <c r="N44" i="15"/>
  <c r="N53" i="15"/>
  <c r="M41" i="15"/>
  <c r="M65" i="15"/>
  <c r="M35" i="15"/>
  <c r="L39" i="15"/>
  <c r="L67" i="15"/>
  <c r="L26" i="15"/>
  <c r="L62" i="15"/>
  <c r="O32" i="15"/>
  <c r="O13" i="15"/>
  <c r="O28" i="15"/>
  <c r="O68" i="15"/>
  <c r="O71" i="15"/>
  <c r="N57" i="15"/>
  <c r="N29" i="15"/>
  <c r="N15" i="15"/>
  <c r="N12" i="15"/>
  <c r="M36" i="15"/>
  <c r="M16" i="15"/>
  <c r="M38" i="15"/>
  <c r="L56" i="15"/>
  <c r="L22" i="15"/>
  <c r="L64" i="15"/>
  <c r="L19" i="15"/>
  <c r="O53" i="15"/>
  <c r="O36" i="15"/>
  <c r="O15" i="15"/>
  <c r="O46" i="15"/>
  <c r="O64" i="15"/>
  <c r="N36" i="15"/>
  <c r="N65" i="15"/>
  <c r="N5" i="15"/>
  <c r="N47" i="15"/>
  <c r="M53" i="15"/>
  <c r="M18" i="15"/>
  <c r="M55" i="15"/>
  <c r="M19" i="15"/>
  <c r="L27" i="15"/>
  <c r="L42" i="15"/>
  <c r="L11" i="15"/>
  <c r="L10" i="15"/>
  <c r="O20" i="15"/>
  <c r="O8" i="15"/>
  <c r="O17" i="15"/>
  <c r="O37" i="15"/>
  <c r="O35" i="15"/>
  <c r="O4" i="15"/>
  <c r="N54" i="15"/>
  <c r="N16" i="15"/>
  <c r="N21" i="15"/>
  <c r="N31" i="15"/>
  <c r="M57" i="15"/>
  <c r="M32" i="15"/>
  <c r="M7" i="15"/>
  <c r="M59" i="15"/>
  <c r="M2" i="15"/>
  <c r="L59" i="15"/>
  <c r="L52" i="15"/>
  <c r="L49" i="15"/>
  <c r="L33" i="15"/>
  <c r="O67" i="15"/>
  <c r="O12" i="15"/>
  <c r="O43" i="15"/>
  <c r="O5" i="15"/>
  <c r="O38" i="15"/>
  <c r="N18" i="15"/>
  <c r="M39" i="15"/>
  <c r="L20" i="15"/>
  <c r="L34" i="15"/>
  <c r="O29" i="15"/>
  <c r="O48" i="15"/>
  <c r="O63" i="15"/>
  <c r="O60" i="15"/>
  <c r="O55" i="15"/>
  <c r="N43" i="15"/>
  <c r="N6" i="15"/>
  <c r="N56" i="15"/>
  <c r="N68" i="15"/>
  <c r="M48" i="15"/>
  <c r="M24" i="15"/>
  <c r="M64" i="15"/>
  <c r="M62" i="15"/>
  <c r="M10" i="15"/>
  <c r="L9" i="15"/>
  <c r="L7" i="15"/>
  <c r="L53" i="15"/>
  <c r="L43" i="15"/>
  <c r="O47" i="15"/>
  <c r="O10" i="15"/>
  <c r="O40" i="15"/>
  <c r="O21" i="15"/>
  <c r="O2" i="15"/>
  <c r="N63" i="15"/>
  <c r="N45" i="15"/>
  <c r="N71" i="15"/>
  <c r="N46" i="15"/>
  <c r="M60" i="15"/>
  <c r="M47" i="15"/>
  <c r="M11" i="15"/>
  <c r="L29" i="15"/>
  <c r="L51" i="15"/>
  <c r="L12" i="15"/>
  <c r="L63" i="15"/>
  <c r="O65" i="15"/>
  <c r="O14" i="15"/>
  <c r="O23" i="15"/>
  <c r="O3" i="15"/>
  <c r="O62" i="15"/>
  <c r="M3" i="15"/>
  <c r="L50" i="15"/>
  <c r="N40" i="15"/>
  <c r="N22" i="15"/>
  <c r="N69" i="15"/>
  <c r="N35" i="15"/>
  <c r="M17" i="15"/>
  <c r="M25" i="15"/>
  <c r="M4" i="15"/>
  <c r="M6" i="15"/>
  <c r="M44" i="15"/>
  <c r="L58" i="15"/>
  <c r="L65" i="15"/>
  <c r="L41" i="15"/>
  <c r="L47" i="15"/>
  <c r="L40" i="15"/>
  <c r="O9" i="15"/>
  <c r="O57" i="15"/>
  <c r="O25" i="15"/>
  <c r="O26" i="15"/>
  <c r="O19" i="15"/>
  <c r="N27" i="15"/>
  <c r="M8" i="15"/>
  <c r="N8" i="15"/>
  <c r="N23" i="15"/>
  <c r="N42" i="15"/>
  <c r="N3" i="15"/>
  <c r="N38" i="15"/>
  <c r="M13" i="15"/>
  <c r="M49" i="15"/>
  <c r="M33" i="15"/>
  <c r="L32" i="15"/>
  <c r="L16" i="15"/>
  <c r="L61" i="15"/>
  <c r="L31" i="15"/>
  <c r="L23" i="15"/>
  <c r="O22" i="15"/>
  <c r="O54" i="15"/>
  <c r="O24" i="15"/>
  <c r="O59" i="15"/>
  <c r="N32" i="15"/>
  <c r="N39" i="15"/>
  <c r="N34" i="15"/>
  <c r="N59" i="15"/>
  <c r="M69" i="15"/>
  <c r="M70" i="15"/>
  <c r="M45" i="15"/>
  <c r="M37" i="15"/>
  <c r="L13" i="15"/>
  <c r="L69" i="15"/>
  <c r="L44" i="15"/>
  <c r="L68" i="15"/>
  <c r="O16" i="15"/>
  <c r="O39" i="15"/>
  <c r="O70" i="15"/>
  <c r="X45" i="15" l="1"/>
  <c r="K26" i="1"/>
  <c r="K35" i="1"/>
  <c r="X55" i="15"/>
  <c r="K50" i="1"/>
  <c r="T44" i="9"/>
  <c r="K33" i="1"/>
  <c r="X4" i="15"/>
  <c r="N44" i="9"/>
  <c r="AM44" i="9"/>
  <c r="K41" i="1"/>
  <c r="BQ32" i="15"/>
  <c r="BQ20" i="15"/>
  <c r="BQ39" i="15"/>
  <c r="L48" i="1"/>
  <c r="C57" i="2"/>
  <c r="D46" i="4"/>
  <c r="E46" i="4" s="1"/>
  <c r="BX4" i="15"/>
  <c r="BQ66" i="15"/>
  <c r="BP66" i="15"/>
  <c r="BP39" i="15"/>
  <c r="BX55" i="15"/>
  <c r="BP20" i="15"/>
  <c r="BP32" i="15"/>
  <c r="D45" i="4"/>
  <c r="E45" i="4" s="1"/>
  <c r="C56" i="2"/>
  <c r="L47" i="1"/>
  <c r="BX47" i="15"/>
  <c r="AN39" i="15"/>
  <c r="AN32" i="15"/>
  <c r="AN20" i="15"/>
  <c r="AN66" i="15"/>
  <c r="C28" i="2"/>
  <c r="D17" i="4"/>
  <c r="E17" i="4" s="1"/>
  <c r="L19" i="1"/>
  <c r="AI32" i="15"/>
  <c r="AI39" i="15"/>
  <c r="AI20" i="15"/>
  <c r="L14" i="1"/>
  <c r="D12" i="4"/>
  <c r="E12" i="4" s="1"/>
  <c r="C23" i="2"/>
  <c r="BX57" i="15"/>
  <c r="AI66" i="15"/>
  <c r="AO39" i="15"/>
  <c r="BX17" i="15"/>
  <c r="AO32" i="15"/>
  <c r="L20" i="1"/>
  <c r="AO20" i="15"/>
  <c r="C29" i="2"/>
  <c r="AO66" i="15"/>
  <c r="D18" i="4"/>
  <c r="E18" i="4" s="1"/>
  <c r="AQ32" i="15"/>
  <c r="BX9" i="15"/>
  <c r="AQ66" i="15"/>
  <c r="AQ20" i="15"/>
  <c r="L22" i="1"/>
  <c r="C31" i="2"/>
  <c r="D20" i="4"/>
  <c r="E20" i="4" s="1"/>
  <c r="AQ39" i="15"/>
  <c r="P44" i="9"/>
  <c r="K18" i="1"/>
  <c r="BR20" i="15"/>
  <c r="L49" i="1"/>
  <c r="D47" i="4"/>
  <c r="E47" i="4" s="1"/>
  <c r="BR66" i="15"/>
  <c r="BR32" i="15"/>
  <c r="C58" i="2"/>
  <c r="BR39" i="15"/>
  <c r="BX41" i="15"/>
  <c r="Y41" i="15"/>
  <c r="AA39" i="15"/>
  <c r="BX66" i="15"/>
  <c r="AA32" i="15"/>
  <c r="AA20" i="15"/>
  <c r="C15" i="2"/>
  <c r="L6" i="1"/>
  <c r="AA66" i="15"/>
  <c r="D4" i="4"/>
  <c r="AJ44" i="9"/>
  <c r="K38" i="1"/>
  <c r="AI44" i="9"/>
  <c r="K37" i="1"/>
  <c r="L16" i="1"/>
  <c r="D14" i="4"/>
  <c r="E14" i="4" s="1"/>
  <c r="AK20" i="15"/>
  <c r="AK39" i="15"/>
  <c r="AK66" i="15"/>
  <c r="AK32" i="15"/>
  <c r="C25" i="2"/>
  <c r="BX36" i="15"/>
  <c r="L25" i="1"/>
  <c r="D23" i="4"/>
  <c r="E23" i="4" s="1"/>
  <c r="BX22" i="15"/>
  <c r="AT32" i="15"/>
  <c r="AT20" i="15"/>
  <c r="AT39" i="15"/>
  <c r="AT66" i="15"/>
  <c r="C34" i="2"/>
  <c r="AS66" i="15"/>
  <c r="AS32" i="15"/>
  <c r="AS20" i="15"/>
  <c r="AS39" i="15"/>
  <c r="BX43" i="15"/>
  <c r="D22" i="4"/>
  <c r="E22" i="4" s="1"/>
  <c r="C33" i="2"/>
  <c r="L24" i="1"/>
  <c r="C39" i="2"/>
  <c r="D28" i="4"/>
  <c r="E28" i="4" s="1"/>
  <c r="AY32" i="15"/>
  <c r="L30" i="1"/>
  <c r="AY39" i="15"/>
  <c r="BX65" i="15"/>
  <c r="AY66" i="15"/>
  <c r="AY20" i="15"/>
  <c r="L44" i="1"/>
  <c r="D42" i="4"/>
  <c r="E42" i="4" s="1"/>
  <c r="C53" i="2"/>
  <c r="BM32" i="15"/>
  <c r="BM20" i="15"/>
  <c r="BM39" i="15"/>
  <c r="BX24" i="15"/>
  <c r="BM66" i="15"/>
  <c r="D41" i="4"/>
  <c r="E41" i="4" s="1"/>
  <c r="C52" i="2"/>
  <c r="L43" i="1"/>
  <c r="BX38" i="15"/>
  <c r="BL32" i="15"/>
  <c r="BL66" i="15"/>
  <c r="BL20" i="15"/>
  <c r="BL39" i="15"/>
  <c r="C35" i="2"/>
  <c r="AU32" i="15"/>
  <c r="BX29" i="15"/>
  <c r="L26" i="1"/>
  <c r="AU20" i="15"/>
  <c r="AU66" i="15"/>
  <c r="AU39" i="15"/>
  <c r="D24" i="4"/>
  <c r="E24" i="4" s="1"/>
  <c r="BS66" i="15"/>
  <c r="BX69" i="15"/>
  <c r="C59" i="2"/>
  <c r="BS20" i="15"/>
  <c r="L50" i="1"/>
  <c r="BS39" i="15"/>
  <c r="BS32" i="15"/>
  <c r="D48" i="4"/>
  <c r="E48" i="4" s="1"/>
  <c r="L9" i="1"/>
  <c r="C18" i="2"/>
  <c r="D7" i="4"/>
  <c r="E7" i="4" s="1"/>
  <c r="AD20" i="15"/>
  <c r="AD66" i="15"/>
  <c r="AD39" i="15"/>
  <c r="BX20" i="15"/>
  <c r="AD32" i="15"/>
  <c r="BX32" i="15"/>
  <c r="AB32" i="15"/>
  <c r="AB66" i="15"/>
  <c r="L7" i="1"/>
  <c r="AB20" i="15"/>
  <c r="AB39" i="15"/>
  <c r="D5" i="4"/>
  <c r="E5" i="4" s="1"/>
  <c r="C16" i="2"/>
  <c r="Q20" i="15"/>
  <c r="R20" i="15" s="1"/>
  <c r="S20" i="15" s="1"/>
  <c r="T20" i="15" s="1"/>
  <c r="Q65" i="15"/>
  <c r="R65" i="15" s="1"/>
  <c r="S65" i="15" s="1"/>
  <c r="T65" i="15" s="1"/>
  <c r="Q16" i="15"/>
  <c r="R16" i="15" s="1"/>
  <c r="Q36" i="15"/>
  <c r="R36" i="15" s="1"/>
  <c r="Q3" i="15"/>
  <c r="R3" i="15" s="1"/>
  <c r="S3" i="15" s="1"/>
  <c r="T3" i="15" s="1"/>
  <c r="Q57" i="15"/>
  <c r="R57" i="15" s="1"/>
  <c r="Q7" i="15"/>
  <c r="R7" i="15" s="1"/>
  <c r="Q54" i="15"/>
  <c r="R54" i="15" s="1"/>
  <c r="S54" i="15" s="1"/>
  <c r="T54" i="15" s="1"/>
  <c r="Q18" i="15"/>
  <c r="R18" i="15" s="1"/>
  <c r="Q6" i="15"/>
  <c r="R6" i="15" s="1"/>
  <c r="Q50" i="15"/>
  <c r="R50" i="15" s="1"/>
  <c r="S50" i="15" s="1"/>
  <c r="T50" i="15" s="1"/>
  <c r="Q11" i="15"/>
  <c r="R11" i="15" s="1"/>
  <c r="S11" i="15" s="1"/>
  <c r="T11" i="15" s="1"/>
  <c r="Q47" i="15"/>
  <c r="R47" i="15" s="1"/>
  <c r="S47" i="15" s="1"/>
  <c r="T47" i="15" s="1"/>
  <c r="Q27" i="15"/>
  <c r="R27" i="15" s="1"/>
  <c r="S27" i="15" s="1"/>
  <c r="T27" i="15" s="1"/>
  <c r="Q17" i="15"/>
  <c r="R17" i="15" s="1"/>
  <c r="Q51" i="15"/>
  <c r="R51" i="15" s="1"/>
  <c r="S51" i="15" s="1"/>
  <c r="T51" i="15" s="1"/>
  <c r="Q30" i="15"/>
  <c r="R30" i="15" s="1"/>
  <c r="S30" i="15" s="1"/>
  <c r="T30" i="15" s="1"/>
  <c r="Q22" i="15"/>
  <c r="R22" i="15" s="1"/>
  <c r="S22" i="15" s="1"/>
  <c r="T22" i="15" s="1"/>
  <c r="Q59" i="15"/>
  <c r="R59" i="15" s="1"/>
  <c r="Q32" i="15"/>
  <c r="R32" i="15" s="1"/>
  <c r="S32" i="15" s="1"/>
  <c r="T32" i="15" s="1"/>
  <c r="Q34" i="15"/>
  <c r="R34" i="15" s="1"/>
  <c r="S34" i="15" s="1"/>
  <c r="T34" i="15" s="1"/>
  <c r="Q44" i="15"/>
  <c r="R44" i="15" s="1"/>
  <c r="S44" i="15" s="1"/>
  <c r="T44" i="15" s="1"/>
  <c r="Q15" i="15"/>
  <c r="R15" i="15" s="1"/>
  <c r="Q43" i="15"/>
  <c r="R43" i="15" s="1"/>
  <c r="S43" i="15" s="1"/>
  <c r="T43" i="15" s="1"/>
  <c r="Q25" i="15"/>
  <c r="R25" i="15" s="1"/>
  <c r="Q14" i="15"/>
  <c r="R14" i="15" s="1"/>
  <c r="Q10" i="15"/>
  <c r="R10" i="15" s="1"/>
  <c r="S10" i="15" s="1"/>
  <c r="T10" i="15" s="1"/>
  <c r="Q19" i="15"/>
  <c r="R19" i="15" s="1"/>
  <c r="S19" i="15" s="1"/>
  <c r="T19" i="15" s="1"/>
  <c r="Q21" i="15"/>
  <c r="R21" i="15" s="1"/>
  <c r="S21" i="15" s="1"/>
  <c r="T21" i="15" s="1"/>
  <c r="Q41" i="15"/>
  <c r="R41" i="15" s="1"/>
  <c r="S41" i="15" s="1"/>
  <c r="T41" i="15" s="1"/>
  <c r="Q58" i="15"/>
  <c r="R58" i="15" s="1"/>
  <c r="S58" i="15" s="1"/>
  <c r="T58" i="15" s="1"/>
  <c r="Q55" i="15"/>
  <c r="R55" i="15" s="1"/>
  <c r="S55" i="15" s="1"/>
  <c r="T55" i="15" s="1"/>
  <c r="Q37" i="15"/>
  <c r="R37" i="15" s="1"/>
  <c r="S37" i="15" s="1"/>
  <c r="T37" i="15" s="1"/>
  <c r="Q38" i="15"/>
  <c r="R38" i="15" s="1"/>
  <c r="S38" i="15" s="1"/>
  <c r="T38" i="15" s="1"/>
  <c r="Q45" i="15"/>
  <c r="R45" i="15" s="1"/>
  <c r="Q39" i="15"/>
  <c r="R39" i="15" s="1"/>
  <c r="Q33" i="15"/>
  <c r="R33" i="15" s="1"/>
  <c r="S33" i="15" s="1"/>
  <c r="T33" i="15" s="1"/>
  <c r="Q12" i="15"/>
  <c r="R12" i="15" s="1"/>
  <c r="S12" i="15" s="1"/>
  <c r="T12" i="15" s="1"/>
  <c r="Q62" i="15"/>
  <c r="R62" i="15" s="1"/>
  <c r="Q49" i="15"/>
  <c r="R49" i="15" s="1"/>
  <c r="S49" i="15" s="1"/>
  <c r="T49" i="15" s="1"/>
  <c r="Q5" i="15"/>
  <c r="R5" i="15" s="1"/>
  <c r="Q13" i="15"/>
  <c r="R13" i="15" s="1"/>
  <c r="Q29" i="15"/>
  <c r="R29" i="15" s="1"/>
  <c r="S29" i="15" s="1"/>
  <c r="T29" i="15" s="1"/>
  <c r="Q52" i="15"/>
  <c r="R52" i="15" s="1"/>
  <c r="S52" i="15" s="1"/>
  <c r="T52" i="15" s="1"/>
  <c r="C24" i="2"/>
  <c r="BX12" i="15"/>
  <c r="AJ20" i="15"/>
  <c r="D13" i="4"/>
  <c r="E13" i="4" s="1"/>
  <c r="L15" i="1"/>
  <c r="AJ32" i="15"/>
  <c r="AJ39" i="15"/>
  <c r="AJ66" i="15"/>
  <c r="BB39" i="15"/>
  <c r="D31" i="4"/>
  <c r="E31" i="4" s="1"/>
  <c r="C42" i="2"/>
  <c r="L33" i="1"/>
  <c r="BB20" i="15"/>
  <c r="BX52" i="15"/>
  <c r="BB32" i="15"/>
  <c r="BB66" i="15"/>
  <c r="BX25" i="15"/>
  <c r="BI39" i="15"/>
  <c r="BI32" i="15"/>
  <c r="BI20" i="15"/>
  <c r="D38" i="4"/>
  <c r="E38" i="4" s="1"/>
  <c r="L40" i="1"/>
  <c r="C49" i="2"/>
  <c r="BI66" i="15"/>
  <c r="AH20" i="15"/>
  <c r="AH66" i="15"/>
  <c r="AH39" i="15"/>
  <c r="BX8" i="15"/>
  <c r="AH32" i="15"/>
  <c r="L13" i="1"/>
  <c r="D11" i="4"/>
  <c r="E11" i="4" s="1"/>
  <c r="C22" i="2"/>
  <c r="AP66" i="15"/>
  <c r="D19" i="4"/>
  <c r="E19" i="4" s="1"/>
  <c r="C30" i="2"/>
  <c r="L21" i="1"/>
  <c r="BX67" i="15"/>
  <c r="AP32" i="15"/>
  <c r="AP20" i="15"/>
  <c r="AP39" i="15"/>
  <c r="BX56" i="15"/>
  <c r="BK66" i="15"/>
  <c r="BK32" i="15"/>
  <c r="BK39" i="15"/>
  <c r="BK20" i="15"/>
  <c r="D40" i="4"/>
  <c r="E40" i="4" s="1"/>
  <c r="C51" i="2"/>
  <c r="L42" i="1"/>
  <c r="K10" i="1"/>
  <c r="H44" i="9"/>
  <c r="BX16" i="15"/>
  <c r="BC39" i="15"/>
  <c r="BC32" i="15"/>
  <c r="D32" i="4"/>
  <c r="E32" i="4" s="1"/>
  <c r="L34" i="1"/>
  <c r="C43" i="2"/>
  <c r="BC66" i="15"/>
  <c r="BC20" i="15"/>
  <c r="AX20" i="15"/>
  <c r="BX42" i="15"/>
  <c r="AX39" i="15"/>
  <c r="AX66" i="15"/>
  <c r="AX32" i="15"/>
  <c r="C38" i="2"/>
  <c r="L29" i="1"/>
  <c r="D27" i="4"/>
  <c r="E27" i="4" s="1"/>
  <c r="L35" i="1"/>
  <c r="D33" i="4"/>
  <c r="E33" i="4" s="1"/>
  <c r="BX46" i="15"/>
  <c r="BD39" i="15"/>
  <c r="BD66" i="15"/>
  <c r="BD32" i="15"/>
  <c r="C44" i="2"/>
  <c r="BD20" i="15"/>
  <c r="C36" i="2"/>
  <c r="AV66" i="15"/>
  <c r="AV32" i="15"/>
  <c r="AV20" i="15"/>
  <c r="L27" i="1"/>
  <c r="D25" i="4"/>
  <c r="E25" i="4" s="1"/>
  <c r="AV39" i="15"/>
  <c r="BX30" i="15"/>
  <c r="AW20" i="15"/>
  <c r="AW66" i="15"/>
  <c r="AW39" i="15"/>
  <c r="AW32" i="15"/>
  <c r="BX63" i="15"/>
  <c r="C37" i="2"/>
  <c r="D26" i="4"/>
  <c r="E26" i="4" s="1"/>
  <c r="L28" i="1"/>
  <c r="C26" i="2"/>
  <c r="L17" i="1"/>
  <c r="AL32" i="15"/>
  <c r="AL39" i="15"/>
  <c r="BX48" i="15"/>
  <c r="AL66" i="15"/>
  <c r="AL20" i="15"/>
  <c r="D15" i="4"/>
  <c r="E15" i="4" s="1"/>
  <c r="AC66" i="15"/>
  <c r="AC32" i="15"/>
  <c r="BX39" i="15"/>
  <c r="AC20" i="15"/>
  <c r="AC39" i="15"/>
  <c r="D6" i="4"/>
  <c r="E6" i="4" s="1"/>
  <c r="L8" i="1"/>
  <c r="C17" i="2"/>
  <c r="BA39" i="15"/>
  <c r="BA66" i="15"/>
  <c r="BA20" i="15"/>
  <c r="BA32" i="15"/>
  <c r="D30" i="4"/>
  <c r="E30" i="4" s="1"/>
  <c r="BX40" i="15"/>
  <c r="L32" i="1"/>
  <c r="C41" i="2"/>
  <c r="K23" i="1"/>
  <c r="U44" i="9"/>
  <c r="BE39" i="15"/>
  <c r="BE32" i="15"/>
  <c r="BE20" i="15"/>
  <c r="BE66" i="15"/>
  <c r="C45" i="2"/>
  <c r="BX23" i="15"/>
  <c r="L36" i="1"/>
  <c r="D34" i="4"/>
  <c r="E34" i="4" s="1"/>
  <c r="BX53" i="15"/>
  <c r="AF20" i="15"/>
  <c r="AF66" i="15"/>
  <c r="AF39" i="15"/>
  <c r="AF32" i="15"/>
  <c r="L11" i="1"/>
  <c r="C20" i="2"/>
  <c r="D9" i="4"/>
  <c r="E9" i="4" s="1"/>
  <c r="AG20" i="15"/>
  <c r="AG66" i="15"/>
  <c r="AG39" i="15"/>
  <c r="L12" i="1"/>
  <c r="AG32" i="15"/>
  <c r="BX13" i="15"/>
  <c r="D10" i="4"/>
  <c r="E10" i="4" s="1"/>
  <c r="C21" i="2"/>
  <c r="BH32" i="15"/>
  <c r="BH39" i="15"/>
  <c r="BH20" i="15"/>
  <c r="BH66" i="15"/>
  <c r="C48" i="2"/>
  <c r="D37" i="4"/>
  <c r="E37" i="4" s="1"/>
  <c r="L39" i="1"/>
  <c r="BX35" i="15"/>
  <c r="BX68" i="15"/>
  <c r="AZ20" i="15"/>
  <c r="AZ32" i="15"/>
  <c r="C40" i="2"/>
  <c r="AZ66" i="15"/>
  <c r="AZ39" i="15"/>
  <c r="L31" i="1"/>
  <c r="D29" i="4"/>
  <c r="E29" i="4" s="1"/>
  <c r="BX51" i="15"/>
  <c r="BN32" i="15"/>
  <c r="BN66" i="15"/>
  <c r="BN39" i="15"/>
  <c r="C54" i="2"/>
  <c r="L45" i="1"/>
  <c r="BN20" i="15"/>
  <c r="D43" i="4"/>
  <c r="E43" i="4" s="1"/>
  <c r="Y69" i="15"/>
  <c r="S69" i="15" s="1"/>
  <c r="T69" i="15" s="1"/>
  <c r="D44" i="4"/>
  <c r="E44" i="4" s="1"/>
  <c r="BO39" i="15"/>
  <c r="BX71" i="15"/>
  <c r="L46" i="1"/>
  <c r="BO32" i="15"/>
  <c r="BO66" i="15"/>
  <c r="BO20" i="15"/>
  <c r="C55" i="2"/>
  <c r="S61" i="15"/>
  <c r="T61" i="15" s="1"/>
  <c r="S56" i="15"/>
  <c r="T56" i="15" s="1"/>
  <c r="P33" i="15"/>
  <c r="P13" i="15"/>
  <c r="P49" i="15"/>
  <c r="S17" i="15"/>
  <c r="T17" i="15" s="1"/>
  <c r="P37" i="15"/>
  <c r="P11" i="15"/>
  <c r="S5" i="15"/>
  <c r="T5" i="15" s="1"/>
  <c r="P58" i="15"/>
  <c r="S14" i="15"/>
  <c r="T14" i="15" s="1"/>
  <c r="P7" i="15"/>
  <c r="P45" i="15"/>
  <c r="S63" i="15"/>
  <c r="T63" i="15" s="1"/>
  <c r="P48" i="15"/>
  <c r="S40" i="15"/>
  <c r="T40" i="15" s="1"/>
  <c r="P62" i="15"/>
  <c r="S70" i="15"/>
  <c r="T70" i="15" s="1"/>
  <c r="V9" i="15"/>
  <c r="P60" i="15"/>
  <c r="S42" i="15"/>
  <c r="T42" i="15" s="1"/>
  <c r="S67" i="15"/>
  <c r="T67" i="15" s="1"/>
  <c r="P19" i="15"/>
  <c r="P55" i="15"/>
  <c r="P2" i="15"/>
  <c r="S66" i="15"/>
  <c r="T66" i="15" s="1"/>
  <c r="S26" i="15"/>
  <c r="T26" i="15" s="1"/>
  <c r="S28" i="15"/>
  <c r="T28" i="15" s="1"/>
  <c r="P47" i="15"/>
  <c r="P8" i="15"/>
  <c r="S68" i="15"/>
  <c r="T68" i="15" s="1"/>
  <c r="S15" i="15"/>
  <c r="T15" i="15" s="1"/>
  <c r="S9" i="15"/>
  <c r="T9" i="15" s="1"/>
  <c r="P52" i="15"/>
  <c r="S13" i="15"/>
  <c r="T13" i="15" s="1"/>
  <c r="P53" i="15"/>
  <c r="P44" i="15"/>
  <c r="P6" i="15"/>
  <c r="P15" i="15"/>
  <c r="S35" i="15"/>
  <c r="T35" i="15" s="1"/>
  <c r="S53" i="15"/>
  <c r="T53" i="15" s="1"/>
  <c r="P25" i="15"/>
  <c r="P41" i="15"/>
  <c r="S62" i="15"/>
  <c r="T62" i="15" s="1"/>
  <c r="P69" i="15"/>
  <c r="P65" i="15"/>
  <c r="P46" i="15"/>
  <c r="S31" i="15"/>
  <c r="T31" i="15" s="1"/>
  <c r="P26" i="15"/>
  <c r="P10" i="15"/>
  <c r="P39" i="15"/>
  <c r="P59" i="15"/>
  <c r="P38" i="15"/>
  <c r="P50" i="15"/>
  <c r="S25" i="15"/>
  <c r="T25" i="15" s="1"/>
  <c r="P29" i="15"/>
  <c r="P16" i="15"/>
  <c r="S39" i="15"/>
  <c r="T39" i="15" s="1"/>
  <c r="S8" i="15"/>
  <c r="T8" i="15" s="1"/>
  <c r="P71" i="15"/>
  <c r="P68" i="15"/>
  <c r="P31" i="15"/>
  <c r="P66" i="15"/>
  <c r="S23" i="15"/>
  <c r="T23" i="15" s="1"/>
  <c r="P24" i="15"/>
  <c r="S59" i="15"/>
  <c r="T59" i="15" s="1"/>
  <c r="P5" i="15"/>
  <c r="P32" i="15"/>
  <c r="P18" i="15"/>
  <c r="S18" i="15"/>
  <c r="T18" i="15" s="1"/>
  <c r="S16" i="15"/>
  <c r="T16" i="15" s="1"/>
  <c r="P54" i="15"/>
  <c r="P28" i="15"/>
  <c r="P61" i="15"/>
  <c r="P43" i="15"/>
  <c r="P12" i="15"/>
  <c r="P3" i="15"/>
  <c r="P64" i="15"/>
  <c r="P57" i="15"/>
  <c r="S60" i="15"/>
  <c r="T60" i="15" s="1"/>
  <c r="S64" i="15"/>
  <c r="T64" i="15" s="1"/>
  <c r="P9" i="15"/>
  <c r="P20" i="15"/>
  <c r="P22" i="15"/>
  <c r="P36" i="15"/>
  <c r="S24" i="15"/>
  <c r="T24" i="15" s="1"/>
  <c r="P27" i="15"/>
  <c r="P30" i="15"/>
  <c r="P56" i="15"/>
  <c r="S48" i="15"/>
  <c r="T48" i="15" s="1"/>
  <c r="P23" i="15"/>
  <c r="P21" i="15"/>
  <c r="P63" i="15"/>
  <c r="V64" i="15"/>
  <c r="S2" i="15"/>
  <c r="T2" i="15" s="1"/>
  <c r="P4" i="15"/>
  <c r="P34" i="15"/>
  <c r="P42" i="15"/>
  <c r="S6" i="15"/>
  <c r="T6" i="15" s="1"/>
  <c r="P14" i="15"/>
  <c r="P67" i="15"/>
  <c r="S46" i="15"/>
  <c r="T46" i="15" s="1"/>
  <c r="S71" i="15"/>
  <c r="T71" i="15" s="1"/>
  <c r="P70" i="15"/>
  <c r="P35" i="15"/>
  <c r="S7" i="15"/>
  <c r="T7" i="15" s="1"/>
  <c r="S36" i="15"/>
  <c r="T36" i="15" s="1"/>
  <c r="P51" i="15"/>
  <c r="P17" i="15"/>
  <c r="S4" i="15"/>
  <c r="T4" i="15" s="1"/>
  <c r="S45" i="15"/>
  <c r="T45" i="15" s="1"/>
  <c r="P40" i="15"/>
  <c r="S57" i="15"/>
  <c r="T57" i="15" s="1"/>
  <c r="F75" i="9" l="1"/>
  <c r="F109" i="9"/>
  <c r="F81" i="9"/>
  <c r="G117" i="9"/>
  <c r="N71" i="3" s="1"/>
  <c r="G118" i="9"/>
  <c r="N72" i="3" s="1"/>
  <c r="G64" i="9"/>
  <c r="N18" i="3" s="1"/>
  <c r="G79" i="9"/>
  <c r="N33" i="3" s="1"/>
  <c r="F69" i="9"/>
  <c r="G119" i="9"/>
  <c r="N73" i="3" s="1"/>
  <c r="G88" i="9"/>
  <c r="N42" i="3" s="1"/>
  <c r="F63" i="9"/>
  <c r="G63" i="9"/>
  <c r="N17" i="3" s="1"/>
  <c r="G85" i="9"/>
  <c r="N39" i="3" s="1"/>
  <c r="F60" i="9"/>
  <c r="F114" i="9"/>
  <c r="G61" i="9"/>
  <c r="N15" i="3" s="1"/>
  <c r="G66" i="9"/>
  <c r="N20" i="3" s="1"/>
  <c r="G86" i="9"/>
  <c r="N40" i="3" s="1"/>
  <c r="G115" i="9"/>
  <c r="N69" i="3" s="1"/>
  <c r="M29" i="3"/>
  <c r="K75" i="9"/>
  <c r="F98" i="9"/>
  <c r="G82" i="9"/>
  <c r="N36" i="3" s="1"/>
  <c r="G77" i="9"/>
  <c r="N31" i="3" s="1"/>
  <c r="G94" i="9"/>
  <c r="N48" i="3" s="1"/>
  <c r="F78" i="9"/>
  <c r="G89" i="9"/>
  <c r="N43" i="3" s="1"/>
  <c r="G65" i="9"/>
  <c r="N19" i="3" s="1"/>
  <c r="G105" i="9"/>
  <c r="N59" i="3" s="1"/>
  <c r="F118" i="9"/>
  <c r="K109" i="9"/>
  <c r="M63" i="3"/>
  <c r="G78" i="9"/>
  <c r="N32" i="3" s="1"/>
  <c r="G70" i="9"/>
  <c r="N24" i="3" s="1"/>
  <c r="G50" i="9"/>
  <c r="N4" i="3" s="1"/>
  <c r="F103" i="9"/>
  <c r="F50" i="9"/>
  <c r="F119" i="9"/>
  <c r="G76" i="9"/>
  <c r="N30" i="3" s="1"/>
  <c r="F111" i="9"/>
  <c r="F116" i="9"/>
  <c r="F84" i="9"/>
  <c r="G101" i="9"/>
  <c r="N55" i="3" s="1"/>
  <c r="F73" i="9"/>
  <c r="G108" i="9"/>
  <c r="N62" i="3" s="1"/>
  <c r="G67" i="9"/>
  <c r="N21" i="3" s="1"/>
  <c r="F112" i="9"/>
  <c r="F80" i="9"/>
  <c r="F87" i="9"/>
  <c r="F107" i="9"/>
  <c r="BX34" i="15"/>
  <c r="BF20" i="15"/>
  <c r="BF39" i="15"/>
  <c r="BF32" i="15"/>
  <c r="D35" i="4"/>
  <c r="E35" i="4" s="1"/>
  <c r="C46" i="2"/>
  <c r="BF66" i="15"/>
  <c r="L37" i="1"/>
  <c r="F52" i="9"/>
  <c r="F115" i="9"/>
  <c r="F90" i="9"/>
  <c r="F74" i="9"/>
  <c r="G58" i="9"/>
  <c r="N12" i="3" s="1"/>
  <c r="F51" i="9"/>
  <c r="F117" i="9"/>
  <c r="F82" i="9"/>
  <c r="G100" i="9"/>
  <c r="N54" i="3" s="1"/>
  <c r="F58" i="9"/>
  <c r="F89" i="9"/>
  <c r="G87" i="9"/>
  <c r="N41" i="3" s="1"/>
  <c r="G73" i="9"/>
  <c r="N27" i="3" s="1"/>
  <c r="F59" i="9"/>
  <c r="G69" i="9"/>
  <c r="N23" i="3" s="1"/>
  <c r="F110" i="9"/>
  <c r="G59" i="9"/>
  <c r="N13" i="3" s="1"/>
  <c r="G74" i="9"/>
  <c r="N28" i="3" s="1"/>
  <c r="BG32" i="15"/>
  <c r="BG66" i="15"/>
  <c r="BG20" i="15"/>
  <c r="D36" i="4"/>
  <c r="E36" i="4" s="1"/>
  <c r="C47" i="2"/>
  <c r="L38" i="1"/>
  <c r="BG39" i="15"/>
  <c r="BX18" i="15"/>
  <c r="F67" i="9"/>
  <c r="F92" i="9"/>
  <c r="G103" i="9"/>
  <c r="N57" i="3" s="1"/>
  <c r="F113" i="9"/>
  <c r="F104" i="9"/>
  <c r="F106" i="9"/>
  <c r="G111" i="9"/>
  <c r="N65" i="3" s="1"/>
  <c r="F77" i="9"/>
  <c r="F93" i="9"/>
  <c r="G75" i="9"/>
  <c r="N29" i="3" s="1"/>
  <c r="G62" i="9"/>
  <c r="N16" i="3" s="1"/>
  <c r="G97" i="9"/>
  <c r="N51" i="3" s="1"/>
  <c r="G54" i="9"/>
  <c r="N8" i="3" s="1"/>
  <c r="G107" i="9"/>
  <c r="N61" i="3" s="1"/>
  <c r="G55" i="9"/>
  <c r="N9" i="3" s="1"/>
  <c r="G56" i="9"/>
  <c r="N10" i="3" s="1"/>
  <c r="F68" i="9"/>
  <c r="F55" i="9"/>
  <c r="E4" i="4"/>
  <c r="H3" i="1"/>
  <c r="BX31" i="15"/>
  <c r="AR32" i="15"/>
  <c r="AR66" i="15"/>
  <c r="AR20" i="15"/>
  <c r="AR39" i="15"/>
  <c r="L23" i="1"/>
  <c r="C32" i="2"/>
  <c r="D21" i="4"/>
  <c r="E21" i="4" s="1"/>
  <c r="G90" i="9"/>
  <c r="N44" i="3" s="1"/>
  <c r="G51" i="9"/>
  <c r="N5" i="3" s="1"/>
  <c r="F64" i="9"/>
  <c r="G112" i="9"/>
  <c r="N66" i="3" s="1"/>
  <c r="F61" i="9"/>
  <c r="G98" i="9"/>
  <c r="N52" i="3" s="1"/>
  <c r="F56" i="9"/>
  <c r="F62" i="9"/>
  <c r="F101" i="9"/>
  <c r="F85" i="9"/>
  <c r="F65" i="9"/>
  <c r="F83" i="9"/>
  <c r="G91" i="9"/>
  <c r="N45" i="3" s="1"/>
  <c r="F99" i="9"/>
  <c r="F57" i="9"/>
  <c r="F108" i="9"/>
  <c r="G57" i="9"/>
  <c r="N11" i="3" s="1"/>
  <c r="F96" i="9"/>
  <c r="K81" i="9"/>
  <c r="M35" i="3"/>
  <c r="AE66" i="15"/>
  <c r="AE39" i="15"/>
  <c r="AE32" i="15"/>
  <c r="BX14" i="15"/>
  <c r="D8" i="4"/>
  <c r="E8" i="4" s="1"/>
  <c r="C19" i="2"/>
  <c r="L10" i="1"/>
  <c r="AE20" i="15"/>
  <c r="F53" i="9"/>
  <c r="G83" i="9"/>
  <c r="N37" i="3" s="1"/>
  <c r="G81" i="9"/>
  <c r="N35" i="3" s="1"/>
  <c r="G60" i="9"/>
  <c r="N14" i="3" s="1"/>
  <c r="F66" i="9"/>
  <c r="G116" i="9"/>
  <c r="N70" i="3" s="1"/>
  <c r="F91" i="9"/>
  <c r="G93" i="9"/>
  <c r="N47" i="3" s="1"/>
  <c r="F70" i="9"/>
  <c r="F94" i="9"/>
  <c r="F86" i="9"/>
  <c r="F95" i="9"/>
  <c r="G71" i="9"/>
  <c r="N25" i="3" s="1"/>
  <c r="G106" i="9"/>
  <c r="N60" i="3" s="1"/>
  <c r="G52" i="9"/>
  <c r="N6" i="3" s="1"/>
  <c r="G68" i="9"/>
  <c r="N22" i="3" s="1"/>
  <c r="G110" i="9"/>
  <c r="N64" i="3" s="1"/>
  <c r="K3" i="1"/>
  <c r="AM66" i="15"/>
  <c r="C27" i="2"/>
  <c r="AM39" i="15"/>
  <c r="AM32" i="15"/>
  <c r="BX54" i="15"/>
  <c r="AM20" i="15"/>
  <c r="L18" i="1"/>
  <c r="D16" i="4"/>
  <c r="E16" i="4" s="1"/>
  <c r="F79" i="9"/>
  <c r="G80" i="9"/>
  <c r="N34" i="3" s="1"/>
  <c r="G102" i="9"/>
  <c r="N56" i="3" s="1"/>
  <c r="G104" i="9"/>
  <c r="N58" i="3" s="1"/>
  <c r="G84" i="9"/>
  <c r="N38" i="3" s="1"/>
  <c r="F100" i="9"/>
  <c r="G113" i="9"/>
  <c r="N67" i="3" s="1"/>
  <c r="G114" i="9"/>
  <c r="N68" i="3" s="1"/>
  <c r="I3" i="1"/>
  <c r="G96" i="9"/>
  <c r="N50" i="3" s="1"/>
  <c r="F72" i="9"/>
  <c r="F54" i="9"/>
  <c r="F76" i="9"/>
  <c r="G99" i="9"/>
  <c r="N53" i="3" s="1"/>
  <c r="F105" i="9"/>
  <c r="F102" i="9"/>
  <c r="F71" i="9"/>
  <c r="M3" i="1"/>
  <c r="BJ66" i="15"/>
  <c r="D39" i="4"/>
  <c r="E39" i="4" s="1"/>
  <c r="C50" i="2"/>
  <c r="L41" i="1"/>
  <c r="BX7" i="15"/>
  <c r="BJ39" i="15"/>
  <c r="BJ20" i="15"/>
  <c r="BJ32" i="15"/>
  <c r="K69" i="9"/>
  <c r="M23" i="3"/>
  <c r="G109" i="9"/>
  <c r="N63" i="3" s="1"/>
  <c r="G92" i="9"/>
  <c r="N46" i="3" s="1"/>
  <c r="F97" i="9"/>
  <c r="G53" i="9"/>
  <c r="N7" i="3" s="1"/>
  <c r="G72" i="9"/>
  <c r="N26" i="3" s="1"/>
  <c r="G95" i="9"/>
  <c r="N49" i="3" s="1"/>
  <c r="F88" i="9"/>
  <c r="B57" i="1"/>
  <c r="N59" i="1"/>
  <c r="C56" i="1"/>
  <c r="O11" i="1"/>
  <c r="B58" i="1"/>
  <c r="C58" i="1"/>
  <c r="C57" i="1"/>
  <c r="D56" i="1"/>
  <c r="N60" i="1"/>
  <c r="D58" i="1"/>
  <c r="D57" i="1"/>
  <c r="E57" i="1"/>
  <c r="E56" i="1"/>
  <c r="N61" i="1"/>
  <c r="N62" i="1"/>
  <c r="E58" i="1"/>
  <c r="F57" i="1"/>
  <c r="F56" i="1"/>
  <c r="N63" i="1"/>
  <c r="F58" i="1"/>
  <c r="G57" i="1"/>
  <c r="G56" i="1"/>
  <c r="N64" i="1"/>
  <c r="G58" i="1"/>
  <c r="N54" i="1"/>
  <c r="N55" i="1"/>
  <c r="N56" i="1"/>
  <c r="N57" i="1"/>
  <c r="N58" i="1"/>
  <c r="B56" i="1"/>
  <c r="I81" i="9" l="1"/>
  <c r="O21" i="1"/>
  <c r="I69" i="9"/>
  <c r="F9" i="2"/>
  <c r="B8" i="2"/>
  <c r="B61" i="2" s="1"/>
  <c r="S15" i="1"/>
  <c r="K113" i="9"/>
  <c r="M67" i="3"/>
  <c r="I113" i="9"/>
  <c r="K53" i="9"/>
  <c r="M7" i="3"/>
  <c r="I53" i="9"/>
  <c r="K99" i="9"/>
  <c r="M53" i="3"/>
  <c r="I99" i="9"/>
  <c r="S21" i="1"/>
  <c r="I59" i="9"/>
  <c r="K59" i="9"/>
  <c r="M13" i="3"/>
  <c r="I95" i="9"/>
  <c r="M49" i="3"/>
  <c r="K95" i="9"/>
  <c r="O22" i="1"/>
  <c r="I92" i="9"/>
  <c r="K92" i="9"/>
  <c r="M46" i="3"/>
  <c r="K119" i="9"/>
  <c r="I119" i="9"/>
  <c r="M73" i="3"/>
  <c r="K88" i="9"/>
  <c r="M42" i="3"/>
  <c r="I88" i="9"/>
  <c r="K57" i="9"/>
  <c r="M11" i="3"/>
  <c r="I57" i="9"/>
  <c r="K111" i="9"/>
  <c r="M65" i="3"/>
  <c r="I111" i="9"/>
  <c r="K71" i="9"/>
  <c r="M25" i="3"/>
  <c r="I71" i="9"/>
  <c r="K79" i="9"/>
  <c r="M33" i="3"/>
  <c r="I79" i="9"/>
  <c r="M40" i="3"/>
  <c r="I86" i="9"/>
  <c r="K86" i="9"/>
  <c r="K83" i="9"/>
  <c r="M37" i="3"/>
  <c r="I83" i="9"/>
  <c r="P15" i="1"/>
  <c r="P18" i="1"/>
  <c r="I67" i="9"/>
  <c r="M21" i="3"/>
  <c r="K67" i="9"/>
  <c r="K89" i="9"/>
  <c r="M43" i="3"/>
  <c r="I89" i="9"/>
  <c r="K50" i="9"/>
  <c r="M4" i="3"/>
  <c r="I50" i="9"/>
  <c r="J50" i="9" s="1"/>
  <c r="I98" i="9"/>
  <c r="M52" i="3"/>
  <c r="K98" i="9"/>
  <c r="M51" i="3"/>
  <c r="I97" i="9"/>
  <c r="K97" i="9"/>
  <c r="K102" i="9"/>
  <c r="I102" i="9"/>
  <c r="M56" i="3"/>
  <c r="I94" i="9"/>
  <c r="K94" i="9"/>
  <c r="M48" i="3"/>
  <c r="K65" i="9"/>
  <c r="M19" i="3"/>
  <c r="I65" i="9"/>
  <c r="O20" i="1"/>
  <c r="P21" i="1"/>
  <c r="K58" i="9"/>
  <c r="M12" i="3"/>
  <c r="I58" i="9"/>
  <c r="M57" i="3"/>
  <c r="I103" i="9"/>
  <c r="K103" i="9"/>
  <c r="I75" i="9"/>
  <c r="K105" i="9"/>
  <c r="M59" i="3"/>
  <c r="I105" i="9"/>
  <c r="K85" i="9"/>
  <c r="M39" i="3"/>
  <c r="I85" i="9"/>
  <c r="S17" i="1"/>
  <c r="O19" i="1"/>
  <c r="O29" i="3"/>
  <c r="U68" i="15"/>
  <c r="V68" i="15" s="1"/>
  <c r="F8" i="2"/>
  <c r="B62" i="2" s="1"/>
  <c r="I101" i="9"/>
  <c r="M55" i="3"/>
  <c r="K101" i="9"/>
  <c r="P22" i="1"/>
  <c r="S20" i="1"/>
  <c r="I82" i="9"/>
  <c r="K82" i="9"/>
  <c r="M36" i="3"/>
  <c r="M61" i="3"/>
  <c r="I107" i="9"/>
  <c r="K107" i="9"/>
  <c r="M30" i="3"/>
  <c r="K76" i="9"/>
  <c r="I76" i="9"/>
  <c r="B9" i="2"/>
  <c r="A12" i="2" s="1"/>
  <c r="K62" i="9"/>
  <c r="M16" i="3"/>
  <c r="I62" i="9"/>
  <c r="G3" i="1"/>
  <c r="S16" i="1"/>
  <c r="P19" i="1"/>
  <c r="I117" i="9"/>
  <c r="K117" i="9"/>
  <c r="M71" i="3"/>
  <c r="K87" i="9"/>
  <c r="M41" i="3"/>
  <c r="I87" i="9"/>
  <c r="K54" i="9"/>
  <c r="M8" i="3"/>
  <c r="I54" i="9"/>
  <c r="K56" i="9"/>
  <c r="M10" i="3"/>
  <c r="I56" i="9"/>
  <c r="S19" i="1"/>
  <c r="S18" i="1"/>
  <c r="K51" i="9"/>
  <c r="M5" i="3"/>
  <c r="I51" i="9"/>
  <c r="J51" i="9" s="1"/>
  <c r="K80" i="9"/>
  <c r="M34" i="3"/>
  <c r="I80" i="9"/>
  <c r="I109" i="9"/>
  <c r="U22" i="15"/>
  <c r="V22" i="15" s="1"/>
  <c r="O23" i="3"/>
  <c r="M26" i="3"/>
  <c r="K72" i="9"/>
  <c r="I72" i="9"/>
  <c r="K70" i="9"/>
  <c r="M24" i="3"/>
  <c r="I70" i="9"/>
  <c r="O17" i="1"/>
  <c r="O18" i="1"/>
  <c r="K112" i="9"/>
  <c r="M66" i="3"/>
  <c r="I112" i="9"/>
  <c r="K61" i="9"/>
  <c r="M15" i="3"/>
  <c r="I61" i="9"/>
  <c r="M9" i="3"/>
  <c r="K55" i="9"/>
  <c r="I55" i="9"/>
  <c r="P20" i="1"/>
  <c r="O16" i="1"/>
  <c r="K74" i="9"/>
  <c r="M28" i="3"/>
  <c r="I74" i="9"/>
  <c r="U10" i="15"/>
  <c r="V10" i="15" s="1"/>
  <c r="O63" i="3"/>
  <c r="K91" i="9"/>
  <c r="M45" i="3"/>
  <c r="I91" i="9"/>
  <c r="K68" i="9"/>
  <c r="M22" i="3"/>
  <c r="I68" i="9"/>
  <c r="S22" i="1"/>
  <c r="M47" i="3"/>
  <c r="I93" i="9"/>
  <c r="K93" i="9"/>
  <c r="I90" i="9"/>
  <c r="K90" i="9"/>
  <c r="M44" i="3"/>
  <c r="K118" i="9"/>
  <c r="M72" i="3"/>
  <c r="I118" i="9"/>
  <c r="K114" i="9"/>
  <c r="M68" i="3"/>
  <c r="I114" i="9"/>
  <c r="U34" i="15"/>
  <c r="V34" i="15" s="1"/>
  <c r="O35" i="3"/>
  <c r="K64" i="9"/>
  <c r="M18" i="3"/>
  <c r="I64" i="9"/>
  <c r="P16" i="1"/>
  <c r="M31" i="3"/>
  <c r="K77" i="9"/>
  <c r="I77" i="9"/>
  <c r="K115" i="9"/>
  <c r="M69" i="3"/>
  <c r="I115" i="9"/>
  <c r="K73" i="9"/>
  <c r="M27" i="3"/>
  <c r="I73" i="9"/>
  <c r="K60" i="9"/>
  <c r="M14" i="3"/>
  <c r="I60" i="9"/>
  <c r="K66" i="9"/>
  <c r="I66" i="9"/>
  <c r="M20" i="3"/>
  <c r="K96" i="9"/>
  <c r="M50" i="3"/>
  <c r="I96" i="9"/>
  <c r="O15" i="1"/>
  <c r="M6" i="3"/>
  <c r="I52" i="9"/>
  <c r="K52" i="9"/>
  <c r="M54" i="3"/>
  <c r="I100" i="9"/>
  <c r="K100" i="9"/>
  <c r="P17" i="1"/>
  <c r="K106" i="9"/>
  <c r="M60" i="3"/>
  <c r="I106" i="9"/>
  <c r="M64" i="3"/>
  <c r="K110" i="9"/>
  <c r="I110" i="9"/>
  <c r="M38" i="3"/>
  <c r="K84" i="9"/>
  <c r="I84" i="9"/>
  <c r="J84" i="9" s="1"/>
  <c r="K108" i="9"/>
  <c r="I108" i="9"/>
  <c r="M62" i="3"/>
  <c r="I104" i="9"/>
  <c r="K104" i="9"/>
  <c r="M58" i="3"/>
  <c r="K116" i="9"/>
  <c r="I116" i="9"/>
  <c r="M70" i="3"/>
  <c r="K78" i="9"/>
  <c r="M32" i="3"/>
  <c r="I78" i="9"/>
  <c r="K63" i="9"/>
  <c r="M17" i="3"/>
  <c r="I63" i="9"/>
  <c r="G35" i="1"/>
  <c r="H35" i="1"/>
  <c r="D38" i="1"/>
  <c r="C38" i="1"/>
  <c r="B38" i="1"/>
  <c r="G38" i="1"/>
  <c r="H38" i="1"/>
  <c r="F38" i="1"/>
  <c r="E38" i="1"/>
  <c r="H37" i="1"/>
  <c r="G37" i="1"/>
  <c r="F37" i="1"/>
  <c r="E37" i="1"/>
  <c r="D37" i="1"/>
  <c r="B37" i="1"/>
  <c r="C37" i="1"/>
  <c r="H42" i="1"/>
  <c r="G42" i="1"/>
  <c r="F42" i="1"/>
  <c r="E42" i="1"/>
  <c r="D42" i="1"/>
  <c r="C42" i="1"/>
  <c r="B42" i="1"/>
  <c r="C41" i="1"/>
  <c r="B41" i="1"/>
  <c r="H41" i="1"/>
  <c r="G41" i="1"/>
  <c r="F41" i="1"/>
  <c r="E41" i="1"/>
  <c r="D41" i="1"/>
  <c r="E35" i="1"/>
  <c r="D35" i="1"/>
  <c r="C35" i="1"/>
  <c r="B35" i="1"/>
  <c r="F35" i="1"/>
  <c r="T7" i="1"/>
  <c r="R7" i="1"/>
  <c r="P7" i="1"/>
  <c r="U7" i="1"/>
  <c r="V7" i="1"/>
  <c r="O6" i="1"/>
  <c r="H40" i="1"/>
  <c r="G40" i="1"/>
  <c r="F40" i="1"/>
  <c r="E40" i="1"/>
  <c r="D40" i="1"/>
  <c r="C40" i="1"/>
  <c r="B40" i="1"/>
  <c r="B44" i="1"/>
  <c r="H44" i="1"/>
  <c r="G44" i="1"/>
  <c r="F44" i="1"/>
  <c r="E44" i="1"/>
  <c r="D44" i="1"/>
  <c r="C44" i="1"/>
  <c r="H36" i="1"/>
  <c r="G36" i="1"/>
  <c r="F36" i="1"/>
  <c r="E36" i="1"/>
  <c r="D36" i="1"/>
  <c r="C36" i="1"/>
  <c r="B36" i="1"/>
  <c r="H43" i="1"/>
  <c r="G43" i="1"/>
  <c r="F43" i="1"/>
  <c r="E43" i="1"/>
  <c r="D43" i="1"/>
  <c r="C43" i="1"/>
  <c r="B43" i="1"/>
  <c r="H39" i="1"/>
  <c r="G39" i="1"/>
  <c r="F39" i="1"/>
  <c r="E39" i="1"/>
  <c r="D39" i="1"/>
  <c r="C39" i="1"/>
  <c r="B39" i="1"/>
  <c r="J110" i="9" l="1"/>
  <c r="J119" i="9"/>
  <c r="J66" i="9"/>
  <c r="J85" i="9"/>
  <c r="J107" i="9"/>
  <c r="J80" i="9"/>
  <c r="J92" i="9"/>
  <c r="J117" i="9"/>
  <c r="J95" i="9"/>
  <c r="J57" i="9"/>
  <c r="J118" i="9"/>
  <c r="J81" i="9"/>
  <c r="J52" i="9"/>
  <c r="J63" i="9"/>
  <c r="J100" i="9"/>
  <c r="J72" i="9"/>
  <c r="J90" i="9"/>
  <c r="J60" i="9"/>
  <c r="J82" i="9"/>
  <c r="O59" i="3"/>
  <c r="U6" i="15"/>
  <c r="V6" i="15" s="1"/>
  <c r="J111" i="9"/>
  <c r="U2" i="15"/>
  <c r="V2" i="15" s="1"/>
  <c r="O49" i="3"/>
  <c r="J104" i="9"/>
  <c r="U42" i="15"/>
  <c r="V42" i="15" s="1"/>
  <c r="O27" i="3"/>
  <c r="U32" i="15"/>
  <c r="V32" i="15" s="1"/>
  <c r="O5" i="3"/>
  <c r="J75" i="9"/>
  <c r="J102" i="9"/>
  <c r="J67" i="9"/>
  <c r="J115" i="9"/>
  <c r="U61" i="15"/>
  <c r="V61" i="15" s="1"/>
  <c r="O57" i="3"/>
  <c r="U44" i="15"/>
  <c r="V44" i="15" s="1"/>
  <c r="O56" i="3"/>
  <c r="O65" i="3"/>
  <c r="U62" i="15"/>
  <c r="V62" i="15" s="1"/>
  <c r="U39" i="15"/>
  <c r="V39" i="15" s="1"/>
  <c r="O6" i="3"/>
  <c r="J108" i="9"/>
  <c r="U15" i="15"/>
  <c r="V15" i="15" s="1"/>
  <c r="O72" i="3"/>
  <c r="J74" i="9"/>
  <c r="J70" i="9"/>
  <c r="J62" i="9"/>
  <c r="O55" i="3"/>
  <c r="U37" i="15"/>
  <c r="V37" i="15" s="1"/>
  <c r="J103" i="9"/>
  <c r="U11" i="15"/>
  <c r="V11" i="15" s="1"/>
  <c r="O51" i="3"/>
  <c r="U50" i="15"/>
  <c r="V50" i="15" s="1"/>
  <c r="O66" i="3"/>
  <c r="U33" i="15"/>
  <c r="V33" i="15" s="1"/>
  <c r="O62" i="3"/>
  <c r="U26" i="15"/>
  <c r="V26" i="15" s="1"/>
  <c r="O69" i="3"/>
  <c r="J56" i="9"/>
  <c r="J97" i="9"/>
  <c r="J83" i="9"/>
  <c r="U12" i="15"/>
  <c r="V12" i="15" s="1"/>
  <c r="O13" i="3"/>
  <c r="J77" i="9"/>
  <c r="U71" i="15"/>
  <c r="V71" i="15" s="1"/>
  <c r="O44" i="3"/>
  <c r="U65" i="15"/>
  <c r="V65" i="15" s="1"/>
  <c r="O28" i="3"/>
  <c r="U29" i="15"/>
  <c r="V29" i="15" s="1"/>
  <c r="O24" i="3"/>
  <c r="U54" i="15"/>
  <c r="V54" i="15" s="1"/>
  <c r="O16" i="3"/>
  <c r="J101" i="9"/>
  <c r="J58" i="9"/>
  <c r="U8" i="15"/>
  <c r="V8" i="15" s="1"/>
  <c r="O11" i="3"/>
  <c r="J59" i="9"/>
  <c r="U59" i="15"/>
  <c r="V59" i="15" s="1"/>
  <c r="O52" i="3"/>
  <c r="U35" i="15"/>
  <c r="V35" i="15" s="1"/>
  <c r="O37" i="3"/>
  <c r="J88" i="9"/>
  <c r="O68" i="3"/>
  <c r="U64" i="15"/>
  <c r="U41" i="15"/>
  <c r="V41" i="15" s="1"/>
  <c r="O47" i="3"/>
  <c r="U63" i="15"/>
  <c r="V63" i="15" s="1"/>
  <c r="O26" i="3"/>
  <c r="J54" i="9"/>
  <c r="J76" i="9"/>
  <c r="O12" i="3"/>
  <c r="U57" i="15"/>
  <c r="V57" i="15" s="1"/>
  <c r="O40" i="3"/>
  <c r="U56" i="15"/>
  <c r="V56" i="15" s="1"/>
  <c r="J99" i="9"/>
  <c r="O17" i="3"/>
  <c r="U47" i="15"/>
  <c r="V47" i="15" s="1"/>
  <c r="U58" i="15"/>
  <c r="V58" i="15" s="1"/>
  <c r="O50" i="3"/>
  <c r="J93" i="9"/>
  <c r="J55" i="9"/>
  <c r="U40" i="15"/>
  <c r="V40" i="15" s="1"/>
  <c r="O30" i="3"/>
  <c r="J98" i="9"/>
  <c r="J86" i="9"/>
  <c r="O42" i="3"/>
  <c r="U24" i="15"/>
  <c r="V24" i="15" s="1"/>
  <c r="O31" i="3"/>
  <c r="U52" i="15"/>
  <c r="V52" i="15" s="1"/>
  <c r="U19" i="15"/>
  <c r="V19" i="15" s="1"/>
  <c r="O64" i="3"/>
  <c r="U53" i="15"/>
  <c r="V53" i="15" s="1"/>
  <c r="O9" i="3"/>
  <c r="U14" i="15"/>
  <c r="V14" i="15" s="1"/>
  <c r="O8" i="3"/>
  <c r="U3" i="15"/>
  <c r="V3" i="15" s="1"/>
  <c r="O53" i="3"/>
  <c r="J78" i="9"/>
  <c r="J87" i="9"/>
  <c r="J69" i="9"/>
  <c r="J65" i="9"/>
  <c r="J79" i="9"/>
  <c r="J53" i="9"/>
  <c r="U55" i="15"/>
  <c r="V55" i="15" s="1"/>
  <c r="O45" i="3"/>
  <c r="J96" i="9"/>
  <c r="J64" i="9"/>
  <c r="O32" i="3"/>
  <c r="U16" i="15"/>
  <c r="V16" i="15" s="1"/>
  <c r="J106" i="9"/>
  <c r="U9" i="15"/>
  <c r="O20" i="3"/>
  <c r="U17" i="15"/>
  <c r="V17" i="15" s="1"/>
  <c r="O18" i="3"/>
  <c r="J68" i="9"/>
  <c r="J61" i="9"/>
  <c r="J109" i="9"/>
  <c r="O61" i="3"/>
  <c r="U70" i="15"/>
  <c r="V70" i="15" s="1"/>
  <c r="O4" i="3"/>
  <c r="U66" i="15"/>
  <c r="V66" i="15" s="1"/>
  <c r="U28" i="15"/>
  <c r="V28" i="15" s="1"/>
  <c r="O73" i="3"/>
  <c r="U13" i="15"/>
  <c r="V13" i="15" s="1"/>
  <c r="O10" i="3"/>
  <c r="U38" i="15"/>
  <c r="V38" i="15" s="1"/>
  <c r="O41" i="3"/>
  <c r="U67" i="15"/>
  <c r="V67" i="15" s="1"/>
  <c r="O19" i="3"/>
  <c r="J89" i="9"/>
  <c r="U46" i="15"/>
  <c r="V46" i="15" s="1"/>
  <c r="O33" i="3"/>
  <c r="U20" i="15"/>
  <c r="V20" i="15" s="1"/>
  <c r="O7" i="3"/>
  <c r="J116" i="9"/>
  <c r="U27" i="15"/>
  <c r="V27" i="15" s="1"/>
  <c r="O60" i="3"/>
  <c r="U43" i="15"/>
  <c r="V43" i="15" s="1"/>
  <c r="O22" i="3"/>
  <c r="U48" i="15"/>
  <c r="V48" i="15" s="1"/>
  <c r="O15" i="3"/>
  <c r="O39" i="3"/>
  <c r="U7" i="15"/>
  <c r="V7" i="15" s="1"/>
  <c r="J71" i="9"/>
  <c r="O46" i="3"/>
  <c r="U4" i="15"/>
  <c r="V4" i="15" s="1"/>
  <c r="J113" i="9"/>
  <c r="U45" i="15"/>
  <c r="V45" i="15" s="1"/>
  <c r="O58" i="3"/>
  <c r="O38" i="3"/>
  <c r="U25" i="15"/>
  <c r="V25" i="15" s="1"/>
  <c r="U21" i="15"/>
  <c r="V21" i="15" s="1"/>
  <c r="O70" i="3"/>
  <c r="U36" i="15"/>
  <c r="V36" i="15" s="1"/>
  <c r="O14" i="3"/>
  <c r="J114" i="9"/>
  <c r="J91" i="9"/>
  <c r="J112" i="9"/>
  <c r="O34" i="3"/>
  <c r="U23" i="15"/>
  <c r="V23" i="15" s="1"/>
  <c r="U5" i="15"/>
  <c r="V5" i="15" s="1"/>
  <c r="O71" i="3"/>
  <c r="J105" i="9"/>
  <c r="U69" i="15"/>
  <c r="V69" i="15" s="1"/>
  <c r="O48" i="3"/>
  <c r="U51" i="15"/>
  <c r="V51" i="15" s="1"/>
  <c r="O43" i="3"/>
  <c r="U60" i="15"/>
  <c r="V60" i="15" s="1"/>
  <c r="O54" i="3"/>
  <c r="J73" i="9"/>
  <c r="O36" i="3"/>
  <c r="U18" i="15"/>
  <c r="V18" i="15" s="1"/>
  <c r="J94" i="9"/>
  <c r="U31" i="15"/>
  <c r="V31" i="15" s="1"/>
  <c r="O21" i="3"/>
  <c r="U30" i="15"/>
  <c r="V30" i="15" s="1"/>
  <c r="O25" i="3"/>
  <c r="U49" i="15"/>
  <c r="V49" i="15" s="1"/>
  <c r="O67" i="3"/>
  <c r="H58" i="1" l="1"/>
  <c r="H57" i="1"/>
  <c r="O8" i="1"/>
  <c r="H56" i="1"/>
</calcChain>
</file>

<file path=xl/sharedStrings.xml><?xml version="1.0" encoding="utf-8"?>
<sst xmlns="http://schemas.openxmlformats.org/spreadsheetml/2006/main" count="16844" uniqueCount="2037">
  <si>
    <t>CoA RAID COMP — КОНСТРУКТОР СОСТАВА</t>
  </si>
  <si>
    <t>НАСТРОЙКИ И РЕЙДОВЫЙ СОВЕТНИК</t>
  </si>
  <si>
    <t>Заполняй класс и специализацию. Роль определяется автоматически. Сначала закрываются критические эффекты и роли; затем решают логи, выживаемость и уникальность состава.</t>
  </si>
  <si>
    <t>Профиль</t>
  </si>
  <si>
    <t>Универсальный</t>
  </si>
  <si>
    <t>Уникальность</t>
  </si>
  <si>
    <t>Умеренно</t>
  </si>
  <si>
    <t>Макс. спек</t>
  </si>
  <si>
    <t>Макс. класс</t>
  </si>
  <si>
    <t>Роль для рекомендаций</t>
  </si>
  <si>
    <t>Любая</t>
  </si>
  <si>
    <t>Игроков</t>
  </si>
  <si>
    <t>Крит. не хватает</t>
  </si>
  <si>
    <t>Критично</t>
  </si>
  <si>
    <t>Готовность</t>
  </si>
  <si>
    <t>Профиль состава</t>
  </si>
  <si>
    <t>Цель игроков</t>
  </si>
  <si>
    <t>Осталось</t>
  </si>
  <si>
    <t>Лимиты</t>
  </si>
  <si>
    <t>СОСТАВ РЕЙДА — 25 СЛОТОВ</t>
  </si>
  <si>
    <t>ПОКРЫТИЕ РЕЙДА — ЧЕГО НЕ ХВАТАЕТ</t>
  </si>
  <si>
    <t>Слот</t>
  </si>
  <si>
    <t>Игрок</t>
  </si>
  <si>
    <t>Класс</t>
  </si>
  <si>
    <t>Специализация</t>
  </si>
  <si>
    <t>Роль</t>
  </si>
  <si>
    <t>Кол-во*</t>
  </si>
  <si>
    <t>Проверка</t>
  </si>
  <si>
    <t>Учтено</t>
  </si>
  <si>
    <t>Категория</t>
  </si>
  <si>
    <t>Эффект</t>
  </si>
  <si>
    <t>В рейде</t>
  </si>
  <si>
    <t>Статус</t>
  </si>
  <si>
    <t>Приоритет</t>
  </si>
  <si>
    <t>Вес</t>
  </si>
  <si>
    <t>СЛЕДУЮЩИЙ ЛУЧШИЙ ВЫБОР — ДОБАВИТЬ СЕЙЧАС</t>
  </si>
  <si>
    <t>Физические бафы</t>
  </si>
  <si>
    <t>10% Stats</t>
  </si>
  <si>
    <t>Minor Armor and All Stats</t>
  </si>
  <si>
    <t>Крит.</t>
  </si>
  <si>
    <t>Важн.</t>
  </si>
  <si>
    <t>Логи</t>
  </si>
  <si>
    <t>Stamina</t>
  </si>
  <si>
    <t>Strength</t>
  </si>
  <si>
    <t>Agility</t>
  </si>
  <si>
    <t>Attack Power</t>
  </si>
  <si>
    <t>5% Attack Power</t>
  </si>
  <si>
    <t>10% Melee &amp; Range Haste</t>
  </si>
  <si>
    <t>НЕДОСТАЮЩИЕ ЭФФЕКТЫ — ПРИОРИТЕТ И ИСТОЧНИКИ</t>
  </si>
  <si>
    <t>Кастерские бафы</t>
  </si>
  <si>
    <t>Intellect</t>
  </si>
  <si>
    <t>Приор.</t>
  </si>
  <si>
    <t>Кто даёт</t>
  </si>
  <si>
    <t>Spirit</t>
  </si>
  <si>
    <t>Spell Power</t>
  </si>
  <si>
    <t>3% Spell Haste</t>
  </si>
  <si>
    <t>Mana Regeneration</t>
  </si>
  <si>
    <t>Replenishment</t>
  </si>
  <si>
    <t>Strong Mana Cooldown</t>
  </si>
  <si>
    <t>Утилити-бафы</t>
  </si>
  <si>
    <t>3% Critical Strike (all)</t>
  </si>
  <si>
    <t>3% Damage Done (all)</t>
  </si>
  <si>
    <t>Small Resistances (all)</t>
  </si>
  <si>
    <t>Fire Resistance</t>
  </si>
  <si>
    <t>ПРОВЕРИТЬ КОНКРЕТНЫЙ ЭФФЕКТ</t>
  </si>
  <si>
    <t>Frost Resistance</t>
  </si>
  <si>
    <t>Nature Resistance</t>
  </si>
  <si>
    <t>Кто закрывает</t>
  </si>
  <si>
    <t>Shadow Resistance</t>
  </si>
  <si>
    <t>Arcane Resistance</t>
  </si>
  <si>
    <t>БАЛАНС РОЛЕЙ</t>
  </si>
  <si>
    <t>БЫСТРЫЕ УБИЙСТВА</t>
  </si>
  <si>
    <t>5% Resource Reduction</t>
  </si>
  <si>
    <t>Цель</t>
  </si>
  <si>
    <t>Сейчас</t>
  </si>
  <si>
    <t>Нужно</t>
  </si>
  <si>
    <t>Рейды ровно на 25: медиана быстрых убийств — 2 танка / 4 хила / 1 саппорт / 18 DPS. Выборка 20–30: 2 / 3 / 2 / 17. Поэтому 3 хила — скоростной профиль, 4 — универсальный. Второй саппорт ценен, пока закрывает критические/важные эффекты; после этого соревнуется с DPS по логам.</t>
  </si>
  <si>
    <t>3% Damage Reduction (all)</t>
  </si>
  <si>
    <t>Танк</t>
  </si>
  <si>
    <t>ИТОГО ПО СОСТАВУ</t>
  </si>
  <si>
    <t>6% Healing Done</t>
  </si>
  <si>
    <t>Хилер</t>
  </si>
  <si>
    <t>Ниже — расчётные рекомендации. Эти строки не являются участниками рейда и не влияют на покрытие.</t>
  </si>
  <si>
    <t>Concentration</t>
  </si>
  <si>
    <t>Саппорт</t>
  </si>
  <si>
    <t>ТОП-10 СЛЕДУЮЩИХ СЛОТОВ — ПОЛНЫЙ РЕЙТИНГ</t>
  </si>
  <si>
    <t>Amplify Magic</t>
  </si>
  <si>
    <t>DPS</t>
  </si>
  <si>
    <t>№</t>
  </si>
  <si>
    <t>Итог</t>
  </si>
  <si>
    <t>Dampen Magic</t>
  </si>
  <si>
    <t>Armor</t>
  </si>
  <si>
    <t>Defensive Cooldown (Raid-Wide)</t>
  </si>
  <si>
    <t>Heroism | Bloodlust</t>
  </si>
  <si>
    <t>Физические дебафы</t>
  </si>
  <si>
    <t>4% Physical Damage</t>
  </si>
  <si>
    <t>30% Bleed Damage</t>
  </si>
  <si>
    <t>Armor Reduction</t>
  </si>
  <si>
    <t>Магические дебафы</t>
  </si>
  <si>
    <t>10% Spell Damage</t>
  </si>
  <si>
    <t>3% Spell Critical Strike Chance</t>
  </si>
  <si>
    <t>3% Spell Hit</t>
  </si>
  <si>
    <t>Resistance Reduction</t>
  </si>
  <si>
    <t>Подробная причина, список закрываемых эффектов и ролевой контекст для позиции №1 показаны в верхнем блоке справа.</t>
  </si>
  <si>
    <t>Утилити-дебафы</t>
  </si>
  <si>
    <t>Attack Power Reduction</t>
  </si>
  <si>
    <t>Attack Speed Slow</t>
  </si>
  <si>
    <t>3% Hit Reduction</t>
  </si>
  <si>
    <t>Healing Reduction</t>
  </si>
  <si>
    <t>Cast Speed Slow</t>
  </si>
  <si>
    <t>Damage Done Reduction (5%)</t>
  </si>
  <si>
    <t>СРАВНЕНИЕ ДВУХ СПЕКОВ ДЛЯ ТЕКУЩЕГО РЕЙДА</t>
  </si>
  <si>
    <t>Выбери два варианта. Сравнение учитывает уже заполненный состав на листе «РЕЙД-КОНСТРУКТОР» и показывает, какой вариант закроет больше приоритетных пробелов.</t>
  </si>
  <si>
    <t>ВАРИАНТ A</t>
  </si>
  <si>
    <t>ВАРИАНТ B</t>
  </si>
  <si>
    <t>Новых эффектов</t>
  </si>
  <si>
    <t>Приоритетный балл</t>
  </si>
  <si>
    <t>Всего эффектов</t>
  </si>
  <si>
    <t>Вариант A</t>
  </si>
  <si>
    <t>Вариант B</t>
  </si>
  <si>
    <t>Разница</t>
  </si>
  <si>
    <t>A закрывает:</t>
  </si>
  <si>
    <t>B закрывает:</t>
  </si>
  <si>
    <t>КАТАЛОГ СПЕЦИАЛИЗАЦИЙ — ФИЛЬТРЫ И ПОЛЬЗА ДЛЯ ТЕКУЩЕГО РЕЙДА</t>
  </si>
  <si>
    <t>Фильтруй по классу и роли. Колонки «Новых эффектов», «Балл» и «Что закроет» пересчитываются относительно состава на листе «РЕЙД-КОНСТРУКТОР».</t>
  </si>
  <si>
    <t>Итоговые бафы</t>
  </si>
  <si>
    <t>Итоговые дебафы</t>
  </si>
  <si>
    <t>Балл</t>
  </si>
  <si>
    <t>Что закроет</t>
  </si>
  <si>
    <t>Источник</t>
  </si>
  <si>
    <t>Barbarian</t>
  </si>
  <si>
    <t>Ancestry</t>
  </si>
  <si>
    <t>Strength; Agility; Attack Power; Concentration; Armor; Heroism | Bloodlust</t>
  </si>
  <si>
    <t>https://coa-raid-comp.ascension.gg/</t>
  </si>
  <si>
    <t>Brutality</t>
  </si>
  <si>
    <t>Мили-DPS</t>
  </si>
  <si>
    <t>Strength; Agility; Attack Power; Concentration; 5% Attack Power</t>
  </si>
  <si>
    <t>4% Physical Damage; 30% Bleed Damage; Armor Reduction</t>
  </si>
  <si>
    <t>Headhunting</t>
  </si>
  <si>
    <t>Рейндж/кастер</t>
  </si>
  <si>
    <t>Strength; Agility; Attack Power; Concentration; 3% Critical Strike (all); 5% Attack Power</t>
  </si>
  <si>
    <t>30% Bleed Damage; Healing Reduction</t>
  </si>
  <si>
    <t>Witch Doctor</t>
  </si>
  <si>
    <t>Shadowhunting</t>
  </si>
  <si>
    <t>Small Resistances (all); Intellect; Spirit; Mana Regeneration; 5% Resource Reduction; 10% Melee &amp; Range Haste; 3% Spell Haste; 5% Attack Power</t>
  </si>
  <si>
    <t>Cast Speed Slow; Resistance Reduction</t>
  </si>
  <si>
    <t>Voodoo</t>
  </si>
  <si>
    <t>Small Resistances (all); Intellect; Spirit; Mana Regeneration; 5% Resource Reduction; 3% Spell Haste; 3% Damage Done (all)</t>
  </si>
  <si>
    <t>Cast Speed Slow; Attack Speed Slow; Resistance Reduction</t>
  </si>
  <si>
    <t>Brewing</t>
  </si>
  <si>
    <t>Small Resistances (all); Intellect; Spirit; Mana Regeneration; 5% Resource Reduction; 3% Spell Haste; Replenishment</t>
  </si>
  <si>
    <t>Cast Speed Slow; Attack Power Reduction; Resistance Reduction</t>
  </si>
  <si>
    <t>Felsworn</t>
  </si>
  <si>
    <t>Infernal</t>
  </si>
  <si>
    <t>Minor Armor and All Stats; Attack Power; Fire Resistance; Shadow Resistance; 3% Critical Strike (all)</t>
  </si>
  <si>
    <t>Damage Done Reduction (5%); 3% Spell Hit; 10% Spell Damage</t>
  </si>
  <si>
    <t>Tyrant</t>
  </si>
  <si>
    <t>Minor Armor and All Stats; Attack Power; Fire Resistance; Shadow Resistance; 10% Melee &amp; Range Haste; 3% Damage Done (all); Defensive Cooldown (Raid-Wide)</t>
  </si>
  <si>
    <t>4% Physical Damage; Attack Power Reduction; Attack Speed Slow; Damage Done Reduction (5%)</t>
  </si>
  <si>
    <t>Slaying</t>
  </si>
  <si>
    <t>Minor Armor and All Stats; Attack Power; Fire Resistance; Shadow Resistance; 10% Melee &amp; Range Haste; Armor</t>
  </si>
  <si>
    <t>Healing Reduction; Cast Speed Slow; Armor Reduction; Damage Done Reduction (5%)</t>
  </si>
  <si>
    <t>Witch Hunter</t>
  </si>
  <si>
    <t>Inquisition</t>
  </si>
  <si>
    <t>Minor Armor and All Stats; Attack Power; Mana Regeneration; Shadow Resistance; 10% Melee &amp; Range Haste</t>
  </si>
  <si>
    <t>Cast Speed Slow; Damage Done Reduction (5%)</t>
  </si>
  <si>
    <t>Houndmaster</t>
  </si>
  <si>
    <t>Minor Armor and All Stats; Attack Power; Mana Regeneration; Shadow Resistance; 3% Spell Haste; 5% Attack Power</t>
  </si>
  <si>
    <t>Black Knight</t>
  </si>
  <si>
    <t>Minor Armor and All Stats; Attack Power; Mana Regeneration; Shadow Resistance; Replenishment; Defensive Cooldown (Raid-Wide)</t>
  </si>
  <si>
    <t>Cast Speed Slow; Attack Speed Slow</t>
  </si>
  <si>
    <t>Boltslinger</t>
  </si>
  <si>
    <t>Minor Armor and All Stats; Attack Power; Mana Regeneration; Shadow Resistance; 3% Critical Strike (all)</t>
  </si>
  <si>
    <t>Healing Reduction; Cast Speed Slow; Armor Reduction</t>
  </si>
  <si>
    <t>Stormbringer</t>
  </si>
  <si>
    <t>Maelstrom</t>
  </si>
  <si>
    <t>Small Resistances (all); Intellect; Mana Regeneration; Concentration; Nature Resistance; 3% Damage Done (all)</t>
  </si>
  <si>
    <t>10% Spell Damage; Attack Speed Slow</t>
  </si>
  <si>
    <t>Lightning</t>
  </si>
  <si>
    <t>Small Resistances (all); Intellect; Mana Regeneration; Concentration; Nature Resistance; 3% Critical Strike (all)</t>
  </si>
  <si>
    <t>Wind</t>
  </si>
  <si>
    <t>Small Resistances (all); Intellect; Mana Regeneration; Concentration; Nature Resistance; Armor; Heroism | Bloodlust</t>
  </si>
  <si>
    <t>—</t>
  </si>
  <si>
    <t>Cultist</t>
  </si>
  <si>
    <t>Heretic</t>
  </si>
  <si>
    <t>10% Stats; Intellect; Spirit; Dampen Magic; Shadow Resistance; 3% Damage Reduction (all); Replenishment</t>
  </si>
  <si>
    <t>Dreadnought</t>
  </si>
  <si>
    <t>10% Stats; Intellect; Spirit; Dampen Magic; Shadow Resistance</t>
  </si>
  <si>
    <t>Attack Speed Slow; 3% Hit Reduction; Attack Power Reduction</t>
  </si>
  <si>
    <t>Corruption</t>
  </si>
  <si>
    <t>10% Stats; Intellect; Spirit; Dampen Magic; Shadow Resistance; Spell Power; 3% Spell Haste</t>
  </si>
  <si>
    <t>3% Spell Hit; 3% Hit Reduction</t>
  </si>
  <si>
    <t>Godblade</t>
  </si>
  <si>
    <t>Healing Reduction; 10% Spell Damage; Attack Power Reduction</t>
  </si>
  <si>
    <t>Knight of Xoroth</t>
  </si>
  <si>
    <t>Hellfire</t>
  </si>
  <si>
    <t>Stamina; Strength; Intellect; 5% Resource Reduction; Fire Resistance; Frost Resistance; Shadow Resistance; Arcane Resistance; 5% Attack Power; 3% Damage Done (all)</t>
  </si>
  <si>
    <t>3% Spell Critical Strike Chance; Cast Speed Slow</t>
  </si>
  <si>
    <t>War</t>
  </si>
  <si>
    <t>Stamina; Strength; Intellect; 5% Resource Reduction; Fire Resistance; Frost Resistance; Shadow Resistance; Arcane Resistance; 3% Critical Strike (all)</t>
  </si>
  <si>
    <t>4% Physical Damage; Healing Reduction; Armor Reduction</t>
  </si>
  <si>
    <t>Defiance</t>
  </si>
  <si>
    <t>Stamina; Strength; Intellect; 5% Resource Reduction; Fire Resistance; Frost Resistance; Shadow Resistance; Arcane Resistance</t>
  </si>
  <si>
    <t>Attack Power Reduction; Attack Speed Slow; 10% Spell Damage; Armor Reduction</t>
  </si>
  <si>
    <t>Guardian</t>
  </si>
  <si>
    <t>Vanguard</t>
  </si>
  <si>
    <t>Strength; Nature Resistance; 3% Damage Reduction (all)</t>
  </si>
  <si>
    <t>Attack Speed Slow; Armor Reduction; Attack Power Reduction</t>
  </si>
  <si>
    <t>Gladiator</t>
  </si>
  <si>
    <t>Strength; Nature Resistance; 5% Attack Power</t>
  </si>
  <si>
    <t>Inspiration</t>
  </si>
  <si>
    <t>Strength; Nature Resistance; Armor; Heroism | Bloodlust</t>
  </si>
  <si>
    <t>Resistance Reduction; Armor Reduction</t>
  </si>
  <si>
    <t>Starcaller</t>
  </si>
  <si>
    <t>Moon Priest</t>
  </si>
  <si>
    <t>Intellect; Strong Mana Cooldown; Arcane Resistance; 3% Critical Strike (all)</t>
  </si>
  <si>
    <t>Warden</t>
  </si>
  <si>
    <t>Resistance Reduction; Healing Reduction</t>
  </si>
  <si>
    <t>Sentinel</t>
  </si>
  <si>
    <t>Intellect; Strong Mana Cooldown; Arcane Resistance; 10% Melee &amp; Range Haste</t>
  </si>
  <si>
    <t>Resistance Reduction; 10% Spell Damage</t>
  </si>
  <si>
    <t>Moon Guard</t>
  </si>
  <si>
    <t>Intellect; Strong Mana Cooldown; Arcane Resistance; 3% Damage Reduction (all)</t>
  </si>
  <si>
    <t>Resistance Reduction; 10% Spell Damage; Attack Speed Slow; 3% Hit Reduction</t>
  </si>
  <si>
    <t>Sun Cleric</t>
  </si>
  <si>
    <t>Blessings</t>
  </si>
  <si>
    <t>10% Stats; Attack Power; Spell Power; Mana Regeneration; 5% Resource Reduction; 3% Spell Haste</t>
  </si>
  <si>
    <t>Valkyrie</t>
  </si>
  <si>
    <t>10% Stats; Attack Power; Spell Power; Mana Regeneration; 5% Resource Reduction; 3% Damage Done (all)</t>
  </si>
  <si>
    <t>Resistance Reduction; Attack Speed Slow</t>
  </si>
  <si>
    <t>Piety</t>
  </si>
  <si>
    <t>10% Stats; Attack Power; Spell Power; Mana Regeneration; 5% Resource Reduction; Replenishment</t>
  </si>
  <si>
    <t>Resistance Reduction; 3% Spell Hit; 3% Hit Reduction</t>
  </si>
  <si>
    <t>Seraphim</t>
  </si>
  <si>
    <t>10% Stats; Attack Power; Spell Power; Mana Regeneration; 5% Resource Reduction; 6% Healing Done; Defensive Cooldown (Raid-Wide)</t>
  </si>
  <si>
    <t>Attack Speed Slow; 3% Hit Reduction; Damage Done Reduction (5%)</t>
  </si>
  <si>
    <t>Templar</t>
  </si>
  <si>
    <t>Zealot</t>
  </si>
  <si>
    <t>10% Stats; Agility; 10% Melee &amp; Range Haste</t>
  </si>
  <si>
    <t>Crusader</t>
  </si>
  <si>
    <t>10% Stats; Agility; 3% Damage Done (all)</t>
  </si>
  <si>
    <t>Oathkeeper</t>
  </si>
  <si>
    <t>10% Stats; Agility; 5% Attack Power; 6% Healing Done; Defensive Cooldown (Raid-Wide)</t>
  </si>
  <si>
    <t>Cast Speed Slow; 3% Hit Reduction</t>
  </si>
  <si>
    <t>Primalist</t>
  </si>
  <si>
    <t>Wildwalker</t>
  </si>
  <si>
    <t>Minor Armor and All Stats; Small Resistances (all); Agility; Spirit; Nature Resistance; Arcane Resistance; 5% Attack Power</t>
  </si>
  <si>
    <t>4% Physical Damage; 30% Bleed Damage</t>
  </si>
  <si>
    <t>Mountain King</t>
  </si>
  <si>
    <t>Minor Armor and All Stats; Small Resistances (all); Agility; Spirit; Nature Resistance; Arcane Resistance; Replenishment</t>
  </si>
  <si>
    <t>4% Physical Damage; Attack Speed Slow; 3% Hit Reduction</t>
  </si>
  <si>
    <t>Geomancy</t>
  </si>
  <si>
    <t>Minor Armor and All Stats; Small Resistances (all); Agility; Spirit; Nature Resistance; Arcane Resistance; 3% Spell Haste</t>
  </si>
  <si>
    <t>3% Spell Hit; 3% Spell Critical Strike Chance; 3% Hit Reduction</t>
  </si>
  <si>
    <t>Grovekeeper</t>
  </si>
  <si>
    <t>Minor Armor and All Stats; Small Resistances (all); Agility; Spirit; Nature Resistance; Arcane Resistance; 6% Healing Done; Armor; Heroism | Bloodlust</t>
  </si>
  <si>
    <t>Bloodmage</t>
  </si>
  <si>
    <t>Sanguine</t>
  </si>
  <si>
    <t>Stamina; Concentration; 3% Spell Haste</t>
  </si>
  <si>
    <t>3% Spell Critical Strike Chance; 30% Bleed Damage; Attack Speed Slow</t>
  </si>
  <si>
    <t>Fleshweaver</t>
  </si>
  <si>
    <t>Stamina; Concentration; Armor; Heroism | Bloodlust</t>
  </si>
  <si>
    <t>Accursed</t>
  </si>
  <si>
    <t>Stamina; Concentration; 3% Spell Haste; 3% Critical Strike (all)</t>
  </si>
  <si>
    <t>Eternal</t>
  </si>
  <si>
    <t>Stamina; Concentration; 5% Attack Power; 6% Healing Done</t>
  </si>
  <si>
    <t>30% Bleed Damage; Attack Speed Slow; 3% Hit Reduction</t>
  </si>
  <si>
    <t>Pyromancer</t>
  </si>
  <si>
    <t>Flameweaving</t>
  </si>
  <si>
    <t>Intellect; Spirit; Strong Mana Cooldown; Fire Resistance; Arcane Resistance; Replenishment</t>
  </si>
  <si>
    <t>Draconic</t>
  </si>
  <si>
    <t>Intellect; Spirit; Strong Mana Cooldown; Fire Resistance; Arcane Resistance; 3% Spell Haste</t>
  </si>
  <si>
    <t>3% Spell Hit; Healing Reduction</t>
  </si>
  <si>
    <t>Incineration</t>
  </si>
  <si>
    <t>Intellect; Spirit; Strong Mana Cooldown; Fire Resistance; Arcane Resistance; 3% Critical Strike (all)</t>
  </si>
  <si>
    <t>3% Spell Critical Strike Chance; Healing Reduction</t>
  </si>
  <si>
    <t>Ranger</t>
  </si>
  <si>
    <t>Brigand</t>
  </si>
  <si>
    <t>Minor Armor and All Stats; Agility; Nature Resistance; 10% Melee &amp; Range Haste</t>
  </si>
  <si>
    <t>Healing Reduction; 3% Hit Reduction</t>
  </si>
  <si>
    <t>Archery</t>
  </si>
  <si>
    <t>4% Physical Damage; 30% Bleed Damage; 3% Hit Reduction</t>
  </si>
  <si>
    <t>Farstrider</t>
  </si>
  <si>
    <t>Minor Armor and All Stats; Agility; Nature Resistance; 10% Melee &amp; Range Haste; Armor; Heroism | Bloodlust</t>
  </si>
  <si>
    <t>Attack Power Reduction; 3% Hit Reduction</t>
  </si>
  <si>
    <t>Reaper</t>
  </si>
  <si>
    <t>Soul</t>
  </si>
  <si>
    <t>Small Resistances (all); Stamina; Strength</t>
  </si>
  <si>
    <t>10% Spell Damage; Attack Speed Slow; 3% Hit Reduction</t>
  </si>
  <si>
    <t>Harvest</t>
  </si>
  <si>
    <t>Small Resistances (all); Stamina; Strength; 3% Critical Strike (all)</t>
  </si>
  <si>
    <t>Healing Reduction; Attack Power Reduction; 3% Hit Reduction</t>
  </si>
  <si>
    <t>Domination</t>
  </si>
  <si>
    <t>Small Resistances (all); Stamina; Strength; 3% Critical Strike (all); 3% Damage Reduction (all)</t>
  </si>
  <si>
    <t>Runemaster</t>
  </si>
  <si>
    <t>Glyphic</t>
  </si>
  <si>
    <t>10% Stats; Agility; 5% Resource Reduction; Strong Mana Cooldown; Amplify Magic; Fire Resistance; Nature Resistance; Arcane Resistance; Replenishment</t>
  </si>
  <si>
    <t>10% Spell Damage; Healing Reduction</t>
  </si>
  <si>
    <t>Riftblade</t>
  </si>
  <si>
    <t>10% Stats; Agility; 5% Resource Reduction; Strong Mana Cooldown; Amplify Magic; Fire Resistance; Nature Resistance; Arcane Resistance; 3% Damage Done (all); Replenishment</t>
  </si>
  <si>
    <t>Engravement</t>
  </si>
  <si>
    <t>10% Stats; Agility; 5% Resource Reduction; Strong Mana Cooldown; Amplify Magic; Fire Resistance; Nature Resistance; Arcane Resistance; 10% Melee &amp; Range Haste; Replenishment</t>
  </si>
  <si>
    <t>Healing Reduction; Attack Power Reduction</t>
  </si>
  <si>
    <t>Chronomancer</t>
  </si>
  <si>
    <t>Time</t>
  </si>
  <si>
    <t>Intellect; Spirit; Strong Mana Cooldown; Amplify Magic; Dampen Magic; 3% Spell Haste; 3% Damage Reduction (all)</t>
  </si>
  <si>
    <t>Infinite</t>
  </si>
  <si>
    <t>Intellect; Spirit; Strong Mana Cooldown; Amplify Magic; Dampen Magic; 3% Damage Done (all)</t>
  </si>
  <si>
    <t>3% Spell Hit; 10% Spell Damage; Cast Speed Slow</t>
  </si>
  <si>
    <t>Artificer</t>
  </si>
  <si>
    <t>Intellect; Spirit; Strong Mana Cooldown; Amplify Magic; Dampen Magic; 3% Critical Strike (all); Replenishment</t>
  </si>
  <si>
    <t>Attack Speed Slow; 3% Hit Reduction</t>
  </si>
  <si>
    <t>Necromancer</t>
  </si>
  <si>
    <t>Animation</t>
  </si>
  <si>
    <t>Stamina; Spell Power; Fire Resistance; 3% Damage Done (all)</t>
  </si>
  <si>
    <t>Healing Reduction; Armor Reduction; Attack Power Reduction; Attack Speed Slow</t>
  </si>
  <si>
    <t>Death</t>
  </si>
  <si>
    <t>Stamina; Spell Power; Fire Resistance; 3% Spell Haste</t>
  </si>
  <si>
    <t>10% Spell Damage; Healing Reduction; Armor Reduction; Attack Power Reduction; Attack Speed Slow</t>
  </si>
  <si>
    <t>Rime</t>
  </si>
  <si>
    <t>Stamina; Spell Power; Fire Resistance; 3% Critical Strike (all)</t>
  </si>
  <si>
    <t>3% Spell Critical Strike Chance; Healing Reduction; Armor Reduction; Attack Power Reduction; Attack Speed Slow</t>
  </si>
  <si>
    <t>Venomancer</t>
  </si>
  <si>
    <t>Stalking</t>
  </si>
  <si>
    <t>Minor Armor and All Stats; Agility; Spirit; Fire Resistance</t>
  </si>
  <si>
    <t>3% Spell Critical Strike Chance; Cast Speed Slow; 10% Spell Damage</t>
  </si>
  <si>
    <t>Vizier</t>
  </si>
  <si>
    <t>Minor Armor and All Stats; Agility; Spirit; Fire Resistance; 6% Healing Done; Replenishment</t>
  </si>
  <si>
    <t>Fortitude</t>
  </si>
  <si>
    <t>Minor Armor and All Stats; Agility; Spirit; Fire Resistance; 3% Damage Reduction (all)</t>
  </si>
  <si>
    <t>Cast Speed Slow; Attack Speed Slow; 3% Hit Reduction</t>
  </si>
  <si>
    <t>Rot</t>
  </si>
  <si>
    <t>Minor Armor and All Stats; Agility; Spirit; Fire Resistance; 3% Spell Haste</t>
  </si>
  <si>
    <t>3% Spell Hit; Healing Reduction; Cast Speed Slow</t>
  </si>
  <si>
    <t>Tinker</t>
  </si>
  <si>
    <t>Demolition</t>
  </si>
  <si>
    <t>Attack Power; Mana Regeneration; Strong Mana Cooldown; Concentration; Amplify Magic; 5% Attack Power</t>
  </si>
  <si>
    <t>Mechanics</t>
  </si>
  <si>
    <t>Attack Power; Mana Regeneration; Strong Mana Cooldown; Concentration; Amplify Magic; 10% Melee &amp; Range Haste</t>
  </si>
  <si>
    <t>Invention</t>
  </si>
  <si>
    <t>Attack Power; Mana Regeneration; Strong Mana Cooldown; Concentration; Amplify Magic; 3% Spell Haste; 3% Damage Reduction (all); 6% Healing Done</t>
  </si>
  <si>
    <t>СПРАВОЧНИК ЭФФЕКТОВ И ТЕКУЩЕЕ ПОКРЫТИЕ</t>
  </si>
  <si>
    <t>Покрытие рассчитывается по текущему составу на первой странице. Приоритет меняется в жёлтом столбце C. Здесь же находятся полный список источников и редкость каждого эффекта.</t>
  </si>
  <si>
    <t>Спеков-источников</t>
  </si>
  <si>
    <t>Классов-источников</t>
  </si>
  <si>
    <t>Роли</t>
  </si>
  <si>
    <t>Все источники</t>
  </si>
  <si>
    <t>Ключ базы</t>
  </si>
  <si>
    <t>Коротко: кто закрывает</t>
  </si>
  <si>
    <t>Мили-DPS, Рейндж/кастер, Танк, Хилер</t>
  </si>
  <si>
    <t>Cultist — Heretic; Cultist — Dreadnought; Cultist — Corruption; Cultist — Godblade; Sun Cleric — Blessings; Sun Cleric — Valkyrie; Sun Cleric — Piety; Sun Cleric — Seraphim; Templar — Zealot; Templar — Crusader; Templar — Oathkeeper; Runemaster — Glyphic; Runemaster — Riftblade; Runemaster — Engravement</t>
  </si>
  <si>
    <t>Stats % (Kings)</t>
  </si>
  <si>
    <t>Cultist — любой спек; Runemaster — любой спек; Sun Cleric — любой спек; Templar — любой спек</t>
  </si>
  <si>
    <t>Важно</t>
  </si>
  <si>
    <t>Мили-DPS, Рейндж/кастер, Саппорт, Танк, Хилер</t>
  </si>
  <si>
    <t>Felsworn — Infernal; Felsworn — Tyrant; Felsworn — Slaying; Witch Hunter — Inquisition; Witch Hunter — Houndmaster; Witch Hunter — Black Knight; Witch Hunter — Boltslinger; Primalist — Wildwalker; Primalist — Mountain King; Primalist — Geomancy; Primalist — Grovekeeper; Ranger — Brigand; Ranger — Archery; Ranger — Farstrider; Venomancer — Stalking; Venomancer — Vizier; Venomancer — Fortitude; Venomancer — Rot</t>
  </si>
  <si>
    <t>Stats Flat + Armor (MotW)</t>
  </si>
  <si>
    <t>Felsworn — любой спек; Primalist — любой спек; Ranger — любой спек; Venomancer — любой спек; + ещё 1 классов</t>
  </si>
  <si>
    <t>Мили-DPS, Рейндж/кастер, Саппорт, Танк</t>
  </si>
  <si>
    <t>Knight of Xoroth — Hellfire; Knight of Xoroth — War; Knight of Xoroth — Defiance; Bloodmage — Sanguine; Bloodmage — Fleshweaver; Bloodmage — Accursed; Bloodmage — Eternal; Reaper — Soul; Reaper — Harvest; Reaper — Domination; Necromancer — Animation; Necromancer — Death; Necromancer — Rime</t>
  </si>
  <si>
    <t>Stamina (Fort)</t>
  </si>
  <si>
    <t>Bloodmage — любой спек; Knight of Xoroth — любой спек; Necromancer — любой спек; Reaper — любой спек</t>
  </si>
  <si>
    <t>Barbarian — Ancestry; Barbarian — Brutality; Barbarian — Headhunting; Knight of Xoroth — Hellfire; Knight of Xoroth — War; Knight of Xoroth — Defiance; Guardian — Vanguard; Guardian — Gladiator; Guardian — Inspiration; Reaper — Soul; Reaper — Harvest; Reaper — Domination</t>
  </si>
  <si>
    <t>Flat Strength</t>
  </si>
  <si>
    <t>Barbarian — любой спек; Guardian — любой спек; Knight of Xoroth — любой спек; Reaper — любой спек</t>
  </si>
  <si>
    <t>Barbarian — Ancestry; Barbarian — Brutality; Barbarian — Headhunting; Templar — Zealot; Templar — Crusader; Templar — Oathkeeper; Primalist — Wildwalker; Primalist — Mountain King; Primalist — Geomancy; Primalist — Grovekeeper; Ranger — Brigand; Ranger — Archery; Ranger — Farstrider; Runemaster — Glyphic; Runemaster — Riftblade; Runemaster — Engravement; Venomancer — Stalking; Venomancer — Vizier; Venomancer — Fortitude; Venomancer — Rot</t>
  </si>
  <si>
    <t>Flat Agility</t>
  </si>
  <si>
    <t>Barbarian — любой спек; Primalist — любой спек; Ranger — любой спек; Runemaster — любой спек; + ещё 2 классов</t>
  </si>
  <si>
    <t>Barbarian — Ancestry; Barbarian — Brutality; Barbarian — Headhunting; Felsworn — Infernal; Felsworn — Tyrant; Felsworn — Slaying; Witch Hunter — Inquisition; Witch Hunter — Houndmaster; Witch Hunter — Black Knight; Witch Hunter — Boltslinger; Sun Cleric — Blessings; Sun Cleric — Valkyrie; Sun Cleric — Piety; Sun Cleric — Seraphim; Tinker — Demolition; Tinker — Mechanics; Tinker — Invention</t>
  </si>
  <si>
    <t>AP Flat (Shout)</t>
  </si>
  <si>
    <t>Barbarian — любой спек; Felsworn — любой спек; Sun Cleric — любой спек; Tinker — любой спек; + ещё 1 классов</t>
  </si>
  <si>
    <t>Мили-DPS, Рейндж/кастер, Танк</t>
  </si>
  <si>
    <t>Barbarian — Brutality; Barbarian — Headhunting; Witch Doctor — Shadowhunting; Witch Hunter — Houndmaster; Knight of Xoroth — Hellfire; Guardian — Gladiator; Templar — Oathkeeper; Primalist — Wildwalker; Bloodmage — Eternal; Tinker — Demolition</t>
  </si>
  <si>
    <t>Attack Power %</t>
  </si>
  <si>
    <t>Bloodmage — Eternal; Guardian — Gladiator; Knight of Xoroth — Hellfire; Primalist — Wildwalker; + ещё 5 классов</t>
  </si>
  <si>
    <t>Witch Doctor — Shadowhunting; Felsworn — Tyrant; Felsworn — Slaying; Witch Hunter — Inquisition; Starcaller — Sentinel; Templar — Zealot; Ranger — Brigand; Ranger — Archery; Ranger — Farstrider; Runemaster — Engravement; Tinker — Mechanics</t>
  </si>
  <si>
    <t>Melee/Range Haste (10%)</t>
  </si>
  <si>
    <t>Ranger — любой спек; Runemaster — Engravement; Starcaller — Sentinel; Templar — Zealot; + ещё 4 классов</t>
  </si>
  <si>
    <t>Witch Doctor — Shadowhunting; Witch Doctor — Voodoo; Witch Doctor — Brewing; Stormbringer — Maelstrom; Stormbringer — Lightning; Stormbringer — Wind; Cultist — Heretic; Cultist — Dreadnought; Cultist — Corruption; Cultist — Godblade; Knight of Xoroth — Hellfire; Knight of Xoroth — War; Knight of Xoroth — Defiance; Starcaller — Moon Priest; Starcaller — Warden; Starcaller — Sentinel; Starcaller — Moon Guard; Pyromancer — Flameweaving; Pyromancer — Draconic; Pyromancer — Incineration; Chronomancer — Time; Chronomancer — Infinite; Chronomancer — Artificer</t>
  </si>
  <si>
    <t>Flat Intellect</t>
  </si>
  <si>
    <t>Chronomancer — любой спек; Cultist — любой спек; Knight of Xoroth — любой спек; Pyromancer — любой спек; + ещё 3 классов</t>
  </si>
  <si>
    <t>Witch Doctor — Shadowhunting; Witch Doctor — Voodoo; Witch Doctor — Brewing; Cultist — Heretic; Cultist — Dreadnought; Cultist — Corruption; Cultist — Godblade; Primalist — Wildwalker; Primalist — Mountain King; Primalist — Geomancy; Primalist — Grovekeeper; Pyromancer — Flameweaving; Pyromancer — Draconic; Pyromancer — Incineration; Chronomancer — Time; Chronomancer — Infinite; Chronomancer — Artificer; Venomancer — Stalking; Venomancer — Vizier; Venomancer — Fortitude; Venomancer — Rot</t>
  </si>
  <si>
    <t>Flat Spirit</t>
  </si>
  <si>
    <t>Chronomancer — любой спек; Cultist — любой спек; Primalist — любой спек; Pyromancer — любой спек; + ещё 2 классов</t>
  </si>
  <si>
    <t>Cultist — Corruption; Sun Cleric — Blessings; Sun Cleric — Valkyrie; Sun Cleric — Piety; Sun Cleric — Seraphim; Necromancer — Animation; Necromancer — Death; Necromancer — Rime</t>
  </si>
  <si>
    <t>Spell Power Flat</t>
  </si>
  <si>
    <t>Necromancer — любой спек; Sun Cleric — любой спек; Cultist — Corruption</t>
  </si>
  <si>
    <t>Мили-DPS, Рейндж/кастер, Хилер</t>
  </si>
  <si>
    <t>Witch Doctor — Shadowhunting; Witch Doctor — Voodoo; Witch Doctor — Brewing; Witch Hunter — Houndmaster; Cultist — Corruption; Sun Cleric — Blessings; Primalist — Geomancy; Bloodmage — Sanguine; Bloodmage — Accursed; Pyromancer — Draconic; Chronomancer — Time; Necromancer — Death; Venomancer — Rot; Tinker — Invention</t>
  </si>
  <si>
    <t>Spell Haste (3%)</t>
  </si>
  <si>
    <t>Witch Doctor — любой спек; Chronomancer — Time; Cultist — Corruption; Necromancer — Death; + ещё 7 классов</t>
  </si>
  <si>
    <t>Witch Doctor — Shadowhunting; Witch Doctor — Voodoo; Witch Doctor — Brewing; Witch Hunter — Inquisition; Witch Hunter — Houndmaster; Witch Hunter — Black Knight; Witch Hunter — Boltslinger; Stormbringer — Maelstrom; Stormbringer — Lightning; Stormbringer — Wind; Sun Cleric — Blessings; Sun Cleric — Valkyrie; Sun Cleric — Piety; Sun Cleric — Seraphim; Tinker — Demolition; Tinker — Mechanics; Tinker — Invention</t>
  </si>
  <si>
    <t>Mp5</t>
  </si>
  <si>
    <t>Stormbringer — любой спек; Sun Cleric — любой спек; Tinker — любой спек; Witch Doctor — любой спек; + ещё 1 классов</t>
  </si>
  <si>
    <t>Witch Doctor — Brewing; Witch Hunter — Black Knight; Cultist — Heretic; Sun Cleric — Piety; Primalist — Mountain King; Pyromancer — Flameweaving; Runemaster — Glyphic; Runemaster — Riftblade; Runemaster — Engravement; Chronomancer — Artificer; Venomancer — Vizier</t>
  </si>
  <si>
    <t>Runemaster — любой спек; Chronomancer — Artificer; Cultist — Heretic; Primalist — Mountain King; + ещё 5 классов</t>
  </si>
  <si>
    <t>Опционально</t>
  </si>
  <si>
    <t>Starcaller — Moon Priest; Starcaller — Warden; Starcaller — Sentinel; Starcaller — Moon Guard; Pyromancer — Flameweaving; Pyromancer — Draconic; Pyromancer — Incineration; Runemaster — Glyphic; Runemaster — Riftblade; Runemaster — Engravement; Chronomancer — Time; Chronomancer — Infinite; Chronomancer — Artificer; Tinker — Demolition; Tinker — Mechanics; Tinker — Invention</t>
  </si>
  <si>
    <t>Burst Mana</t>
  </si>
  <si>
    <t>Chronomancer — любой спек; Pyromancer — любой спек; Runemaster — любой спек; Starcaller — любой спек; + ещё 1 классов</t>
  </si>
  <si>
    <t>Barbarian — Headhunting; Felsworn — Infernal; Witch Hunter — Boltslinger; Stormbringer — Lightning; Knight of Xoroth — War; Starcaller — Moon Priest; Starcaller — Warden; Bloodmage — Accursed; Pyromancer — Incineration; Reaper — Harvest; Reaper — Domination; Chronomancer — Artificer; Necromancer — Rime</t>
  </si>
  <si>
    <t>All Crit (3%)</t>
  </si>
  <si>
    <t>Barbarian — Headhunting; Bloodmage — Accursed; Chronomancer — Artificer; Felsworn — Infernal; + ещё 7 классов</t>
  </si>
  <si>
    <t>Witch Doctor — Voodoo; Felsworn — Tyrant; Stormbringer — Maelstrom; Knight of Xoroth — Hellfire; Sun Cleric — Valkyrie; Templar — Crusader; Runemaster — Riftblade; Chronomancer — Infinite; Necromancer — Animation</t>
  </si>
  <si>
    <t>All Damage Done (3%)</t>
  </si>
  <si>
    <t>Chronomancer — Infinite; Felsworn — Tyrant; Knight of Xoroth — Hellfire; Necromancer — Animation; + ещё 5 классов</t>
  </si>
  <si>
    <t>Witch Doctor — Shadowhunting; Witch Doctor — Voodoo; Witch Doctor — Brewing; Stormbringer — Maelstrom; Stormbringer — Lightning; Stormbringer — Wind; Primalist — Wildwalker; Primalist — Mountain King; Primalist — Geomancy; Primalist — Grovekeeper; Reaper — Soul; Reaper — Harvest; Reaper — Domination</t>
  </si>
  <si>
    <t>Small All Resist</t>
  </si>
  <si>
    <t>Primalist — любой спек; Reaper — любой спек; Stormbringer — любой спек; Witch Doctor — любой спек</t>
  </si>
  <si>
    <t>Felsworn — Infernal; Felsworn — Tyrant; Felsworn — Slaying; Knight of Xoroth — Hellfire; Knight of Xoroth — War; Knight of Xoroth — Defiance; Pyromancer — Flameweaving; Pyromancer — Draconic; Pyromancer — Incineration; Runemaster — Glyphic; Runemaster — Riftblade; Runemaster — Engravement; Necromancer — Animation; Necromancer — Death; Necromancer — Rime; Venomancer — Stalking; Venomancer — Vizier; Venomancer — Fortitude; Venomancer — Rot</t>
  </si>
  <si>
    <t>Fire</t>
  </si>
  <si>
    <t>Felsworn — любой спек; Knight of Xoroth — любой спек; Necromancer — любой спек; Pyromancer — любой спек; + ещё 2 классов</t>
  </si>
  <si>
    <t>Мили-DPS, Танк</t>
  </si>
  <si>
    <t>Knight of Xoroth — Hellfire; Knight of Xoroth — War; Knight of Xoroth — Defiance</t>
  </si>
  <si>
    <t>Frost</t>
  </si>
  <si>
    <t>только Knight of Xoroth — любой спек</t>
  </si>
  <si>
    <t>Stormbringer — Maelstrom; Stormbringer — Lightning; Stormbringer — Wind; Guardian — Vanguard; Guardian — Gladiator; Guardian — Inspiration; Primalist — Wildwalker; Primalist — Mountain King; Primalist — Geomancy; Primalist — Grovekeeper; Ranger — Brigand; Ranger — Archery; Ranger — Farstrider; Runemaster — Glyphic; Runemaster — Riftblade; Runemaster — Engravement</t>
  </si>
  <si>
    <t>Nature</t>
  </si>
  <si>
    <t>Guardian — любой спек; Primalist — любой спек; Ranger — любой спек; Runemaster — любой спек; + ещё 1 классов</t>
  </si>
  <si>
    <t>Felsworn — Infernal; Felsworn — Tyrant; Felsworn — Slaying; Witch Hunter — Inquisition; Witch Hunter — Houndmaster; Witch Hunter — Black Knight; Witch Hunter — Boltslinger; Cultist — Heretic; Cultist — Dreadnought; Cultist — Corruption; Cultist — Godblade; Knight of Xoroth — Hellfire; Knight of Xoroth — War; Knight of Xoroth — Defiance</t>
  </si>
  <si>
    <t>Shadow</t>
  </si>
  <si>
    <t>Cultist — любой спек; Felsworn — любой спек; Knight of Xoroth — любой спек; Witch Hunter — любой спек</t>
  </si>
  <si>
    <t>Knight of Xoroth — Hellfire; Knight of Xoroth — War; Knight of Xoroth — Defiance; Starcaller — Moon Priest; Starcaller — Warden; Starcaller — Sentinel; Starcaller — Moon Guard; Primalist — Wildwalker; Primalist — Mountain King; Primalist — Geomancy; Primalist — Grovekeeper; Pyromancer — Flameweaving; Pyromancer — Draconic; Pyromancer — Incineration; Runemaster — Glyphic; Runemaster — Riftblade; Runemaster — Engravement</t>
  </si>
  <si>
    <t>Arcane</t>
  </si>
  <si>
    <t>Knight of Xoroth — любой спек; Primalist — любой спек; Pyromancer — любой спек; Runemaster — любой спек; + ещё 1 классов</t>
  </si>
  <si>
    <t>Witch Doctor — Shadowhunting; Witch Doctor — Voodoo; Witch Doctor — Brewing; Knight of Xoroth — Hellfire; Knight of Xoroth — War; Knight of Xoroth — Defiance; Sun Cleric — Blessings; Sun Cleric — Valkyrie; Sun Cleric — Piety; Sun Cleric — Seraphim; Runemaster — Glyphic; Runemaster — Riftblade; Runemaster — Engravement</t>
  </si>
  <si>
    <t>Cost Reduction (5%)</t>
  </si>
  <si>
    <t>Knight of Xoroth — любой спек; Runemaster — любой спек; Sun Cleric — любой спек; Witch Doctor — любой спек</t>
  </si>
  <si>
    <t>Танк, Хилер</t>
  </si>
  <si>
    <t>Cultist — Heretic; Guardian — Vanguard; Starcaller — Moon Guard; Reaper — Domination; Chronomancer — Time; Venomancer — Fortitude; Tinker — Invention</t>
  </si>
  <si>
    <t>Dmg Reduct(-3%)</t>
  </si>
  <si>
    <t>Chronomancer — Time; Cultist — Heretic; Guardian — Vanguard; Reaper — Domination; + ещё 3 классов</t>
  </si>
  <si>
    <t>Саппорт, Танк, Хилер</t>
  </si>
  <si>
    <t>Sun Cleric — Seraphim; Templar — Oathkeeper; Primalist — Grovekeeper; Bloodmage — Eternal; Venomancer — Vizier; Tinker — Invention</t>
  </si>
  <si>
    <t>6% Healing Taken</t>
  </si>
  <si>
    <t>Bloodmage — Eternal; Primalist — Grovekeeper; Sun Cleric — Seraphim; Templar — Oathkeeper; + ещё 2 классов</t>
  </si>
  <si>
    <t>Barbarian — Ancestry; Barbarian — Brutality; Barbarian — Headhunting; Stormbringer — Maelstrom; Stormbringer — Lightning; Stormbringer — Wind; Bloodmage — Sanguine; Bloodmage — Fleshweaver; Bloodmage — Accursed; Bloodmage — Eternal; Tinker — Demolition; Tinker — Mechanics; Tinker — Invention</t>
  </si>
  <si>
    <t>Barbarian — любой спек; Bloodmage — любой спек; Stormbringer — любой спек; Tinker — любой спек</t>
  </si>
  <si>
    <t>Runemaster — Glyphic; Runemaster — Riftblade; Runemaster — Engravement; Chronomancer — Time; Chronomancer — Infinite; Chronomancer — Artificer; Tinker — Demolition; Tinker — Mechanics; Tinker — Invention</t>
  </si>
  <si>
    <t>Chronomancer — любой спек; Runemaster — любой спек; Tinker — любой спек</t>
  </si>
  <si>
    <t>Cultist — Heretic; Cultist — Dreadnought; Cultist — Corruption; Cultist — Godblade; Chronomancer — Time; Chronomancer — Infinite; Chronomancer — Artificer</t>
  </si>
  <si>
    <t>Chronomancer — любой спек; Cultist — любой спек</t>
  </si>
  <si>
    <t>Мили-DPS, Саппорт</t>
  </si>
  <si>
    <t>Barbarian — Ancestry; Felsworn — Slaying; Stormbringer — Wind; Guardian — Inspiration; Primalist — Grovekeeper; Bloodmage — Fleshweaver; Ranger — Farstrider</t>
  </si>
  <si>
    <t>Armor (Devo)</t>
  </si>
  <si>
    <t>Barbarian — Ancestry; Bloodmage — Fleshweaver; Felsworn — Slaying; Guardian — Inspiration; + ещё 3 классов</t>
  </si>
  <si>
    <t>Felsworn — Tyrant; Witch Hunter — Black Knight; Sun Cleric — Seraphim; Templar — Oathkeeper</t>
  </si>
  <si>
    <t>Raid Wall (Divine Sac)</t>
  </si>
  <si>
    <t>Felsworn — Tyrant; Sun Cleric — Seraphim; Templar — Oathkeeper; Witch Hunter — Black Knight</t>
  </si>
  <si>
    <t>Barbarian — Ancestry; Stormbringer — Wind; Guardian — Inspiration; Primalist — Grovekeeper; Bloodmage — Fleshweaver; Ranger — Farstrider</t>
  </si>
  <si>
    <t>Heroism</t>
  </si>
  <si>
    <t>Barbarian — Ancestry; Bloodmage — Fleshweaver; Guardian — Inspiration; Primalist — Grovekeeper; + ещё 2 классов</t>
  </si>
  <si>
    <t>Barbarian — Brutality; Felsworn — Tyrant; Knight of Xoroth — War; Guardian — Gladiator; Primalist — Wildwalker; Primalist — Mountain King; Ranger — Archery; Reaper — Domination</t>
  </si>
  <si>
    <t>Phys Dmg Taken (4%)</t>
  </si>
  <si>
    <t>Barbarian — Brutality; Felsworn — Tyrant; Guardian — Gladiator; Knight of Xoroth — War; + ещё 3 классов</t>
  </si>
  <si>
    <t>Barbarian — Brutality; Barbarian — Headhunting; Primalist — Wildwalker; Bloodmage — Sanguine; Bloodmage — Fleshweaver; Bloodmage — Accursed; Bloodmage — Eternal; Ranger — Archery</t>
  </si>
  <si>
    <t>Bleed Dmg Taken (30%)</t>
  </si>
  <si>
    <t>Bloodmage — любой спек; Primalist — Wildwalker; Ranger — Archery; Barbarian — Brutality/Headhunting</t>
  </si>
  <si>
    <t>Barbarian — Brutality; Felsworn — Slaying; Witch Hunter — Boltslinger; Knight of Xoroth — War; Knight of Xoroth — Defiance; Guardian — Vanguard; Guardian — Gladiator; Guardian — Inspiration; Templar — Zealot; Primalist — Grovekeeper; Necromancer — Animation; Necromancer — Death; Necromancer — Rime; Tinker — Mechanics</t>
  </si>
  <si>
    <t>% Armor Debuff</t>
  </si>
  <si>
    <t>Guardian — любой спек; Necromancer — любой спек; Barbarian — Brutality; Felsworn — Slaying; + ещё 5 классов</t>
  </si>
  <si>
    <t>Felsworn — Infernal; Stormbringer — Maelstrom; Cultist — Godblade; Knight of Xoroth — Defiance; Starcaller — Sentinel; Starcaller — Moon Guard; Reaper — Soul; Runemaster — Glyphic; Chronomancer — Infinite; Necromancer — Death; Venomancer — Stalking</t>
  </si>
  <si>
    <t>Spell Dmg Taken (10%)</t>
  </si>
  <si>
    <t>Chronomancer — Infinite; Cultist — Godblade; Felsworn — Infernal; Knight of Xoroth — Defiance; + ещё 6 классов</t>
  </si>
  <si>
    <t>Мили-DPS, Рейндж/кастер</t>
  </si>
  <si>
    <t>Stormbringer — Lightning; Knight of Xoroth — Hellfire; Primalist — Geomancy; Bloodmage — Sanguine; Pyromancer — Incineration; Necromancer — Rime; Venomancer — Stalking</t>
  </si>
  <si>
    <t>Spell Crit Taken Debuff (3%)</t>
  </si>
  <si>
    <t>Bloodmage — Sanguine; Knight of Xoroth — Hellfire; Necromancer — Rime; Primalist — Geomancy; + ещё 3 классов</t>
  </si>
  <si>
    <t>Felsworn — Infernal; Cultist — Corruption; Sun Cleric — Piety; Primalist — Geomancy; Pyromancer — Draconic; Chronomancer — Infinite; Venomancer — Rot</t>
  </si>
  <si>
    <t>Spell Hit (3%) DEBUFF</t>
  </si>
  <si>
    <t>Chronomancer — Infinite; Cultist — Corruption; Felsworn — Infernal; Primalist — Geomancy; + ещё 3 классов</t>
  </si>
  <si>
    <t>Barbarian — Ancestry; Witch Doctor — Shadowhunting; Witch Doctor — Voodoo; Witch Doctor — Brewing; Guardian — Inspiration; Starcaller — Moon Priest; Starcaller — Warden; Starcaller — Sentinel; Starcaller — Moon Guard; Sun Cleric — Blessings; Sun Cleric — Valkyrie; Sun Cleric — Piety</t>
  </si>
  <si>
    <t>Resistance REDUCTION</t>
  </si>
  <si>
    <t>Starcaller — любой спек; Witch Doctor — любой спек; Barbarian — Ancestry; Guardian — Inspiration; + ещё 1 классов</t>
  </si>
  <si>
    <t>Witch Doctor — Brewing; Felsworn — Tyrant; Cultist — Dreadnought; Cultist — Godblade; Knight of Xoroth — Defiance; Guardian — Vanguard; Templar — Crusader; Ranger — Farstrider; Reaper — Harvest; Runemaster — Engravement; Necromancer — Animation; Necromancer — Death; Necromancer — Rime; Tinker — Demolition</t>
  </si>
  <si>
    <t>Necromancer — любой спек; Felsworn — Tyrant; Guardian — Vanguard; Knight of Xoroth — Defiance; + ещё 7 классов</t>
  </si>
  <si>
    <t>Witch Doctor — Voodoo; Felsworn — Tyrant; Witch Hunter — Black Knight; Stormbringer — Maelstrom; Cultist — Dreadnought; Knight of Xoroth — Defiance; Guardian — Vanguard; Starcaller — Moon Guard; Sun Cleric — Valkyrie; Sun Cleric — Seraphim; Primalist — Mountain King; Bloodmage — Sanguine; Bloodmage — Eternal; Reaper — Soul; Reaper — Domination; Chronomancer — Artificer; Necromancer — Animation; Necromancer — Death; Necromancer — Rime; Venomancer — Fortitude</t>
  </si>
  <si>
    <t>Attack Speed (Slow)</t>
  </si>
  <si>
    <t>Necromancer — любой спек; Chronomancer — Artificer; Cultist — Dreadnought; Felsworn — Tyrant; + ещё 11 классов</t>
  </si>
  <si>
    <t>Cultist — Dreadnought; Cultist — Corruption; Starcaller — Moon Guard; Sun Cleric — Piety; Sun Cleric — Seraphim; Templar — Oathkeeper; Primalist — Mountain King; Primalist — Geomancy; Bloodmage — Eternal; Ranger — Brigand; Ranger — Archery; Ranger — Farstrider; Reaper — Soul; Reaper — Harvest; Reaper — Domination; Chronomancer — Artificer; Venomancer — Fortitude</t>
  </si>
  <si>
    <t>Insect Swarm Hit (3%)</t>
  </si>
  <si>
    <t>Ranger — любой спек; Reaper — любой спек; Bloodmage — Eternal; Chronomancer — Artificer; + ещё 6 классов</t>
  </si>
  <si>
    <t>Barbarian — Headhunting; Felsworn — Slaying; Witch Hunter — Boltslinger; Cultist — Godblade; Knight of Xoroth — War; Guardian — Gladiator; Starcaller — Warden; Bloodmage — Accursed; Pyromancer — Flameweaving; Pyromancer — Draconic; Pyromancer — Incineration; Ranger — Brigand; Reaper — Harvest; Runemaster — Glyphic; Runemaster — Riftblade; Runemaster — Engravement; Necromancer — Animation; Necromancer — Death; Necromancer — Rime; Venomancer — Rot</t>
  </si>
  <si>
    <t>Healing Reduc (30-50%)</t>
  </si>
  <si>
    <t>Necromancer — любой спек; Pyromancer — любой спек; Runemaster — любой спек; Barbarian — Headhunting; + ещё 10 классов</t>
  </si>
  <si>
    <t>Witch Doctor — Shadowhunting; Witch Doctor — Voodoo; Witch Doctor — Brewing; Felsworn — Slaying; Witch Hunter — Inquisition; Witch Hunter — Houndmaster; Witch Hunter — Black Knight; Witch Hunter — Boltslinger; Knight of Xoroth — Hellfire; Templar — Oathkeeper; Chronomancer — Infinite; Venomancer — Stalking; Venomancer — Vizier; Venomancer — Fortitude; Venomancer — Rot</t>
  </si>
  <si>
    <t>Cast Slow 30%</t>
  </si>
  <si>
    <t>Venomancer — любой спек; Witch Doctor — любой спек; Witch Hunter — любой спек; Chronomancer — Infinite; + ещё 3 классов</t>
  </si>
  <si>
    <t>Felsworn — Infernal; Felsworn — Tyrant; Felsworn — Slaying; Witch Hunter — Inquisition; Sun Cleric — Seraphim</t>
  </si>
  <si>
    <t>Damage done debuff (5%)</t>
  </si>
  <si>
    <t>Felsworn — любой спек; Sun Cleric — Seraphim; Witch Hunter — Inquisition</t>
  </si>
  <si>
    <t>ИСХОДНЫЕ ДАННЫЕ: КЛАССЫ И СПЕКИ</t>
  </si>
  <si>
    <t>Классовые бафы</t>
  </si>
  <si>
    <t>Сопротивления класса</t>
  </si>
  <si>
    <t>Классовые дебафы</t>
  </si>
  <si>
    <t>Эффекты спека: buffs[]</t>
  </si>
  <si>
    <t>Эффекты спека: debuffs[]</t>
  </si>
  <si>
    <t>Итоговые бафы по UI</t>
  </si>
  <si>
    <t>Итоговые дебафы по UI</t>
  </si>
  <si>
    <t>Strength; Agility; Attack Power; Concentration</t>
  </si>
  <si>
    <t>Armor; Heroism | Bloodlust; Resistance Reduction</t>
  </si>
  <si>
    <t>3% Critical Strike (all); 5% Attack Power</t>
  </si>
  <si>
    <t>Small Resistances (all); Intellect; Spirit; Mana Regeneration; 5% Resource Reduction</t>
  </si>
  <si>
    <t>10% Melee &amp; Range Haste; 3% Spell Haste; 5% Attack Power</t>
  </si>
  <si>
    <t>3% Spell Haste; 3% Damage Done (all)</t>
  </si>
  <si>
    <t>Attack Speed Slow; Resistance Reduction</t>
  </si>
  <si>
    <t>3% Spell Haste; Replenishment</t>
  </si>
  <si>
    <t>Attack Power Reduction; Resistance Reduction</t>
  </si>
  <si>
    <t>Minor Armor and All Stats; Attack Power</t>
  </si>
  <si>
    <t>Fire Resistance; Shadow Resistance</t>
  </si>
  <si>
    <t>3% Critical Strike (all); Damage Done Reduction (5%)</t>
  </si>
  <si>
    <t>3% Spell Hit; 10% Spell Damage</t>
  </si>
  <si>
    <t>10% Melee &amp; Range Haste; 3% Damage Done (all); Defensive Cooldown (Raid-Wide)</t>
  </si>
  <si>
    <t>10% Melee &amp; Range Haste; Armor</t>
  </si>
  <si>
    <t>Minor Armor and All Stats; Attack Power; Mana Regeneration</t>
  </si>
  <si>
    <t>3% Spell Haste; 5% Attack Power</t>
  </si>
  <si>
    <t>Replenishment; Defensive Cooldown (Raid-Wide)</t>
  </si>
  <si>
    <t>Small Resistances (all); Intellect; Mana Regeneration; Concentration</t>
  </si>
  <si>
    <t>Armor; Heroism | Bloodlust</t>
  </si>
  <si>
    <t>10% Stats; Intellect; Spirit; Dampen Magic</t>
  </si>
  <si>
    <t>3% Damage Reduction (all); Replenishment</t>
  </si>
  <si>
    <t>Spell Power; 3% Spell Haste</t>
  </si>
  <si>
    <t>10% Spell Damage; Attack Power Reduction</t>
  </si>
  <si>
    <t>Stamina; Strength; Intellect; 5% Resource Reduction</t>
  </si>
  <si>
    <t>Fire Resistance; Frost Resistance; Shadow Resistance; Arcane Resistance</t>
  </si>
  <si>
    <t>5% Attack Power; 3% Damage Done (all); 3% Spell Critical Strike Chance</t>
  </si>
  <si>
    <t>Attack Power Reduction; Attack Speed Slow</t>
  </si>
  <si>
    <t>10% Spell Damage; Armor Reduction</t>
  </si>
  <si>
    <t>3% Damage Reduction (all); Attack Speed Slow</t>
  </si>
  <si>
    <t>Armor Reduction; Attack Power Reduction</t>
  </si>
  <si>
    <t>Intellect; Strong Mana Cooldown</t>
  </si>
  <si>
    <t>3% Critical Strike (all); Resistance Reduction</t>
  </si>
  <si>
    <t>10% Melee &amp; Range Haste; Resistance Reduction</t>
  </si>
  <si>
    <t>3% Damage Reduction (all); Resistance Reduction</t>
  </si>
  <si>
    <t>10% Stats; Attack Power; Spell Power; Mana Regeneration; 5% Resource Reduction</t>
  </si>
  <si>
    <t>3% Spell Haste; Resistance Reduction</t>
  </si>
  <si>
    <t>3% Damage Done (all); Resistance Reduction</t>
  </si>
  <si>
    <t>Replenishment; Resistance Reduction</t>
  </si>
  <si>
    <t>6% Healing Done; Defensive Cooldown (Raid-Wide)</t>
  </si>
  <si>
    <t>10% Stats; Agility</t>
  </si>
  <si>
    <t>5% Attack Power; 6% Healing Done; Defensive Cooldown (Raid-Wide)</t>
  </si>
  <si>
    <t>Minor Armor and All Stats; Small Resistances (all); Agility; Spirit</t>
  </si>
  <si>
    <t>Nature Resistance; Arcane Resistance</t>
  </si>
  <si>
    <t>Replenishment; 4% Physical Damage</t>
  </si>
  <si>
    <t>3% Spell Haste; 3% Spell Hit</t>
  </si>
  <si>
    <t>3% Spell Critical Strike Chance; 3% Hit Reduction</t>
  </si>
  <si>
    <t>6% Healing Done; Armor; Heroism | Bloodlust</t>
  </si>
  <si>
    <t>Stamina; Concentration</t>
  </si>
  <si>
    <t>3% Spell Haste; 3% Critical Strike (all)</t>
  </si>
  <si>
    <t>5% Attack Power; 6% Healing Done</t>
  </si>
  <si>
    <t>Intellect; Spirit; Strong Mana Cooldown</t>
  </si>
  <si>
    <t>Fire Resistance; Arcane Resistance</t>
  </si>
  <si>
    <t>3% Critical Strike (all); 3% Spell Critical Strike Chance</t>
  </si>
  <si>
    <t>Minor Armor and All Stats; Agility</t>
  </si>
  <si>
    <t>10% Melee &amp; Range Haste; Armor; Heroism | Bloodlust</t>
  </si>
  <si>
    <t>3% Critical Strike (all); 3% Damage Reduction (all)</t>
  </si>
  <si>
    <t>10% Stats; Agility; 5% Resource Reduction; Strong Mana Cooldown; Amplify Magic</t>
  </si>
  <si>
    <t>Fire Resistance; Nature Resistance; Arcane Resistance</t>
  </si>
  <si>
    <t>3% Damage Done (all); Replenishment</t>
  </si>
  <si>
    <t>10% Melee &amp; Range Haste; Replenishment</t>
  </si>
  <si>
    <t>Intellect; Spirit; Strong Mana Cooldown; Amplify Magic; Dampen Magic</t>
  </si>
  <si>
    <t>3% Spell Haste; 3% Damage Reduction (all)</t>
  </si>
  <si>
    <t>3% Critical Strike (all); Replenishment</t>
  </si>
  <si>
    <t>Stamina; Spell Power</t>
  </si>
  <si>
    <t>Minor Armor and All Stats; Agility; Spirit</t>
  </si>
  <si>
    <t>6% Healing Done; Replenishment</t>
  </si>
  <si>
    <t>Attack Power; Mana Regeneration; Strong Mana Cooldown; Concentration; Amplify Magic</t>
  </si>
  <si>
    <t>3% Spell Haste; 3% Damage Reduction (all); 6% Healing Done</t>
  </si>
  <si>
    <t>ИСХОДНЫЕ ДАННЫЕ: ВСЕ ИСТОЧНИКИ ЭФФЕКТОВ</t>
  </si>
  <si>
    <t>Категория UI</t>
  </si>
  <si>
    <t>Отображаемое имя</t>
  </si>
  <si>
    <t>Ключ эффекта</t>
  </si>
  <si>
    <t>Уровень</t>
  </si>
  <si>
    <t>Поле базы</t>
  </si>
  <si>
    <t>Исходное значение</t>
  </si>
  <si>
    <t>Источник кода</t>
  </si>
  <si>
    <t>classBuffs</t>
  </si>
  <si>
    <t>https://github.com/TheAscOrg/coa-raid-comp-calculator/blob/main/src/data/raidData.js</t>
  </si>
  <si>
    <t>Concentration (Berserker)</t>
  </si>
  <si>
    <t>Спек</t>
  </si>
  <si>
    <t>specBuffs</t>
  </si>
  <si>
    <t>specDebuffs</t>
  </si>
  <si>
    <t>classDebuffs</t>
  </si>
  <si>
    <t>classResists</t>
  </si>
  <si>
    <t>СПРАВКА ПО БАЗЕ И ЛОГИКЕ КАЛЬКУЛЯТОРА</t>
  </si>
  <si>
    <t>Показатель</t>
  </si>
  <si>
    <t>Значение</t>
  </si>
  <si>
    <t>Пояснение</t>
  </si>
  <si>
    <t>Классы</t>
  </si>
  <si>
    <t>Активные классы в объекте DB</t>
  </si>
  <si>
    <t>Специализации</t>
  </si>
  <si>
    <t>Активные специализации в объекте DB; 135 в README — число файлов иконок, не активных спеков</t>
  </si>
  <si>
    <t>Типы эффектов</t>
  </si>
  <si>
    <t>Элементы шести разделов панели: 3 группы бафов и 3 группы дебафов</t>
  </si>
  <si>
    <t>Логика сочетания</t>
  </si>
  <si>
    <t>Класс + спек</t>
  </si>
  <si>
    <t>При выборе спека калькулятор объединяет classBuffs, classResists, classDebuffs, spec.buffs и spec.debuffs</t>
  </si>
  <si>
    <t>https://github.com/TheAscOrg/coa-raid-comp-calculator/blob/main/src/main.jsx</t>
  </si>
  <si>
    <t>Канонизация</t>
  </si>
  <si>
    <t>Concentration (Berserker) → Concentration</t>
  </si>
  <si>
    <t>Единственный алиас в текущей базе</t>
  </si>
  <si>
    <t>Категория берётся из UI_CATEGORIES</t>
  </si>
  <si>
    <t>Некоторые дебафы физически записаны в массив buffs[]; поэтому итоговые бафы/дебафы определены по разделу интерфейса, а не только по имени поля</t>
  </si>
  <si>
    <t>Тип</t>
  </si>
  <si>
    <t>Количество эффектов</t>
  </si>
  <si>
    <t>Примечание</t>
  </si>
  <si>
    <t>Баф</t>
  </si>
  <si>
    <t>10% Stats; Minor Armor and All Stats; Stamina; Strength; Agility; Attack Power; 5% Attack Power; 10% Melee &amp; Range Haste</t>
  </si>
  <si>
    <t>Intellect; Spirit; Spell Power; 3% Spell Haste; Mana Regeneration; Replenishment; Strong Mana Cooldown</t>
  </si>
  <si>
    <t>3% Critical Strike (all); 3% Damage Done (all); Small Resistances (all); Fire Resistance; Frost Resistance; Nature Resistance; Shadow Resistance; Arcane Resistance; 5% Resource Reduction; 3% Damage Reduction (all); 6% Healing Done; Concentration; Amplify Magic; Dampen Magic; Armor; Defensive Cooldown (Raid-Wide); Heroism | Bloodlust</t>
  </si>
  <si>
    <t>Дебаф</t>
  </si>
  <si>
    <t>10% Spell Damage; 3% Spell Critical Strike Chance; 3% Spell Hit; Resistance Reduction</t>
  </si>
  <si>
    <t>Attack Power Reduction; Attack Speed Slow; 3% Hit Reduction; Healing Reduction; Cast Speed Slow; Damage Done Reduction (5%)</t>
  </si>
  <si>
    <t>КАК ПОЛЬЗОВАТЬСЯ ЭТОЙ КНИГОЙ</t>
  </si>
  <si>
    <t>НОВАЯ ЛОГИКА ПЕРВОЙ СТРАНИЦЫ</t>
  </si>
  <si>
    <t>1. Выберите класс и специализацию — роль подставится автоматически.</t>
  </si>
  <si>
    <t>Покрытие</t>
  </si>
  <si>
    <t>Красное — эффекта нет; жёлтое — один источник; зелёное — есть резерв.</t>
  </si>
  <si>
    <t>2. Блок справа показывает один точный следующий выбор и восемь самых важных недостающих эффектов с источниками.</t>
  </si>
  <si>
    <t>Критично = 3 балла, Важно = 2, Опционально = 1, Не учитывать = 0. Значения можно менять.</t>
  </si>
  <si>
    <t>3. «Умеренно» штрафует повторы; «Разнообразно» штрафует сильнее; лимиты запрещают превышение одинакового спека/класса.</t>
  </si>
  <si>
    <t>Рекомендации</t>
  </si>
  <si>
    <t>Топ специализаций учитывает только отсутствующие эффекты, приоритеты и выбранный фильтр роли. Уже взятые спеки исключаются.</t>
  </si>
  <si>
    <t>4. После закрытия критических и важных эффектов рекомендатель сильнее опирается на DPS/HPS/DTPS, смертность и дефицит роли.</t>
  </si>
  <si>
    <t>СРАВНЕНИЕ СПЕКОВ</t>
  </si>
  <si>
    <t>Выбери два класса и спека — книга покажет, что каждый добавит именно текущему рейду.</t>
  </si>
  <si>
    <t>5. Приоритет эффекта меняется на листе «СПРАВОЧНИК ЭФФЕКТОВ», столбец C.</t>
  </si>
  <si>
    <t>КАТАЛОГ СПЕКОВ</t>
  </si>
  <si>
    <t>Используй фильтры таблицы для анализа всех 70 специализаций. Динамические колонки обновляются от текущего состава.</t>
  </si>
  <si>
    <t>Версия v4: исправлена совместимость с Microsoft Excel. Удалены повреждённые правила условного форматирования на трёх листах. Формулы, списки выбора и пошаговые рекомендации сохранены.</t>
  </si>
  <si>
    <t>Ключ</t>
  </si>
  <si>
    <t>Приоритеты</t>
  </si>
  <si>
    <t>Количество</t>
  </si>
  <si>
    <t>Лимит</t>
  </si>
  <si>
    <t>Barbarian§Ancestry</t>
  </si>
  <si>
    <t>Без ограничений</t>
  </si>
  <si>
    <t>Barbarian§Brutality</t>
  </si>
  <si>
    <t>Barbarian§Headhunting</t>
  </si>
  <si>
    <t>Разнообразно</t>
  </si>
  <si>
    <t>Witch Doctor§Shadowhunting</t>
  </si>
  <si>
    <t>Не учитывать</t>
  </si>
  <si>
    <t>Witch Doctor§Voodoo</t>
  </si>
  <si>
    <t>Witch Doctor§Brewing</t>
  </si>
  <si>
    <t>Felsworn§Infernal</t>
  </si>
  <si>
    <t>Felsworn§Tyrant</t>
  </si>
  <si>
    <t>Felsworn§Slaying</t>
  </si>
  <si>
    <t>Witch Hunter§Inquisition</t>
  </si>
  <si>
    <t>Witch Hunter§Houndmaster</t>
  </si>
  <si>
    <t>Witch Hunter§Black Knight</t>
  </si>
  <si>
    <t>Witch Hunter§Boltslinger</t>
  </si>
  <si>
    <t>Stormbringer§Maelstrom</t>
  </si>
  <si>
    <t>Stormbringer§Lightning</t>
  </si>
  <si>
    <t>Stormbringer§Wind</t>
  </si>
  <si>
    <t>Cultist§Heretic</t>
  </si>
  <si>
    <t>Cultist§Dreadnought</t>
  </si>
  <si>
    <t>Cultist§Corruption</t>
  </si>
  <si>
    <t>Cultist§Godblade</t>
  </si>
  <si>
    <t>Knight of Xoroth§Hellfire</t>
  </si>
  <si>
    <t>Knight of Xoroth§War</t>
  </si>
  <si>
    <t>Knight of Xoroth§Defiance</t>
  </si>
  <si>
    <t>Guardian§Vanguard</t>
  </si>
  <si>
    <t>Guardian§Gladiator</t>
  </si>
  <si>
    <t>Guardian§Inspiration</t>
  </si>
  <si>
    <t>Starcaller§Moon Priest</t>
  </si>
  <si>
    <t>Starcaller§Warden</t>
  </si>
  <si>
    <t>Starcaller§Sentinel</t>
  </si>
  <si>
    <t>Starcaller§Moon Guard</t>
  </si>
  <si>
    <t>Sun Cleric§Blessings</t>
  </si>
  <si>
    <t>Sun Cleric§Valkyrie</t>
  </si>
  <si>
    <t>Sun Cleric§Piety</t>
  </si>
  <si>
    <t>Sun Cleric§Seraphim</t>
  </si>
  <si>
    <t>Templar§Zealot</t>
  </si>
  <si>
    <t>Templar§Crusader</t>
  </si>
  <si>
    <t>Templar§Oathkeeper</t>
  </si>
  <si>
    <t>Primalist§Wildwalker</t>
  </si>
  <si>
    <t>Primalist§Mountain King</t>
  </si>
  <si>
    <t>Primalist§Geomancy</t>
  </si>
  <si>
    <t>Primalist§Grovekeeper</t>
  </si>
  <si>
    <t>Bloodmage§Sanguine</t>
  </si>
  <si>
    <t>Bloodmage§Fleshweaver</t>
  </si>
  <si>
    <t>Bloodmage§Accursed</t>
  </si>
  <si>
    <t>Bloodmage§Eternal</t>
  </si>
  <si>
    <t>Pyromancer§Flameweaving</t>
  </si>
  <si>
    <t>Pyromancer§Draconic</t>
  </si>
  <si>
    <t>Pyromancer§Incineration</t>
  </si>
  <si>
    <t>Ranger§Brigand</t>
  </si>
  <si>
    <t>Ranger§Archery</t>
  </si>
  <si>
    <t>Ranger§Farstrider</t>
  </si>
  <si>
    <t>Reaper§Soul</t>
  </si>
  <si>
    <t>Reaper§Harvest</t>
  </si>
  <si>
    <t>Reaper§Domination</t>
  </si>
  <si>
    <t>Runemaster§Glyphic</t>
  </si>
  <si>
    <t>Runemaster§Riftblade</t>
  </si>
  <si>
    <t>Runemaster§Engravement</t>
  </si>
  <si>
    <t>Chronomancer§Time</t>
  </si>
  <si>
    <t>Chronomancer§Infinite</t>
  </si>
  <si>
    <t>Chronomancer§Artificer</t>
  </si>
  <si>
    <t>Necromancer§Animation</t>
  </si>
  <si>
    <t>Necromancer§Death</t>
  </si>
  <si>
    <t>Necromancer§Rime</t>
  </si>
  <si>
    <t>Venomancer§Stalking</t>
  </si>
  <si>
    <t>Venomancer§Vizier</t>
  </si>
  <si>
    <t>Venomancer§Fortitude</t>
  </si>
  <si>
    <t>Venomancer§Rot</t>
  </si>
  <si>
    <t>Tinker§Demolition</t>
  </si>
  <si>
    <t>Tinker§Mechanics</t>
  </si>
  <si>
    <t>Tinker§Invention</t>
  </si>
  <si>
    <t>Ключ состава</t>
  </si>
  <si>
    <t>Кол-во</t>
  </si>
  <si>
    <t>Эффекты →</t>
  </si>
  <si>
    <t>ИТОГО ЭФФЕКТОВ</t>
  </si>
  <si>
    <t>НЕ ХВАТАЕТ (1/0)</t>
  </si>
  <si>
    <t>ВЕСА</t>
  </si>
  <si>
    <t>Уже выбран</t>
  </si>
  <si>
    <t>Роль подходит</t>
  </si>
  <si>
    <t>Итоговый балл</t>
  </si>
  <si>
    <t>Ранг</t>
  </si>
  <si>
    <t>Что закрывает</t>
  </si>
  <si>
    <t>Фактическая аура</t>
  </si>
  <si>
    <t>Spell ID</t>
  </si>
  <si>
    <t>Возможностей</t>
  </si>
  <si>
    <t>Встречено</t>
  </si>
  <si>
    <t>Специфичность</t>
  </si>
  <si>
    <t>Охват игроков</t>
  </si>
  <si>
    <t>Босс-цель</t>
  </si>
  <si>
    <t>Уверенность</t>
  </si>
  <si>
    <t>Статус модели</t>
  </si>
  <si>
    <t>Значение базы</t>
  </si>
  <si>
    <t>Все специализации класса</t>
  </si>
  <si>
    <t>Мили-DPS; Рейндж/кастер; Саппорт</t>
  </si>
  <si>
    <t>Warband</t>
  </si>
  <si>
    <t>560883</t>
  </si>
  <si>
    <t>Высокая</t>
  </si>
  <si>
    <t>На проверку</t>
  </si>
  <si>
    <t>Одна фактическая аура может закрывать несколько концептуальных эффектов; статистическая связь не доказывает механику.</t>
  </si>
  <si>
    <t>Frozen Blades</t>
  </si>
  <si>
    <t>560821</t>
  </si>
  <si>
    <t>Frostbite</t>
  </si>
  <si>
    <t>2119752</t>
  </si>
  <si>
    <t>Средняя</t>
  </si>
  <si>
    <t>Wounded</t>
  </si>
  <si>
    <t>570739</t>
  </si>
  <si>
    <t>Berserker Aura</t>
  </si>
  <si>
    <t>560543</t>
  </si>
  <si>
    <t>Puncture Wound</t>
  </si>
  <si>
    <t>804143</t>
  </si>
  <si>
    <t>Рейндж/кастер; Хилер</t>
  </si>
  <si>
    <t>Splash Potion: Jungle Shrooms</t>
  </si>
  <si>
    <t>803698</t>
  </si>
  <si>
    <t>Greater Resourceful Wuju</t>
  </si>
  <si>
    <t>800195</t>
  </si>
  <si>
    <t>Hex of Malice</t>
  </si>
  <si>
    <t>504608</t>
  </si>
  <si>
    <t>Berserking</t>
  </si>
  <si>
    <t>705926</t>
  </si>
  <si>
    <t>Eye of Kimbul</t>
  </si>
  <si>
    <t>802707</t>
  </si>
  <si>
    <t>Born in Blood</t>
  </si>
  <si>
    <t>560521</t>
  </si>
  <si>
    <t>Puppeteer’s Threads</t>
  </si>
  <si>
    <t>572836</t>
  </si>
  <si>
    <t>Mana Jinx</t>
  </si>
  <si>
    <t>801925</t>
  </si>
  <si>
    <t>Мили-DPS; Рейндж/кастер; Танк</t>
  </si>
  <si>
    <t>Demonfire Pact</t>
  </si>
  <si>
    <t>800031</t>
  </si>
  <si>
    <t>Greater Man'ari Intuition</t>
  </si>
  <si>
    <t>523495</t>
  </si>
  <si>
    <t>Felstrike</t>
  </si>
  <si>
    <t>802678</t>
  </si>
  <si>
    <t>Illidari Barrier</t>
  </si>
  <si>
    <t>300469</t>
  </si>
  <si>
    <t>Doomscar</t>
  </si>
  <si>
    <t>563271</t>
  </si>
  <si>
    <t>Greater Inquisitor's Edict</t>
  </si>
  <si>
    <t>680303</t>
  </si>
  <si>
    <t>Низкая</t>
  </si>
  <si>
    <t>Interrogator</t>
  </si>
  <si>
    <t>807262</t>
  </si>
  <si>
    <t>Shadow Rage</t>
  </si>
  <si>
    <t>804192</t>
  </si>
  <si>
    <t>Shadow Claw</t>
  </si>
  <si>
    <t>800697</t>
  </si>
  <si>
    <t>Shadow Brand</t>
  </si>
  <si>
    <t>680517</t>
  </si>
  <si>
    <t>Arbalest Mastery</t>
  </si>
  <si>
    <t>706241</t>
  </si>
  <si>
    <t>Рейндж/кастер; Саппорт</t>
  </si>
  <si>
    <t>Greater Call of the Lightning</t>
  </si>
  <si>
    <t>575846</t>
  </si>
  <si>
    <t>Stormflow</t>
  </si>
  <si>
    <t>572866</t>
  </si>
  <si>
    <t>Volt</t>
  </si>
  <si>
    <t>501409</t>
  </si>
  <si>
    <t>Updraft</t>
  </si>
  <si>
    <t>704202</t>
  </si>
  <si>
    <t>Мили-DPS; Рейндж/кастер; Танк; Хилер</t>
  </si>
  <si>
    <t>Void Resilience</t>
  </si>
  <si>
    <t>1119892</t>
  </si>
  <si>
    <t>Void-Touched</t>
  </si>
  <si>
    <t>301982</t>
  </si>
  <si>
    <t>Test of Pride</t>
  </si>
  <si>
    <t>804412</t>
  </si>
  <si>
    <t>Greater Whispers of C'thun</t>
  </si>
  <si>
    <t>573067</t>
  </si>
  <si>
    <t>Unrelenting Void</t>
  </si>
  <si>
    <t>706908</t>
  </si>
  <si>
    <t>Touch of the Void</t>
  </si>
  <si>
    <t>572046</t>
  </si>
  <si>
    <t>Мили-DPS; Танк</t>
  </si>
  <si>
    <t>Greater Mark of Korth’azz</t>
  </si>
  <si>
    <t>680300</t>
  </si>
  <si>
    <t>Doom</t>
  </si>
  <si>
    <t>802609</t>
  </si>
  <si>
    <t>802608</t>
  </si>
  <si>
    <t>Rampant</t>
  </si>
  <si>
    <t>680979</t>
  </si>
  <si>
    <t>Dread Knight</t>
  </si>
  <si>
    <t>572860</t>
  </si>
  <si>
    <t>Мили-DPS; Саппорт; Танк</t>
  </si>
  <si>
    <t>Greater Fire Protection</t>
  </si>
  <si>
    <t>582536</t>
  </si>
  <si>
    <t>Vanguard's Might</t>
  </si>
  <si>
    <t>802894</t>
  </si>
  <si>
    <t>Bring Down The Hammer!</t>
  </si>
  <si>
    <t>705380</t>
  </si>
  <si>
    <t>Deadly Blow</t>
  </si>
  <si>
    <t>706808</t>
  </si>
  <si>
    <t>Hero's March</t>
  </si>
  <si>
    <t>803524</t>
  </si>
  <si>
    <t>Harrowing Melody</t>
  </si>
  <si>
    <t>572821</t>
  </si>
  <si>
    <t>Greater Arcane Protection</t>
  </si>
  <si>
    <t>573348</t>
  </si>
  <si>
    <t>Eclipsing Arrows</t>
  </si>
  <si>
    <t>574154</t>
  </si>
  <si>
    <t>Scattered Stars</t>
  </si>
  <si>
    <t>804378</t>
  </si>
  <si>
    <t>Astral Combatant</t>
  </si>
  <si>
    <t>805566</t>
  </si>
  <si>
    <t>Starfire Barrage</t>
  </si>
  <si>
    <t>803264</t>
  </si>
  <si>
    <t>Enduring Moon</t>
  </si>
  <si>
    <t>572181</t>
  </si>
  <si>
    <t>Dawnfall</t>
  </si>
  <si>
    <t>806118</t>
  </si>
  <si>
    <t>Faith</t>
  </si>
  <si>
    <t>804405</t>
  </si>
  <si>
    <t>Sunslam</t>
  </si>
  <si>
    <t>807973</t>
  </si>
  <si>
    <t>Purgation</t>
  </si>
  <si>
    <t>806025</t>
  </si>
  <si>
    <t>Justicar's Wrath</t>
  </si>
  <si>
    <t>572067</t>
  </si>
  <si>
    <t>Harmonic Disposition</t>
  </si>
  <si>
    <t>560653</t>
  </si>
  <si>
    <t>Iron Penance</t>
  </si>
  <si>
    <t>523713</t>
  </si>
  <si>
    <t>Divine Strikes</t>
  </si>
  <si>
    <t>803372</t>
  </si>
  <si>
    <t>Barrier of Light</t>
  </si>
  <si>
    <t>805417</t>
  </si>
  <si>
    <t>Sacred Swing</t>
  </si>
  <si>
    <t>301061</t>
  </si>
  <si>
    <t>Мили-DPS; Рейндж/кастер; Саппорт; Танк</t>
  </si>
  <si>
    <t>Grove Guardian</t>
  </si>
  <si>
    <t>505208</t>
  </si>
  <si>
    <t>Protective Roar</t>
  </si>
  <si>
    <t>802782</t>
  </si>
  <si>
    <t>Torn to Shreds</t>
  </si>
  <si>
    <t>560313</t>
  </si>
  <si>
    <t>Raging Earth</t>
  </si>
  <si>
    <t>681089</t>
  </si>
  <si>
    <t>Terrasurge</t>
  </si>
  <si>
    <t>573070</t>
  </si>
  <si>
    <t>Sacred Grove</t>
  </si>
  <si>
    <t>800186</t>
  </si>
  <si>
    <t>Bioerosion</t>
  </si>
  <si>
    <t>575848</t>
  </si>
  <si>
    <t>Greater Bloodthorns</t>
  </si>
  <si>
    <t>572116</t>
  </si>
  <si>
    <t>Greater Sanguinary Offering</t>
  </si>
  <si>
    <t>680299</t>
  </si>
  <si>
    <t>Bloodsore</t>
  </si>
  <si>
    <t>805592</t>
  </si>
  <si>
    <t>Excess Blood</t>
  </si>
  <si>
    <t>504101</t>
  </si>
  <si>
    <t>Vampyr's Kiss</t>
  </si>
  <si>
    <t>504281</t>
  </si>
  <si>
    <t>Blood Trail</t>
  </si>
  <si>
    <t>804857</t>
  </si>
  <si>
    <t>Marrowbite</t>
  </si>
  <si>
    <t>504553</t>
  </si>
  <si>
    <t>Rotclaw</t>
  </si>
  <si>
    <t>503484</t>
  </si>
  <si>
    <t>Ascension of Thaurissan</t>
  </si>
  <si>
    <t>1119751</t>
  </si>
  <si>
    <t>Phoenix Shield</t>
  </si>
  <si>
    <t>706855</t>
  </si>
  <si>
    <t>Blaze</t>
  </si>
  <si>
    <t>572160</t>
  </si>
  <si>
    <t>Draconic Tempest</t>
  </si>
  <si>
    <t>301212</t>
  </si>
  <si>
    <t>Burned</t>
  </si>
  <si>
    <t>572626</t>
  </si>
  <si>
    <t>Wild Blessing</t>
  </si>
  <si>
    <t>681539</t>
  </si>
  <si>
    <t>Horn of Perseverance</t>
  </si>
  <si>
    <t>800088</t>
  </si>
  <si>
    <t>Greater Woodsman's Adaptation</t>
  </si>
  <si>
    <t>680294</t>
  </si>
  <si>
    <t>Ravage</t>
  </si>
  <si>
    <t>803864</t>
  </si>
  <si>
    <t>Weapon Oil</t>
  </si>
  <si>
    <t>567737</t>
  </si>
  <si>
    <t>Battle Screech</t>
  </si>
  <si>
    <t>706399</t>
  </si>
  <si>
    <t>Enchanted Flare</t>
  </si>
  <si>
    <t>801935</t>
  </si>
  <si>
    <t>Deathwind</t>
  </si>
  <si>
    <t>502994</t>
  </si>
  <si>
    <t>Deathchaser</t>
  </si>
  <si>
    <t>573053</t>
  </si>
  <si>
    <t>Harvesting Grounds</t>
  </si>
  <si>
    <t>707591</t>
  </si>
  <si>
    <t>Doomrend</t>
  </si>
  <si>
    <t>560361</t>
  </si>
  <si>
    <t>Spectral Warden</t>
  </si>
  <si>
    <t>805716</t>
  </si>
  <si>
    <t>Soul Splinter</t>
  </si>
  <si>
    <t>805720</t>
  </si>
  <si>
    <t>Мили-DPS; Рейндж/кастер</t>
  </si>
  <si>
    <t>Power Engraving</t>
  </si>
  <si>
    <t>500296</t>
  </si>
  <si>
    <t>Ley Mark</t>
  </si>
  <si>
    <t>504844</t>
  </si>
  <si>
    <t>Hoarfrost</t>
  </si>
  <si>
    <t>572737</t>
  </si>
  <si>
    <t>Marked: Runic Brand</t>
  </si>
  <si>
    <t>712323</t>
  </si>
  <si>
    <t>Greater Chromie's Wisdom</t>
  </si>
  <si>
    <t>680307</t>
  </si>
  <si>
    <t>Mark of Order</t>
  </si>
  <si>
    <t>806269</t>
  </si>
  <si>
    <t>Time Means Nothing</t>
  </si>
  <si>
    <t>572405</t>
  </si>
  <si>
    <t>Elder Wand</t>
  </si>
  <si>
    <t>560128</t>
  </si>
  <si>
    <t>Greater Razorice</t>
  </si>
  <si>
    <t>572214</t>
  </si>
  <si>
    <t>Crypt Swarm</t>
  </si>
  <si>
    <t>501886</t>
  </si>
  <si>
    <t>Rotting Flesh</t>
  </si>
  <si>
    <t>573131</t>
  </si>
  <si>
    <t>Crypt Plague</t>
  </si>
  <si>
    <t>570131</t>
  </si>
  <si>
    <t>Frozen</t>
  </si>
  <si>
    <t>804328</t>
  </si>
  <si>
    <t>Rejuvenating Venom</t>
  </si>
  <si>
    <t>630869</t>
  </si>
  <si>
    <t>Vulnerable</t>
  </si>
  <si>
    <t>572056</t>
  </si>
  <si>
    <t>Mycelial Healing</t>
  </si>
  <si>
    <t>806454</t>
  </si>
  <si>
    <t>Mending Mist</t>
  </si>
  <si>
    <t>502957</t>
  </si>
  <si>
    <t>Myotoxin</t>
  </si>
  <si>
    <t>572304</t>
  </si>
  <si>
    <t>Locust Swarm</t>
  </si>
  <si>
    <t>560247</t>
  </si>
  <si>
    <t>Beetle Slime</t>
  </si>
  <si>
    <t>704347</t>
  </si>
  <si>
    <t>Venoxis Rage</t>
  </si>
  <si>
    <t>805431</t>
  </si>
  <si>
    <t>Fungal Growth</t>
  </si>
  <si>
    <t>804971</t>
  </si>
  <si>
    <t>Greater Power Module</t>
  </si>
  <si>
    <t>680315</t>
  </si>
  <si>
    <t>Steam Vent</t>
  </si>
  <si>
    <t>572369</t>
  </si>
  <si>
    <t>Bomb Toss</t>
  </si>
  <si>
    <t>572053</t>
  </si>
  <si>
    <t>Gatling Gun</t>
  </si>
  <si>
    <t>500213</t>
  </si>
  <si>
    <t>Rejuvenating Gas</t>
  </si>
  <si>
    <t>706255</t>
  </si>
  <si>
    <t>Боев со спеком</t>
  </si>
  <si>
    <t>Боев с аурой</t>
  </si>
  <si>
    <t>Наблюдаемый тип</t>
  </si>
  <si>
    <t>Событий от спека</t>
  </si>
  <si>
    <t>BUFF</t>
  </si>
  <si>
    <t>raid_buff</t>
  </si>
  <si>
    <t>Tavern Brawl!</t>
  </si>
  <si>
    <t>804456</t>
  </si>
  <si>
    <t>DEBUFF</t>
  </si>
  <si>
    <t>boss_debuff</t>
  </si>
  <si>
    <t>Odyn's Guidance</t>
  </si>
  <si>
    <t>800476</t>
  </si>
  <si>
    <t>Uniting Voice</t>
  </si>
  <si>
    <t>560946</t>
  </si>
  <si>
    <t>War Cry</t>
  </si>
  <si>
    <t>500995</t>
  </si>
  <si>
    <t>Splash Zone</t>
  </si>
  <si>
    <t>706404</t>
  </si>
  <si>
    <t>Hodir's Revenge</t>
  </si>
  <si>
    <t>560125</t>
  </si>
  <si>
    <t>To The Bone</t>
  </si>
  <si>
    <t>803513</t>
  </si>
  <si>
    <t>Ramhorn Rage</t>
  </si>
  <si>
    <t>805804</t>
  </si>
  <si>
    <t>limited</t>
  </si>
  <si>
    <t>Smashed</t>
  </si>
  <si>
    <t>706645</t>
  </si>
  <si>
    <t>Storm of Steel</t>
  </si>
  <si>
    <t>800637</t>
  </si>
  <si>
    <t>Headbutt</t>
  </si>
  <si>
    <t>520711</t>
  </si>
  <si>
    <t>Headlopped</t>
  </si>
  <si>
    <t>783054</t>
  </si>
  <si>
    <t>Gutspiller</t>
  </si>
  <si>
    <t>806887</t>
  </si>
  <si>
    <t>Guts Splatter</t>
  </si>
  <si>
    <t>561333</t>
  </si>
  <si>
    <t>Berserker Axe</t>
  </si>
  <si>
    <t>561020</t>
  </si>
  <si>
    <t>Rapid Throw</t>
  </si>
  <si>
    <t>807482</t>
  </si>
  <si>
    <t>Dark Embrace</t>
  </si>
  <si>
    <t>804854</t>
  </si>
  <si>
    <t>Bloodshards</t>
  </si>
  <si>
    <t>504741</t>
  </si>
  <si>
    <t>Hematoma</t>
  </si>
  <si>
    <t>803392</t>
  </si>
  <si>
    <t>Crimson Maw</t>
  </si>
  <si>
    <t>803391</t>
  </si>
  <si>
    <t>Festering Maw</t>
  </si>
  <si>
    <t>706654</t>
  </si>
  <si>
    <t>Bare Fangs</t>
  </si>
  <si>
    <t>801957</t>
  </si>
  <si>
    <t>Hypovolemic Shock</t>
  </si>
  <si>
    <t>572412</t>
  </si>
  <si>
    <t>Blood Howl</t>
  </si>
  <si>
    <t>800782</t>
  </si>
  <si>
    <t>Shadow Howl</t>
  </si>
  <si>
    <t>806177</t>
  </si>
  <si>
    <t>Infuse</t>
  </si>
  <si>
    <t>681403</t>
  </si>
  <si>
    <t>Sanguine Essence</t>
  </si>
  <si>
    <t>681399</t>
  </si>
  <si>
    <t>Crimson Tide</t>
  </si>
  <si>
    <t>504134</t>
  </si>
  <si>
    <t>Fleshbending</t>
  </si>
  <si>
    <t>582766</t>
  </si>
  <si>
    <t>Dark Essence</t>
  </si>
  <si>
    <t>681036</t>
  </si>
  <si>
    <t>Cursed Blood</t>
  </si>
  <si>
    <t>803722</t>
  </si>
  <si>
    <t>Red Thirst</t>
  </si>
  <si>
    <t>520493</t>
  </si>
  <si>
    <t>Blood-Cursed Weapons</t>
  </si>
  <si>
    <t>685029</t>
  </si>
  <si>
    <t>Universal Donor</t>
  </si>
  <si>
    <t>704238</t>
  </si>
  <si>
    <t>Arterial Bind</t>
  </si>
  <si>
    <t>681082</t>
  </si>
  <si>
    <t>Blood Veil</t>
  </si>
  <si>
    <t>572279</t>
  </si>
  <si>
    <t>Heartbreak</t>
  </si>
  <si>
    <t>807563</t>
  </si>
  <si>
    <t>Greater Bloodsoaked Offering</t>
  </si>
  <si>
    <t>572404</t>
  </si>
  <si>
    <t>Blood Parasites</t>
  </si>
  <si>
    <t>800988</t>
  </si>
  <si>
    <t>Malediction</t>
  </si>
  <si>
    <t>704120</t>
  </si>
  <si>
    <t>Cardiac Arrest</t>
  </si>
  <si>
    <t>806946</t>
  </si>
  <si>
    <t>Atherann's Anguish</t>
  </si>
  <si>
    <t>680680</t>
  </si>
  <si>
    <t>Agonizing Pain</t>
  </si>
  <si>
    <t>680744</t>
  </si>
  <si>
    <t>Artificer's Wand</t>
  </si>
  <si>
    <t>561357</t>
  </si>
  <si>
    <t>Crystal Cannon</t>
  </si>
  <si>
    <t>704481</t>
  </si>
  <si>
    <t>Past Mistakes</t>
  </si>
  <si>
    <t>520043</t>
  </si>
  <si>
    <t>Decomposition</t>
  </si>
  <si>
    <t>802597</t>
  </si>
  <si>
    <t>Magic Sensitivity</t>
  </si>
  <si>
    <t>520177</t>
  </si>
  <si>
    <t>Thread of Eternity</t>
  </si>
  <si>
    <t>572127</t>
  </si>
  <si>
    <t>Unmake</t>
  </si>
  <si>
    <t>574345</t>
  </si>
  <si>
    <t>Timerend</t>
  </si>
  <si>
    <t>572578</t>
  </si>
  <si>
    <t>Mind Melt</t>
  </si>
  <si>
    <t>572851</t>
  </si>
  <si>
    <t>Melt Reality</t>
  </si>
  <si>
    <t>572835</t>
  </si>
  <si>
    <t>Time Loop</t>
  </si>
  <si>
    <t>807571</t>
  </si>
  <si>
    <t>Magic Erosion</t>
  </si>
  <si>
    <t>570060</t>
  </si>
  <si>
    <t>Gravity Bomb</t>
  </si>
  <si>
    <t>801281</t>
  </si>
  <si>
    <t>Destabilize Time</t>
  </si>
  <si>
    <t>680971</t>
  </si>
  <si>
    <t>Accelerated Recovery</t>
  </si>
  <si>
    <t>501777</t>
  </si>
  <si>
    <t>Renewal</t>
  </si>
  <si>
    <t>560355</t>
  </si>
  <si>
    <t>Rippling Protection</t>
  </si>
  <si>
    <t>560394</t>
  </si>
  <si>
    <t>Protection</t>
  </si>
  <si>
    <t>560374</t>
  </si>
  <si>
    <t>The Vast Infinite</t>
  </si>
  <si>
    <t>706083</t>
  </si>
  <si>
    <t>Resilience</t>
  </si>
  <si>
    <t>560373</t>
  </si>
  <si>
    <t>Rippling Resilience</t>
  </si>
  <si>
    <t>560396</t>
  </si>
  <si>
    <t>Overcorrection</t>
  </si>
  <si>
    <t>561231</t>
  </si>
  <si>
    <t>Darkwither</t>
  </si>
  <si>
    <t>502220</t>
  </si>
  <si>
    <t>Yawning Decay</t>
  </si>
  <si>
    <t>706910</t>
  </si>
  <si>
    <t>Psychic Suppression</t>
  </si>
  <si>
    <t>800432</t>
  </si>
  <si>
    <t>Horrifying Presence</t>
  </si>
  <si>
    <t>500723</t>
  </si>
  <si>
    <t>Eldritch Force</t>
  </si>
  <si>
    <t>680576</t>
  </si>
  <si>
    <t>Sermon of Dread</t>
  </si>
  <si>
    <t>620614</t>
  </si>
  <si>
    <t>Withered</t>
  </si>
  <si>
    <t>520418</t>
  </si>
  <si>
    <t>Black Prayer</t>
  </si>
  <si>
    <t>806039</t>
  </si>
  <si>
    <t>Rift</t>
  </si>
  <si>
    <t>807848</t>
  </si>
  <si>
    <t>Mental Assault</t>
  </si>
  <si>
    <t>801151</t>
  </si>
  <si>
    <t>Vision of Doom</t>
  </si>
  <si>
    <t>520497</t>
  </si>
  <si>
    <t>520450</t>
  </si>
  <si>
    <t>Black Blood</t>
  </si>
  <si>
    <t>804153</t>
  </si>
  <si>
    <t>Forbidden Ritual</t>
  </si>
  <si>
    <t>502273</t>
  </si>
  <si>
    <t>Void Shield</t>
  </si>
  <si>
    <t>578115</t>
  </si>
  <si>
    <t>Crystalline Reflection</t>
  </si>
  <si>
    <t>525067</t>
  </si>
  <si>
    <t>Dark Infusion</t>
  </si>
  <si>
    <t>570266</t>
  </si>
  <si>
    <t>Tentacle of Yogg-Saron</t>
  </si>
  <si>
    <t>802045</t>
  </si>
  <si>
    <t>Ruin</t>
  </si>
  <si>
    <t>805748</t>
  </si>
  <si>
    <t>Bane of Fire</t>
  </si>
  <si>
    <t>707901</t>
  </si>
  <si>
    <t>Felshock</t>
  </si>
  <si>
    <t>572792</t>
  </si>
  <si>
    <t>Sargeras Embrace</t>
  </si>
  <si>
    <t>800355</t>
  </si>
  <si>
    <t>Bane of Chaos</t>
  </si>
  <si>
    <t>706420</t>
  </si>
  <si>
    <t>Felwrath</t>
  </si>
  <si>
    <t>520832</t>
  </si>
  <si>
    <t>Slayer's Pact</t>
  </si>
  <si>
    <t>803343</t>
  </si>
  <si>
    <t>Curse of Argus</t>
  </si>
  <si>
    <t>707511</t>
  </si>
  <si>
    <t>Legionfel Pact</t>
  </si>
  <si>
    <t>804764</t>
  </si>
  <si>
    <t>Slayer</t>
  </si>
  <si>
    <t>Fel Blades</t>
  </si>
  <si>
    <t>300482</t>
  </si>
  <si>
    <t>Whirling Vengeance</t>
  </si>
  <si>
    <t>806096</t>
  </si>
  <si>
    <t>Scars of Suffering</t>
  </si>
  <si>
    <t>570159</t>
  </si>
  <si>
    <t>Demonic Machinations</t>
  </si>
  <si>
    <t>806112</t>
  </si>
  <si>
    <t>Expose</t>
  </si>
  <si>
    <t>300475</t>
  </si>
  <si>
    <t>Bane of Frailty</t>
  </si>
  <si>
    <t>707903</t>
  </si>
  <si>
    <t>Carve</t>
  </si>
  <si>
    <t>578317</t>
  </si>
  <si>
    <t>Sunder</t>
  </si>
  <si>
    <t>556503</t>
  </si>
  <si>
    <t>Betray</t>
  </si>
  <si>
    <t>804220</t>
  </si>
  <si>
    <t>Vengeful Pact</t>
  </si>
  <si>
    <t>803885</t>
  </si>
  <si>
    <t>Greater Illidari Intuition</t>
  </si>
  <si>
    <t>680308</t>
  </si>
  <si>
    <t>Betrayer</t>
  </si>
  <si>
    <t>520256</t>
  </si>
  <si>
    <t>Felbane</t>
  </si>
  <si>
    <t>525001</t>
  </si>
  <si>
    <t>Infernal Whipcrack</t>
  </si>
  <si>
    <t>805243</t>
  </si>
  <si>
    <t>Fel Daze</t>
  </si>
  <si>
    <t>707360</t>
  </si>
  <si>
    <t>Fel Torpedo</t>
  </si>
  <si>
    <t>500762</t>
  </si>
  <si>
    <t>Standard of Supremacy</t>
  </si>
  <si>
    <t>500299</t>
  </si>
  <si>
    <t>Battle Rush</t>
  </si>
  <si>
    <t>501548</t>
  </si>
  <si>
    <t>Grand Entrance</t>
  </si>
  <si>
    <t>802874</t>
  </si>
  <si>
    <t>Broad Sweep</t>
  </si>
  <si>
    <t>504182</t>
  </si>
  <si>
    <t>Peril</t>
  </si>
  <si>
    <t>524610</t>
  </si>
  <si>
    <t>Glorious Arena</t>
  </si>
  <si>
    <t>300983</t>
  </si>
  <si>
    <t>Banner of Conquest</t>
  </si>
  <si>
    <t>500264</t>
  </si>
  <si>
    <t>Echoes of War</t>
  </si>
  <si>
    <t>801778</t>
  </si>
  <si>
    <t>Banner of Swiftness</t>
  </si>
  <si>
    <t>800704</t>
  </si>
  <si>
    <t>Song of Steel</t>
  </si>
  <si>
    <t>706410</t>
  </si>
  <si>
    <t>Ballad of the Dragonslayer</t>
  </si>
  <si>
    <t>574364</t>
  </si>
  <si>
    <t>Frontliner</t>
  </si>
  <si>
    <t>505198</t>
  </si>
  <si>
    <t>Champion's Presence</t>
  </si>
  <si>
    <t>520835</t>
  </si>
  <si>
    <t>Dissonance</t>
  </si>
  <si>
    <t>803721</t>
  </si>
  <si>
    <t>Linebreaker</t>
  </si>
  <si>
    <t>806220</t>
  </si>
  <si>
    <t>Knight's Song</t>
  </si>
  <si>
    <t>807460</t>
  </si>
  <si>
    <t>Standard of Recovery</t>
  </si>
  <si>
    <t>500266</t>
  </si>
  <si>
    <t>Shield Challenge</t>
  </si>
  <si>
    <t>500257</t>
  </si>
  <si>
    <t>Order In The Court</t>
  </si>
  <si>
    <t>704417</t>
  </si>
  <si>
    <t>Valorous Strikes</t>
  </si>
  <si>
    <t>572714</t>
  </si>
  <si>
    <t>Unyielding Stand</t>
  </si>
  <si>
    <t>500269</t>
  </si>
  <si>
    <t>Torn Flesh</t>
  </si>
  <si>
    <t>800341</t>
  </si>
  <si>
    <t>Abyssal Aura</t>
  </si>
  <si>
    <t>302580</t>
  </si>
  <si>
    <t>Curse of Xoroth</t>
  </si>
  <si>
    <t>804169</t>
  </si>
  <si>
    <t>Snarl</t>
  </si>
  <si>
    <t>800169</t>
  </si>
  <si>
    <t>Demolished</t>
  </si>
  <si>
    <t>807522</t>
  </si>
  <si>
    <t>Legion's Presence</t>
  </si>
  <si>
    <t>804879</t>
  </si>
  <si>
    <t>Pestilence of Apocalypse</t>
  </si>
  <si>
    <t>804801</t>
  </si>
  <si>
    <t>Unleash Apocalypse</t>
  </si>
  <si>
    <t>560817</t>
  </si>
  <si>
    <t>Burst</t>
  </si>
  <si>
    <t>520666</t>
  </si>
  <si>
    <t>Hellmaw</t>
  </si>
  <si>
    <t>573336</t>
  </si>
  <si>
    <t>Flames of Xoroth</t>
  </si>
  <si>
    <t>573448</t>
  </si>
  <si>
    <t>Seething Strikes</t>
  </si>
  <si>
    <t>681268</t>
  </si>
  <si>
    <t>Rain of Chaos</t>
  </si>
  <si>
    <t>801006</t>
  </si>
  <si>
    <t>Unleash Death</t>
  </si>
  <si>
    <t>801055</t>
  </si>
  <si>
    <t>Conqueror's Will</t>
  </si>
  <si>
    <t>520542</t>
  </si>
  <si>
    <t>Melt</t>
  </si>
  <si>
    <t>803334</t>
  </si>
  <si>
    <t>Dismemberment</t>
  </si>
  <si>
    <t>705019</t>
  </si>
  <si>
    <t>Warbringer</t>
  </si>
  <si>
    <t>803240</t>
  </si>
  <si>
    <t>Chains of Malice</t>
  </si>
  <si>
    <t>803185</t>
  </si>
  <si>
    <t>Greater Mark of Zeliek</t>
  </si>
  <si>
    <t>803731</t>
  </si>
  <si>
    <t>Harvest Plague</t>
  </si>
  <si>
    <t>583256</t>
  </si>
  <si>
    <t>Blight</t>
  </si>
  <si>
    <t>500459</t>
  </si>
  <si>
    <t>Bone Toss</t>
  </si>
  <si>
    <t>704706</t>
  </si>
  <si>
    <t>Greater Chill of the Tomb</t>
  </si>
  <si>
    <t>572177</t>
  </si>
  <si>
    <t>Frost Breath</t>
  </si>
  <si>
    <t>807097</t>
  </si>
  <si>
    <t>Greater Grim Mandate</t>
  </si>
  <si>
    <t>572790</t>
  </si>
  <si>
    <t>Death's Due</t>
  </si>
  <si>
    <t>807796</t>
  </si>
  <si>
    <t>Greater Foul Mandate</t>
  </si>
  <si>
    <t>680286</t>
  </si>
  <si>
    <t>Fetid Mark</t>
  </si>
  <si>
    <t>706949</t>
  </si>
  <si>
    <t>Flesh to Worms</t>
  </si>
  <si>
    <t>501861</t>
  </si>
  <si>
    <t>Expunge</t>
  </si>
  <si>
    <t>573233</t>
  </si>
  <si>
    <t>Festering Decay</t>
  </si>
  <si>
    <t>806325</t>
  </si>
  <si>
    <t>Plague of Undeath</t>
  </si>
  <si>
    <t>503640</t>
  </si>
  <si>
    <t>Lichplague</t>
  </si>
  <si>
    <t>802132</t>
  </si>
  <si>
    <t>Parasites</t>
  </si>
  <si>
    <t>560729</t>
  </si>
  <si>
    <t>Ice Barrage</t>
  </si>
  <si>
    <t>501997</t>
  </si>
  <si>
    <t>Icecrown</t>
  </si>
  <si>
    <t>706732</t>
  </si>
  <si>
    <t>Decaying Poison</t>
  </si>
  <si>
    <t>805024</t>
  </si>
  <si>
    <t>Soulfreeze</t>
  </si>
  <si>
    <t>801724</t>
  </si>
  <si>
    <t>Necrotic Chain</t>
  </si>
  <si>
    <t>704860</t>
  </si>
  <si>
    <t>Seismic Tremor</t>
  </si>
  <si>
    <t>681114</t>
  </si>
  <si>
    <t>Eruption</t>
  </si>
  <si>
    <t>802335</t>
  </si>
  <si>
    <t>Ancient of War</t>
  </si>
  <si>
    <t>504222</t>
  </si>
  <si>
    <t>Immune Stun/Disorient/Polymorph</t>
  </si>
  <si>
    <t>803725</t>
  </si>
  <si>
    <t>Immune Sap/Knockout/Charm</t>
  </si>
  <si>
    <t>807636</t>
  </si>
  <si>
    <t>Nature's Blessing</t>
  </si>
  <si>
    <t>807561</t>
  </si>
  <si>
    <t>Earthquake</t>
  </si>
  <si>
    <t>520745</t>
  </si>
  <si>
    <t>Geode Barrage</t>
  </si>
  <si>
    <t>502776</t>
  </si>
  <si>
    <t>504825</t>
  </si>
  <si>
    <t>Infused With Power</t>
  </si>
  <si>
    <t>503719</t>
  </si>
  <si>
    <t>Greater Earthen Endurance</t>
  </si>
  <si>
    <t>570756</t>
  </si>
  <si>
    <t>Vitality Surge</t>
  </si>
  <si>
    <t>504215</t>
  </si>
  <si>
    <t>Heavy Handed</t>
  </si>
  <si>
    <t>706345</t>
  </si>
  <si>
    <t>Doused</t>
  </si>
  <si>
    <t>803514</t>
  </si>
  <si>
    <t>Flourishing Growth</t>
  </si>
  <si>
    <t>807334</t>
  </si>
  <si>
    <t>Greater Essence of Nature</t>
  </si>
  <si>
    <t>582261</t>
  </si>
  <si>
    <t>Greater Primal Instinct</t>
  </si>
  <si>
    <t>680310</t>
  </si>
  <si>
    <t>Primal Awakening</t>
  </si>
  <si>
    <t>807560</t>
  </si>
  <si>
    <t>Earthmother's Empowerment</t>
  </si>
  <si>
    <t>300739</t>
  </si>
  <si>
    <t>Ursoc's Bellow</t>
  </si>
  <si>
    <t>707735</t>
  </si>
  <si>
    <t>Bramblepatch</t>
  </si>
  <si>
    <t>806415</t>
  </si>
  <si>
    <t>Quake</t>
  </si>
  <si>
    <t>520463</t>
  </si>
  <si>
    <t>Gaze of Theradras</t>
  </si>
  <si>
    <t>805919</t>
  </si>
  <si>
    <t>Primal Shred</t>
  </si>
  <si>
    <t>504684</t>
  </si>
  <si>
    <t>Seismic Crash</t>
  </si>
  <si>
    <t>503264</t>
  </si>
  <si>
    <t>Bestial Wrath</t>
  </si>
  <si>
    <t>572047</t>
  </si>
  <si>
    <t>Earthmother's Precision</t>
  </si>
  <si>
    <t>555724</t>
  </si>
  <si>
    <t>Totemic Crash</t>
  </si>
  <si>
    <t>547213</t>
  </si>
  <si>
    <t>Primal Totem</t>
  </si>
  <si>
    <t>806694</t>
  </si>
  <si>
    <t>Bring Me Their Bones</t>
  </si>
  <si>
    <t>806552</t>
  </si>
  <si>
    <t>Rexxar's Might</t>
  </si>
  <si>
    <t>806562</t>
  </si>
  <si>
    <t>Rake (Pet)</t>
  </si>
  <si>
    <t>59884</t>
  </si>
  <si>
    <t>Savage Rend</t>
  </si>
  <si>
    <t>53580</t>
  </si>
  <si>
    <t>Blood for Hakkar!</t>
  </si>
  <si>
    <t>312525</t>
  </si>
  <si>
    <t>Volcano</t>
  </si>
  <si>
    <t>807540</t>
  </si>
  <si>
    <t>Phoenix Dive</t>
  </si>
  <si>
    <t>706854</t>
  </si>
  <si>
    <t>Shielded by Flames</t>
  </si>
  <si>
    <t>704277</t>
  </si>
  <si>
    <t>Inferno</t>
  </si>
  <si>
    <t>807944</t>
  </si>
  <si>
    <t>Lucifron's Rage</t>
  </si>
  <si>
    <t>524624</t>
  </si>
  <si>
    <t>Ascension of Executus</t>
  </si>
  <si>
    <t>1119758</t>
  </si>
  <si>
    <t>Roaring Pyre</t>
  </si>
  <si>
    <t>704279</t>
  </si>
  <si>
    <t>Grace of Alexstrasza</t>
  </si>
  <si>
    <t>803411</t>
  </si>
  <si>
    <t>Scorched</t>
  </si>
  <si>
    <t>680962</t>
  </si>
  <si>
    <t>Ignite</t>
  </si>
  <si>
    <t>502029</t>
  </si>
  <si>
    <t>Infernus</t>
  </si>
  <si>
    <t>706874</t>
  </si>
  <si>
    <t>Pyroclasm</t>
  </si>
  <si>
    <t>520826</t>
  </si>
  <si>
    <t>Sulfur Fumes</t>
  </si>
  <si>
    <t>807224</t>
  </si>
  <si>
    <t>Serrated Shot</t>
  </si>
  <si>
    <t>575836</t>
  </si>
  <si>
    <t>Toxic Dart</t>
  </si>
  <si>
    <t>807330</t>
  </si>
  <si>
    <t>Pierced</t>
  </si>
  <si>
    <t>782754</t>
  </si>
  <si>
    <t>Precision Shot</t>
  </si>
  <si>
    <t>800578</t>
  </si>
  <si>
    <t>Greater Footpad's Adaptation</t>
  </si>
  <si>
    <t>523513</t>
  </si>
  <si>
    <t>Strike Where It Hurts</t>
  </si>
  <si>
    <t>567588</t>
  </si>
  <si>
    <t>Hunting Shot</t>
  </si>
  <si>
    <t>547205</t>
  </si>
  <si>
    <t>Uncover Weakness</t>
  </si>
  <si>
    <t>572178</t>
  </si>
  <si>
    <t>Nerve Venom</t>
  </si>
  <si>
    <t>570244</t>
  </si>
  <si>
    <t>Barbed Quills</t>
  </si>
  <si>
    <t>801472</t>
  </si>
  <si>
    <t>Dirty Blades</t>
  </si>
  <si>
    <t>520571</t>
  </si>
  <si>
    <t>Jagged Edge</t>
  </si>
  <si>
    <t>567592</t>
  </si>
  <si>
    <t>Outmaneuver</t>
  </si>
  <si>
    <t>557325</t>
  </si>
  <si>
    <t>'Tactical' Advantage</t>
  </si>
  <si>
    <t>706749</t>
  </si>
  <si>
    <t>Quel'dorei Poison</t>
  </si>
  <si>
    <t>586212</t>
  </si>
  <si>
    <t>Flower Fantasy</t>
  </si>
  <si>
    <t>561007</t>
  </si>
  <si>
    <t>Essence Binder</t>
  </si>
  <si>
    <t>800437</t>
  </si>
  <si>
    <t>Intimidated</t>
  </si>
  <si>
    <t>680339</t>
  </si>
  <si>
    <t>Requiem</t>
  </si>
  <si>
    <t>572179</t>
  </si>
  <si>
    <t>Writhe</t>
  </si>
  <si>
    <t>801337</t>
  </si>
  <si>
    <t>Greater Rite of Resolve</t>
  </si>
  <si>
    <t>680298</t>
  </si>
  <si>
    <t>Scythe Rush</t>
  </si>
  <si>
    <t>500377</t>
  </si>
  <si>
    <t>Soulrend</t>
  </si>
  <si>
    <t>573320</t>
  </si>
  <si>
    <t>Withering Touch</t>
  </si>
  <si>
    <t>573071</t>
  </si>
  <si>
    <t>Murder</t>
  </si>
  <si>
    <t>560421</t>
  </si>
  <si>
    <t>Darkrend Scythe</t>
  </si>
  <si>
    <t>704256</t>
  </si>
  <si>
    <t>Shudder Scythe</t>
  </si>
  <si>
    <t>572382</t>
  </si>
  <si>
    <t>Blood Frenzy</t>
  </si>
  <si>
    <t>803039</t>
  </si>
  <si>
    <t>705413</t>
  </si>
  <si>
    <t>Weakened Soul</t>
  </si>
  <si>
    <t>803433</t>
  </si>
  <si>
    <t>Chasing Death</t>
  </si>
  <si>
    <t>807418</t>
  </si>
  <si>
    <t>Soulrot</t>
  </si>
  <si>
    <t>804660</t>
  </si>
  <si>
    <t>Anima Ambush</t>
  </si>
  <si>
    <t>705425</t>
  </si>
  <si>
    <t>Weapon Engraving: Fire</t>
  </si>
  <si>
    <t>653210</t>
  </si>
  <si>
    <t>Leybreaker</t>
  </si>
  <si>
    <t>520555</t>
  </si>
  <si>
    <t>Eskhandar's Slow</t>
  </si>
  <si>
    <t>909665</t>
  </si>
  <si>
    <t>Eskhandar's Rake</t>
  </si>
  <si>
    <t>909300</t>
  </si>
  <si>
    <t>Speed Rune</t>
  </si>
  <si>
    <t>802725</t>
  </si>
  <si>
    <t>Greater Etching of the Dextrous</t>
  </si>
  <si>
    <t>561241</t>
  </si>
  <si>
    <t>Unleashed Flame Glyph</t>
  </si>
  <si>
    <t>520097</t>
  </si>
  <si>
    <t>Runic Obliteration</t>
  </si>
  <si>
    <t>805794</t>
  </si>
  <si>
    <t>Overloaded Flame Glyph</t>
  </si>
  <si>
    <t>520107</t>
  </si>
  <si>
    <t>Frigid Fusion</t>
  </si>
  <si>
    <t>803225</t>
  </si>
  <si>
    <t>Manuscription</t>
  </si>
  <si>
    <t>525302</t>
  </si>
  <si>
    <t>Weapon Engraving: Arcane</t>
  </si>
  <si>
    <t>653263</t>
  </si>
  <si>
    <t>Hoarfrost Checker</t>
  </si>
  <si>
    <t>572755</t>
  </si>
  <si>
    <t>Palm Sigil: Arcane</t>
  </si>
  <si>
    <t>807819</t>
  </si>
  <si>
    <t>Starburst</t>
  </si>
  <si>
    <t>704796</t>
  </si>
  <si>
    <t>Command</t>
  </si>
  <si>
    <t>804386</t>
  </si>
  <si>
    <t>Eclipse of Fury</t>
  </si>
  <si>
    <t>570221</t>
  </si>
  <si>
    <t>Aspect of the Goddess</t>
  </si>
  <si>
    <t>801401</t>
  </si>
  <si>
    <t>Moonwater</t>
  </si>
  <si>
    <t>804735</t>
  </si>
  <si>
    <t>Elune's Grace</t>
  </si>
  <si>
    <t>504027</t>
  </si>
  <si>
    <t>Moonwell</t>
  </si>
  <si>
    <t>804739</t>
  </si>
  <si>
    <t>Exemplary Draw</t>
  </si>
  <si>
    <t>504005</t>
  </si>
  <si>
    <t>Vengeance</t>
  </si>
  <si>
    <t>680710</t>
  </si>
  <si>
    <t>Warden's Strike (Aspect of the Warden)</t>
  </si>
  <si>
    <t>805511</t>
  </si>
  <si>
    <t>Avatar of Vengeance</t>
  </si>
  <si>
    <t>531757</t>
  </si>
  <si>
    <t>Lunar Lance</t>
  </si>
  <si>
    <t>502339</t>
  </si>
  <si>
    <t>Starshatter</t>
  </si>
  <si>
    <t>707725</t>
  </si>
  <si>
    <t>Shock</t>
  </si>
  <si>
    <t>560336</t>
  </si>
  <si>
    <t>Thorim's Gift</t>
  </si>
  <si>
    <t>570174</t>
  </si>
  <si>
    <t>Sparks</t>
  </si>
  <si>
    <t>706729</t>
  </si>
  <si>
    <t>Eye of the Storm</t>
  </si>
  <si>
    <t>807712</t>
  </si>
  <si>
    <t>Thunder Grip</t>
  </si>
  <si>
    <t>301220</t>
  </si>
  <si>
    <t>Forked Lightning</t>
  </si>
  <si>
    <t>804832</t>
  </si>
  <si>
    <t>Conjure Storm</t>
  </si>
  <si>
    <t>501420</t>
  </si>
  <si>
    <t>Drowning</t>
  </si>
  <si>
    <t>806406</t>
  </si>
  <si>
    <t>Drown</t>
  </si>
  <si>
    <t>572764</t>
  </si>
  <si>
    <t>Conduit</t>
  </si>
  <si>
    <t>806393</t>
  </si>
  <si>
    <t>Geyser</t>
  </si>
  <si>
    <t>680352</t>
  </si>
  <si>
    <t>Stormcloud</t>
  </si>
  <si>
    <t>801859</t>
  </si>
  <si>
    <t>Stormfury</t>
  </si>
  <si>
    <t>532751</t>
  </si>
  <si>
    <t>Kiss of the Clouds</t>
  </si>
  <si>
    <t>500292</t>
  </si>
  <si>
    <t>570166</t>
  </si>
  <si>
    <t>Aeroblast</t>
  </si>
  <si>
    <t>802750</t>
  </si>
  <si>
    <t>Focal Point</t>
  </si>
  <si>
    <t>680876</t>
  </si>
  <si>
    <t>Aerodynamics</t>
  </si>
  <si>
    <t>806433</t>
  </si>
  <si>
    <t>Skyfall</t>
  </si>
  <si>
    <t>807131</t>
  </si>
  <si>
    <t>Tempest's Call</t>
  </si>
  <si>
    <t>560567</t>
  </si>
  <si>
    <t>Redeemed</t>
  </si>
  <si>
    <t>301005</t>
  </si>
  <si>
    <t>Warmth</t>
  </si>
  <si>
    <t>704564</t>
  </si>
  <si>
    <t>Light The Way</t>
  </si>
  <si>
    <t>300337</t>
  </si>
  <si>
    <t>Solar Invigoration</t>
  </si>
  <si>
    <t>806123</t>
  </si>
  <si>
    <t>Circle of Valor</t>
  </si>
  <si>
    <t>520647</t>
  </si>
  <si>
    <t>Sun's Hope</t>
  </si>
  <si>
    <t>706733</t>
  </si>
  <si>
    <t>Sun Down</t>
  </si>
  <si>
    <t>572754</t>
  </si>
  <si>
    <t>Injunction</t>
  </si>
  <si>
    <t>800624</t>
  </si>
  <si>
    <t>Solar Eclipse</t>
  </si>
  <si>
    <t>704931</t>
  </si>
  <si>
    <t>Thunder Clap</t>
  </si>
  <si>
    <t>13532</t>
  </si>
  <si>
    <t>Horusath Blast</t>
  </si>
  <si>
    <t>572050</t>
  </si>
  <si>
    <t>Divine Retribution</t>
  </si>
  <si>
    <t>680624</t>
  </si>
  <si>
    <t>Greater Devotion of Dawn</t>
  </si>
  <si>
    <t>572390</t>
  </si>
  <si>
    <t>Seeping Willow</t>
  </si>
  <si>
    <t>17196</t>
  </si>
  <si>
    <t>Scarlet Hammer</t>
  </si>
  <si>
    <t>500752</t>
  </si>
  <si>
    <t>Condemn</t>
  </si>
  <si>
    <t>567539</t>
  </si>
  <si>
    <t>Crusader's Brand</t>
  </si>
  <si>
    <t>300513</t>
  </si>
  <si>
    <t>Tithe of Courage</t>
  </si>
  <si>
    <t>804820</t>
  </si>
  <si>
    <t>Tithe of Crusading</t>
  </si>
  <si>
    <t>804782</t>
  </si>
  <si>
    <t>Tithe of Liberty</t>
  </si>
  <si>
    <t>804815</t>
  </si>
  <si>
    <t>Beckon</t>
  </si>
  <si>
    <t>804914</t>
  </si>
  <si>
    <t>Mythical Scarring</t>
  </si>
  <si>
    <t>823757</t>
  </si>
  <si>
    <t>Fixate</t>
  </si>
  <si>
    <t>823759</t>
  </si>
  <si>
    <t>Absolution</t>
  </si>
  <si>
    <t>800424</t>
  </si>
  <si>
    <t>Tithe of Heroism</t>
  </si>
  <si>
    <t>804816</t>
  </si>
  <si>
    <t>Blade of Faith</t>
  </si>
  <si>
    <t>803880</t>
  </si>
  <si>
    <t>Napalm</t>
  </si>
  <si>
    <t>805315</t>
  </si>
  <si>
    <t>Sticky Bomb</t>
  </si>
  <si>
    <t>502564</t>
  </si>
  <si>
    <t>Rocket Bombardment</t>
  </si>
  <si>
    <t>706696</t>
  </si>
  <si>
    <t>Build: Spider Bomb</t>
  </si>
  <si>
    <t>500535</t>
  </si>
  <si>
    <t>Oil Spill Pylon</t>
  </si>
  <si>
    <t>707290</t>
  </si>
  <si>
    <t>Meltdown</t>
  </si>
  <si>
    <t>581313</t>
  </si>
  <si>
    <t>Med Pack</t>
  </si>
  <si>
    <t>502536</t>
  </si>
  <si>
    <t>Healthy</t>
  </si>
  <si>
    <t>806158</t>
  </si>
  <si>
    <t>Cybernetic Shield</t>
  </si>
  <si>
    <t>653283</t>
  </si>
  <si>
    <t>Shield Beacon</t>
  </si>
  <si>
    <t>803807</t>
  </si>
  <si>
    <t>Greater Mana Module</t>
  </si>
  <si>
    <t>803665</t>
  </si>
  <si>
    <t>Turret Upgrade Z-15</t>
  </si>
  <si>
    <t>573269</t>
  </si>
  <si>
    <t>Gear Grind</t>
  </si>
  <si>
    <t>504594</t>
  </si>
  <si>
    <t>Molten Grenade</t>
  </si>
  <si>
    <t>706694</t>
  </si>
  <si>
    <t>Flamethrower</t>
  </si>
  <si>
    <t>806168</t>
  </si>
  <si>
    <t>Flame Jets</t>
  </si>
  <si>
    <t>850024</t>
  </si>
  <si>
    <t>Drill Smash</t>
  </si>
  <si>
    <t>806173</t>
  </si>
  <si>
    <t>Living Flame</t>
  </si>
  <si>
    <t>504521</t>
  </si>
  <si>
    <t>Blazewrought Sunder</t>
  </si>
  <si>
    <t>681307</t>
  </si>
  <si>
    <t>Arclight Core</t>
  </si>
  <si>
    <t>524904</t>
  </si>
  <si>
    <t>Sprocket Zap!</t>
  </si>
  <si>
    <t>805657</t>
  </si>
  <si>
    <t>Lesser Sticky Bomb</t>
  </si>
  <si>
    <t>500612</t>
  </si>
  <si>
    <t>Expulsion</t>
  </si>
  <si>
    <t>807598</t>
  </si>
  <si>
    <t>Blight Venom</t>
  </si>
  <si>
    <t>805896</t>
  </si>
  <si>
    <t>Wicked Poison</t>
  </si>
  <si>
    <t>705985</t>
  </si>
  <si>
    <t>Venomtip Poison</t>
  </si>
  <si>
    <t>572058</t>
  </si>
  <si>
    <t>Weakening Venom</t>
  </si>
  <si>
    <t>706000</t>
  </si>
  <si>
    <t>Barbed Stinger</t>
  </si>
  <si>
    <t>680854</t>
  </si>
  <si>
    <t>Greater Beetle Pheromones</t>
  </si>
  <si>
    <t>803657</t>
  </si>
  <si>
    <t>Greater Spider Pheromones</t>
  </si>
  <si>
    <t>680312</t>
  </si>
  <si>
    <t>Shadra's Lair</t>
  </si>
  <si>
    <t>804978</t>
  </si>
  <si>
    <t>Mushroom</t>
  </si>
  <si>
    <t>680764</t>
  </si>
  <si>
    <t>Spore</t>
  </si>
  <si>
    <t>572869</t>
  </si>
  <si>
    <t>Mycosis</t>
  </si>
  <si>
    <t>572156</t>
  </si>
  <si>
    <t>Wilt</t>
  </si>
  <si>
    <t>620072</t>
  </si>
  <si>
    <t>Cloud of Rot</t>
  </si>
  <si>
    <t>652702</t>
  </si>
  <si>
    <t>Fungal Assailant</t>
  </si>
  <si>
    <t>504344</t>
  </si>
  <si>
    <t>Lethargy</t>
  </si>
  <si>
    <t>804979</t>
  </si>
  <si>
    <t>Blightcaps</t>
  </si>
  <si>
    <t>800868</t>
  </si>
  <si>
    <t>Suffocating Coil</t>
  </si>
  <si>
    <t>707234</t>
  </si>
  <si>
    <t>Fungic</t>
  </si>
  <si>
    <t>706456</t>
  </si>
  <si>
    <t>Nerubian Sting</t>
  </si>
  <si>
    <t>502911</t>
  </si>
  <si>
    <t>Withering Venom</t>
  </si>
  <si>
    <t>707090</t>
  </si>
  <si>
    <t>Widowmaker</t>
  </si>
  <si>
    <t>800884</t>
  </si>
  <si>
    <t>Rotfang</t>
  </si>
  <si>
    <t>807605</t>
  </si>
  <si>
    <t>Potency</t>
  </si>
  <si>
    <t>572055</t>
  </si>
  <si>
    <t>Facemelter</t>
  </si>
  <si>
    <t>572901</t>
  </si>
  <si>
    <t>Brood Web</t>
  </si>
  <si>
    <t>712456</t>
  </si>
  <si>
    <t>Nullifying Venom</t>
  </si>
  <si>
    <t>805897</t>
  </si>
  <si>
    <t>Shadra's Balm</t>
  </si>
  <si>
    <t>502973</t>
  </si>
  <si>
    <t>Shadra's Prayer</t>
  </si>
  <si>
    <t>502947</t>
  </si>
  <si>
    <t>Shadra's Vigil</t>
  </si>
  <si>
    <t>505203</t>
  </si>
  <si>
    <t>Worship</t>
  </si>
  <si>
    <t>706017</t>
  </si>
  <si>
    <t>Jungle Shrooms</t>
  </si>
  <si>
    <t>802973</t>
  </si>
  <si>
    <t>Mojo Beam</t>
  </si>
  <si>
    <t>501117</t>
  </si>
  <si>
    <t>Voodoo Cauldron</t>
  </si>
  <si>
    <t>504419</t>
  </si>
  <si>
    <t>Bloodthistle</t>
  </si>
  <si>
    <t>802771</t>
  </si>
  <si>
    <t>Splash Potion: Bloodthistle</t>
  </si>
  <si>
    <t>803271</t>
  </si>
  <si>
    <t>Frog Bones</t>
  </si>
  <si>
    <t>803697</t>
  </si>
  <si>
    <t>Splash Potion: Frog Bones</t>
  </si>
  <si>
    <t>803699</t>
  </si>
  <si>
    <t>Master of Concoctions</t>
  </si>
  <si>
    <t>570064</t>
  </si>
  <si>
    <t>Spirit Link Idol</t>
  </si>
  <si>
    <t>504921</t>
  </si>
  <si>
    <t>Unstable Concoction</t>
  </si>
  <si>
    <t>802488</t>
  </si>
  <si>
    <t>Frog Shrooms</t>
  </si>
  <si>
    <t>500509</t>
  </si>
  <si>
    <t>Big Bad Voodoo</t>
  </si>
  <si>
    <t>802719</t>
  </si>
  <si>
    <t>Greater Spirit Wuju</t>
  </si>
  <si>
    <t>680872</t>
  </si>
  <si>
    <t>Fish Oil</t>
  </si>
  <si>
    <t>803269</t>
  </si>
  <si>
    <t>Splash Potion: Fish Oil</t>
  </si>
  <si>
    <t>803273</t>
  </si>
  <si>
    <t>Touch of the Spirits</t>
  </si>
  <si>
    <t>578296</t>
  </si>
  <si>
    <t>Mass Allcure Elixir</t>
  </si>
  <si>
    <t>706555</t>
  </si>
  <si>
    <t>Veil of Darkness</t>
  </si>
  <si>
    <t>802100</t>
  </si>
  <si>
    <t>Umbral Glaive</t>
  </si>
  <si>
    <t>501134</t>
  </si>
  <si>
    <t>Serpent's Guile</t>
  </si>
  <si>
    <t>705929</t>
  </si>
  <si>
    <t>Spirit Glaive</t>
  </si>
  <si>
    <t>562719</t>
  </si>
  <si>
    <t>Spirit Eclipse</t>
  </si>
  <si>
    <t>811117</t>
  </si>
  <si>
    <t>Hexfire Wrath</t>
  </si>
  <si>
    <t>807520</t>
  </si>
  <si>
    <t>Voodoo Strings</t>
  </si>
  <si>
    <t>706898</t>
  </si>
  <si>
    <t>Shadow Puppets</t>
  </si>
  <si>
    <t>501087</t>
  </si>
  <si>
    <t>Mark of Malice</t>
  </si>
  <si>
    <t>802926</t>
  </si>
  <si>
    <t>Growing Malice</t>
  </si>
  <si>
    <t>582257</t>
  </si>
  <si>
    <t>Hollow Spirit</t>
  </si>
  <si>
    <t>503706</t>
  </si>
  <si>
    <t>Pommel Smash</t>
  </si>
  <si>
    <t>582588</t>
  </si>
  <si>
    <t>Witchblight</t>
  </si>
  <si>
    <t>681220</t>
  </si>
  <si>
    <t>Vicious Mockery</t>
  </si>
  <si>
    <t>802013</t>
  </si>
  <si>
    <t>Destroyer of Evil</t>
  </si>
  <si>
    <t>680532</t>
  </si>
  <si>
    <t>Witchblood Fever</t>
  </si>
  <si>
    <t>684330</t>
  </si>
  <si>
    <t>Knight's Seal</t>
  </si>
  <si>
    <t>680499</t>
  </si>
  <si>
    <t>Chains of Darkness (Grip)</t>
  </si>
  <si>
    <t>680522</t>
  </si>
  <si>
    <t>Witchbane</t>
  </si>
  <si>
    <t>574320</t>
  </si>
  <si>
    <t>Heartseeking</t>
  </si>
  <si>
    <t>807316</t>
  </si>
  <si>
    <t>Tormentor</t>
  </si>
  <si>
    <t>501349</t>
  </si>
  <si>
    <t>Sorrow Bolt</t>
  </si>
  <si>
    <t>313289</t>
  </si>
  <si>
    <t>Sixfold Shot</t>
  </si>
  <si>
    <t>807364</t>
  </si>
  <si>
    <t>Feast of Talons</t>
  </si>
  <si>
    <t>500564</t>
  </si>
  <si>
    <t>Shadow Growl</t>
  </si>
  <si>
    <t>680239</t>
  </si>
  <si>
    <t>Slayer's Mark</t>
  </si>
  <si>
    <t>804068</t>
  </si>
  <si>
    <t>Being Hunted</t>
  </si>
  <si>
    <t>802111</t>
  </si>
  <si>
    <t>Torchlight</t>
  </si>
  <si>
    <t>503662</t>
  </si>
  <si>
    <t>Death Trap</t>
  </si>
  <si>
    <t>681452</t>
  </si>
  <si>
    <t>Brand of the Profane</t>
  </si>
  <si>
    <t>562390</t>
  </si>
  <si>
    <t>Shadow Trapped</t>
  </si>
  <si>
    <t>681177</t>
  </si>
  <si>
    <t>Brand of the Damned</t>
  </si>
  <si>
    <t>807710</t>
  </si>
  <si>
    <t>Charming Conversation</t>
  </si>
  <si>
    <t>804667</t>
  </si>
  <si>
    <t>Аура A</t>
  </si>
  <si>
    <t>ID A</t>
  </si>
  <si>
    <t>Покрытие A</t>
  </si>
  <si>
    <t>Аура B</t>
  </si>
  <si>
    <t>ID B</t>
  </si>
  <si>
    <t>Покрытие B</t>
  </si>
  <si>
    <t>Совместных боёв</t>
  </si>
  <si>
    <t>Совместимость</t>
  </si>
  <si>
    <t>Статус наблюдения</t>
  </si>
  <si>
    <t>Решение модели</t>
  </si>
  <si>
    <t>Предупреждение</t>
  </si>
  <si>
    <t>Возможная взаимоисключающая пара</t>
  </si>
  <si>
    <t>Нулевая совместная встречаемость может быть вызвана разными билдами, редкостью или корреляцией логов; нужна механическая проверка.</t>
  </si>
  <si>
    <t>Парсов</t>
  </si>
  <si>
    <t>Боев</t>
  </si>
  <si>
    <t>Боссов</t>
  </si>
  <si>
    <t>Надёжность</t>
  </si>
  <si>
    <t>Медиана DPS</t>
  </si>
  <si>
    <t>P75 DPS</t>
  </si>
  <si>
    <t>P90 DPS</t>
  </si>
  <si>
    <t>Медиана HPS</t>
  </si>
  <si>
    <t>P75 HPS</t>
  </si>
  <si>
    <t>Медиана DTPS</t>
  </si>
  <si>
    <t>Смертность</t>
  </si>
  <si>
    <t>Выживаемость</t>
  </si>
  <si>
    <t>Сглаженная метрика</t>
  </si>
  <si>
    <t>Предв. балл роли</t>
  </si>
  <si>
    <t>Покрытие экипировки</t>
  </si>
  <si>
    <t>Медиана ilvl</t>
  </si>
  <si>
    <t>dps</t>
  </si>
  <si>
    <t>healer</t>
  </si>
  <si>
    <t>support</t>
  </si>
  <si>
    <t>tank</t>
  </si>
  <si>
    <t>CoA LOGS — ПЕРВЫЙ СТАТИСТИЧЕСКИЙ СЛОЙ</t>
  </si>
  <si>
    <t>Фактические ауры сопоставлены с ожидаемыми эффектами конструктора. Это проверочный слой перед оптимизатором, а не окончательное утверждение механик.</t>
  </si>
  <si>
    <t>Уверенность связей</t>
  </si>
  <si>
    <t>Объём</t>
  </si>
  <si>
    <t>Канонические убийства 20–30</t>
  </si>
  <si>
    <t>Убийства ровно на 25</t>
  </si>
  <si>
    <t>События timeline</t>
  </si>
  <si>
    <t>Семейства аур/дебафов</t>
  </si>
  <si>
    <t>Связи эффект → поставщик</t>
  </si>
  <si>
    <t>Возможные эксклюзивные пары</t>
  </si>
  <si>
    <t>ЛОГИКА ЛИСТОВ</t>
  </si>
  <si>
    <t>1</t>
  </si>
  <si>
    <t>ЛОГИ_Эффекты</t>
  </si>
  <si>
    <t>Лучшая наблюдаемая аура для каждой связи «концептуальный эффект → класс/спек». В колонке «Статус модели» вручную принять или отклонить связь.</t>
  </si>
  <si>
    <t>2</t>
  </si>
  <si>
    <t>ЛОГИ_Пакеты</t>
  </si>
  <si>
    <t>Массовые бафы и дебафы каждого спека независимо от справочника. Нужны для поиска пропущенных эффектов и вариантов билдов.</t>
  </si>
  <si>
    <t>3</t>
  </si>
  <si>
    <t>ЛОГИ_Эксклюзивы</t>
  </si>
  <si>
    <t>Пары аур, редко встречавшиеся одновременно. Это кандидаты на взаимоисключение; статистика сама по себе не доказывает механику.</t>
  </si>
  <si>
    <t>4</t>
  </si>
  <si>
    <t>ЛОГИ_Спеки</t>
  </si>
  <si>
    <t>Предварительные показатели со сглаживанием N/(N+20). Рейдовый вклад бафов пока не добавлен.</t>
  </si>
  <si>
    <t>ЧТО ЕЩЁ НУЖНО ДО ОПТИМИЗАТОРА</t>
  </si>
  <si>
    <t>1. Подтвердить механический смысл фактических аур с высокой ценностью. 2. Разобрать 43 возможные эксклюзивные пары, особенно Felsworn. 3. После этого вычислить фактическое покрытие и добавочный рейдовый вклад каждого источника. Только затем составлять оптимальные 25 слотов.</t>
  </si>
  <si>
    <t>FELSWORN — ВОЗМОЖНЫЕ ЭКСКЛЮЗИВНЫЕ ПАРЫ</t>
  </si>
  <si>
    <t>Покр. A</t>
  </si>
  <si>
    <t>Покр. B</t>
  </si>
  <si>
    <t>Решение</t>
  </si>
  <si>
    <t>Рекомендатель v2: сначала закрывает критические/важные эффекты и дефицит ролей; после этого ранжирует по DPS/HPS/выживаемости с учётом надёжности выборки.</t>
  </si>
  <si>
    <t>Роль логов</t>
  </si>
  <si>
    <t>Метрика логов</t>
  </si>
  <si>
    <t>Балл логов</t>
  </si>
  <si>
    <t>Уже выбрано</t>
  </si>
  <si>
    <t>Критичных</t>
  </si>
  <si>
    <t>Важных</t>
  </si>
  <si>
    <t>Опциональных</t>
  </si>
  <si>
    <t>Вес покрытия</t>
  </si>
  <si>
    <t>Дефицит роли</t>
  </si>
  <si>
    <t>Ролевой бонус</t>
  </si>
  <si>
    <t>Ключ сортировки</t>
  </si>
  <si>
    <t>Почему рекомендован</t>
  </si>
  <si>
    <t>Класс уже выбрано</t>
  </si>
  <si>
    <t>Штраф уникальности</t>
  </si>
  <si>
    <t>Допущен по лимиту</t>
  </si>
  <si>
    <t>Источников</t>
  </si>
  <si>
    <t>Короткие источники</t>
  </si>
  <si>
    <t>балл роли 2459; роль в логах не отделена</t>
  </si>
  <si>
    <t>DPS 4006</t>
  </si>
  <si>
    <t>DPS 3762</t>
  </si>
  <si>
    <t>DPS 4542</t>
  </si>
  <si>
    <t>DPS 6493</t>
  </si>
  <si>
    <t>HPS 756</t>
  </si>
  <si>
    <t>DPS 4917</t>
  </si>
  <si>
    <t>DTPS 215</t>
  </si>
  <si>
    <t>DPS 3227</t>
  </si>
  <si>
    <t>DPS 5099</t>
  </si>
  <si>
    <t>DPS 4221</t>
  </si>
  <si>
    <t>DTPS 456</t>
  </si>
  <si>
    <t>DPS 3372</t>
  </si>
  <si>
    <t>DPS 3354</t>
  </si>
  <si>
    <t>DPS 4427</t>
  </si>
  <si>
    <t>балл роли 3366; роль в логах не отделена</t>
  </si>
  <si>
    <t>HPS 1018</t>
  </si>
  <si>
    <t>DTPS 175</t>
  </si>
  <si>
    <t>DPS 3716</t>
  </si>
  <si>
    <t>DPS 4452</t>
  </si>
  <si>
    <t>DPS 4035</t>
  </si>
  <si>
    <t>DPS 3996</t>
  </si>
  <si>
    <t>DTPS 794</t>
  </si>
  <si>
    <t>DTPS 483</t>
  </si>
  <si>
    <t>DPS 2779</t>
  </si>
  <si>
    <t>балл роли 2477; роль в логах не отделена</t>
  </si>
  <si>
    <t>HPS 866</t>
  </si>
  <si>
    <t>DPS 3515</t>
  </si>
  <si>
    <t>DPS 4711</t>
  </si>
  <si>
    <t>DTPS 335</t>
  </si>
  <si>
    <t>HPS 909</t>
  </si>
  <si>
    <t>DPS 3912</t>
  </si>
  <si>
    <t>DPS 4541</t>
  </si>
  <si>
    <t>DTPS 433</t>
  </si>
  <si>
    <t>DPS 4677</t>
  </si>
  <si>
    <t>DTPS 520</t>
  </si>
  <si>
    <t>DPS 3866</t>
  </si>
  <si>
    <t>DTPS 348</t>
  </si>
  <si>
    <t>DPS 3226</t>
  </si>
  <si>
    <t>балл роли 2146</t>
  </si>
  <si>
    <t>DPS 3499</t>
  </si>
  <si>
    <t>балл роли 2974</t>
  </si>
  <si>
    <t>DPS 4164</t>
  </si>
  <si>
    <t>DTPS 734</t>
  </si>
  <si>
    <t>HPS 1551</t>
  </si>
  <si>
    <t>DPS 3187</t>
  </si>
  <si>
    <t>DPS 5609</t>
  </si>
  <si>
    <t>DPS 1946</t>
  </si>
  <si>
    <t>DPS 5793</t>
  </si>
  <si>
    <t>балл роли 2483</t>
  </si>
  <si>
    <t>DPS 4395</t>
  </si>
  <si>
    <t>DPS 3534</t>
  </si>
  <si>
    <t>DTPS 505</t>
  </si>
  <si>
    <t>DPS 3735</t>
  </si>
  <si>
    <t>DPS 5429</t>
  </si>
  <si>
    <t>DPS 4053</t>
  </si>
  <si>
    <t>HPS 544</t>
  </si>
  <si>
    <t>DPS 4131</t>
  </si>
  <si>
    <t>DPS 5146</t>
  </si>
  <si>
    <t>DPS 4386</t>
  </si>
  <si>
    <t>DPS 2288</t>
  </si>
  <si>
    <t>DPS 3586</t>
  </si>
  <si>
    <t>DPS 3521</t>
  </si>
  <si>
    <t>HPS 597</t>
  </si>
  <si>
    <t>DTPS 452</t>
  </si>
  <si>
    <t>DPS 4520</t>
  </si>
  <si>
    <t>DPS 6110</t>
  </si>
  <si>
    <t>DPS 5190</t>
  </si>
  <si>
    <t>HPS 888</t>
  </si>
  <si>
    <t>САМЫЕ БЫСТРЫЕ УБИЙСТВА — СОСТАВ РОЛЕЙ</t>
  </si>
  <si>
    <t>Метод: для каждого босса берутся верхние 20% убийств по скорости; отдельно показаны точные рейды на 25 и основная выборка 20–30 игроков.</t>
  </si>
  <si>
    <t>Выборка</t>
  </si>
  <si>
    <t>Босс</t>
  </si>
  <si>
    <t>Убийств</t>
  </si>
  <si>
    <t>Быстрых</t>
  </si>
  <si>
    <t>Самое быстрое, сек</t>
  </si>
  <si>
    <t>Медиана всех, сек</t>
  </si>
  <si>
    <t>Танки</t>
  </si>
  <si>
    <t>Хилеры</t>
  </si>
  <si>
    <t>Саппорты</t>
  </si>
  <si>
    <t>Диапазон танков</t>
  </si>
  <si>
    <t>Диапазон хилов</t>
  </si>
  <si>
    <t>Диапазон саппортов</t>
  </si>
  <si>
    <t>Комментарий</t>
  </si>
  <si>
    <t>Точно 25</t>
  </si>
  <si>
    <t>Setis</t>
  </si>
  <si>
    <t>1–3</t>
  </si>
  <si>
    <t>3–4</t>
  </si>
  <si>
    <t>верхние 20% по скорости</t>
  </si>
  <si>
    <t>Lord Kazzak</t>
  </si>
  <si>
    <t>4–5</t>
  </si>
  <si>
    <t>0–1</t>
  </si>
  <si>
    <t>Azuregos</t>
  </si>
  <si>
    <t>2–2</t>
  </si>
  <si>
    <t>5–5</t>
  </si>
  <si>
    <t>1–1</t>
  </si>
  <si>
    <t>The Will of Soggoth</t>
  </si>
  <si>
    <t>2–3</t>
  </si>
  <si>
    <t>2–4</t>
  </si>
  <si>
    <t>Snowgrave</t>
  </si>
  <si>
    <t>4–6</t>
  </si>
  <si>
    <t>0–0</t>
  </si>
  <si>
    <t>Kaldros Depthbreaker</t>
  </si>
  <si>
    <t>1–2</t>
  </si>
  <si>
    <t>3–7</t>
  </si>
  <si>
    <t>0–2</t>
  </si>
  <si>
    <t>ИТОГО / медиана</t>
  </si>
  <si>
    <t>агрегат быстрых убийств по всем боссам</t>
  </si>
  <si>
    <t>20–30</t>
  </si>
  <si>
    <t>1–5</t>
  </si>
  <si>
    <t>1–4</t>
  </si>
  <si>
    <t>3–6</t>
  </si>
  <si>
    <t>0–3</t>
  </si>
  <si>
    <t>Gunspojoshe</t>
  </si>
  <si>
    <t>Безопасность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</si>
</sst>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32">
    <font>
      <sz val="11"/>
      <name val="Carlito"/>
    </font>
    <font>
      <sz val="10"/>
      <color rgb="FF111827"/>
      <name val="Carlito"/>
    </font>
    <font>
      <b/>
      <sz val="10"/>
      <color rgb="FFFFFFFF"/>
      <name val="Carlito"/>
    </font>
    <font>
      <b/>
      <sz val="9"/>
      <color rgb="FF111827"/>
      <name val="Carlito"/>
    </font>
    <font>
      <sz val="9"/>
      <color rgb="FF111827"/>
      <name val="Carlito"/>
    </font>
    <font>
      <b/>
      <sz val="18"/>
      <color rgb="FFFFFFFF"/>
      <name val="Carlito"/>
    </font>
    <font>
      <i/>
      <sz val="10"/>
      <color rgb="FFD1D5DB"/>
      <name val="Carlito"/>
    </font>
    <font>
      <b/>
      <sz val="14"/>
      <color rgb="FF6D28D9"/>
      <name val="Carlito"/>
    </font>
    <font>
      <b/>
      <sz val="11"/>
      <color rgb="FFFFFFFF"/>
      <name val="Carlito"/>
    </font>
    <font>
      <sz val="9"/>
      <name val="Carlito"/>
    </font>
    <font>
      <i/>
      <sz val="11"/>
      <name val="Carlito"/>
    </font>
    <font>
      <b/>
      <sz val="13"/>
      <color rgb="FFFFFFFF"/>
      <name val="Carlito"/>
    </font>
    <font>
      <b/>
      <sz val="11"/>
      <name val="Carlito"/>
    </font>
    <font>
      <b/>
      <sz val="11"/>
      <color rgb="FF9C0006"/>
      <name val="Carlito"/>
    </font>
    <font>
      <i/>
      <sz val="11"/>
      <color rgb="FFD1D5DB"/>
      <name val="Carlito"/>
    </font>
    <font>
      <b/>
      <sz val="11"/>
      <color rgb="FF111827"/>
      <name val="Carlito"/>
    </font>
    <font>
      <b/>
      <sz val="15"/>
      <color rgb="FFFFFFFF"/>
      <name val="Carlito"/>
    </font>
    <font>
      <b/>
      <sz val="11"/>
      <color rgb="FF4C1D95"/>
      <name val="Carlito"/>
    </font>
    <font>
      <b/>
      <sz val="10"/>
      <color rgb="FF111827"/>
      <name val="Carlito"/>
    </font>
    <font>
      <b/>
      <sz val="1"/>
      <color rgb="FFFFFFFF"/>
      <name val="Carlito"/>
    </font>
    <font>
      <i/>
      <sz val="1"/>
      <color rgb="FFFFFFFF"/>
      <name val="Carlito"/>
    </font>
    <font>
      <sz val="1"/>
      <color rgb="FFFFFFFF"/>
      <name val="Carlito"/>
    </font>
    <font>
      <i/>
      <sz val="11"/>
      <color rgb="FF6B7280"/>
      <name val="Carlito"/>
    </font>
    <font>
      <b/>
      <sz val="11"/>
      <color rgb="FF312E81"/>
      <name val="Carlito"/>
    </font>
    <font>
      <sz val="11"/>
      <color rgb="FF111827"/>
      <name val="Carlito"/>
    </font>
    <font>
      <b/>
      <sz val="11"/>
      <color rgb="FF047857"/>
      <name val="Carlito"/>
    </font>
    <font>
      <b/>
      <sz val="11"/>
      <color rgb="FFB91C1C"/>
      <name val="Carlito"/>
    </font>
    <font>
      <b/>
      <sz val="11"/>
      <color rgb="FFB45309"/>
      <name val="Carlito"/>
    </font>
    <font>
      <i/>
      <sz val="11"/>
      <color rgb="FF1D4ED8"/>
      <name val="Carlito"/>
    </font>
    <font>
      <i/>
      <sz val="10"/>
      <color rgb="FF6B7280"/>
      <name val="Carlito"/>
    </font>
    <font>
      <b/>
      <sz val="11"/>
      <color rgb="FF5B21B6"/>
      <name val="Carlito"/>
    </font>
    <font>
      <sz val="11"/>
      <name val="Carlito"/>
    </font>
  </fonts>
  <fills count="53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6D28D9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ECFEFF"/>
      </patternFill>
    </fill>
    <fill>
      <patternFill patternType="solid">
        <fgColor rgb="FFFFEDD5"/>
      </patternFill>
    </fill>
    <fill>
      <patternFill patternType="solid">
        <fgColor rgb="FFFCE7F3"/>
      </patternFill>
    </fill>
    <fill>
      <patternFill patternType="solid">
        <fgColor rgb="FFFEF3C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7030A0"/>
      </patternFill>
    </fill>
    <fill>
      <patternFill patternType="solid">
        <fgColor rgb="FF8064A2"/>
      </patternFill>
    </fill>
    <fill>
      <patternFill patternType="solid">
        <fgColor rgb="FF172033"/>
      </patternFill>
    </fill>
    <fill>
      <patternFill patternType="solid">
        <fgColor rgb="FF6D28D9"/>
      </patternFill>
    </fill>
    <fill>
      <patternFill patternType="solid">
        <fgColor rgb="FFEDE9FE"/>
      </patternFill>
    </fill>
    <fill>
      <patternFill patternType="solid">
        <fgColor rgb="FF312E81"/>
      </patternFill>
    </fill>
    <fill>
      <patternFill patternType="solid">
        <fgColor rgb="FFFFFFFF"/>
      </patternFill>
    </fill>
    <fill>
      <patternFill patternType="solid">
        <fgColor rgb="FF312E81"/>
      </patternFill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6D28D9"/>
      </patternFill>
    </fill>
    <fill>
      <patternFill patternType="solid">
        <fgColor rgb="FF312E81"/>
      </patternFill>
    </fill>
    <fill>
      <patternFill patternType="solid">
        <fgColor rgb="FFEFF6FF"/>
      </patternFill>
    </fill>
    <fill>
      <patternFill patternType="solid">
        <fgColor rgb="FFF9FAFB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312E81"/>
      </patternFill>
    </fill>
    <fill>
      <patternFill patternType="solid">
        <fgColor rgb="FFEFF6FF"/>
      </patternFill>
    </fill>
    <fill>
      <patternFill patternType="solid">
        <fgColor rgb="FF6D28D9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312E81"/>
      </patternFill>
    </fill>
    <fill>
      <patternFill patternType="solid">
        <fgColor rgb="FFF3E8FF"/>
      </patternFill>
    </fill>
    <fill>
      <patternFill patternType="solid">
        <fgColor rgb="FFFFFFFF"/>
      </patternFill>
    </fill>
    <fill>
      <patternFill patternType="solid">
        <fgColor rgb="FF6D28D9"/>
      </patternFill>
    </fill>
    <fill>
      <patternFill patternType="solid">
        <fgColor rgb="FF312E81"/>
      </patternFill>
    </fill>
    <fill>
      <patternFill patternType="solid">
        <fgColor rgb="FFFFFFFF"/>
      </patternFill>
    </fill>
    <fill>
      <patternFill patternType="solid">
        <fgColor rgb="FFEFF6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1" fillId="0" borderId="0"/>
  </cellStyleXfs>
  <cellXfs count="135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/>
    <xf numFmtId="0" fontId="3" fillId="4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" fillId="7" borderId="0" xfId="1" applyFont="1" applyFill="1" applyAlignment="1">
      <alignment vertical="center"/>
    </xf>
    <xf numFmtId="0" fontId="1" fillId="8" borderId="0" xfId="1" applyFont="1" applyFill="1" applyAlignment="1">
      <alignment vertical="center"/>
    </xf>
    <xf numFmtId="0" fontId="1" fillId="9" borderId="0" xfId="1" applyFont="1" applyFill="1" applyAlignment="1">
      <alignment vertical="center"/>
    </xf>
    <xf numFmtId="0" fontId="1" fillId="10" borderId="0" xfId="1" applyFont="1" applyFill="1" applyAlignment="1">
      <alignment vertical="center"/>
    </xf>
    <xf numFmtId="0" fontId="1" fillId="11" borderId="0" xfId="1" applyFont="1" applyFill="1" applyAlignment="1">
      <alignment vertical="center"/>
    </xf>
    <xf numFmtId="0" fontId="1" fillId="12" borderId="0" xfId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0" fillId="0" borderId="0" xfId="1" applyFont="1" applyAlignment="1">
      <alignment wrapText="1"/>
    </xf>
    <xf numFmtId="0" fontId="1" fillId="0" borderId="0" xfId="1" applyFont="1" applyAlignment="1">
      <alignment horizontal="center" vertical="center" wrapText="1"/>
    </xf>
    <xf numFmtId="0" fontId="1" fillId="7" borderId="0" xfId="1" applyFont="1" applyFill="1" applyAlignment="1">
      <alignment vertical="center" wrapText="1"/>
    </xf>
    <xf numFmtId="0" fontId="1" fillId="8" borderId="0" xfId="1" applyFont="1" applyFill="1" applyAlignment="1">
      <alignment vertical="center" wrapText="1"/>
    </xf>
    <xf numFmtId="0" fontId="1" fillId="9" borderId="0" xfId="1" applyFont="1" applyFill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1" fillId="11" borderId="0" xfId="1" applyFont="1" applyFill="1" applyAlignment="1">
      <alignment vertical="center" wrapText="1"/>
    </xf>
    <xf numFmtId="0" fontId="1" fillId="12" borderId="0" xfId="1" applyFont="1" applyFill="1" applyAlignment="1">
      <alignment vertical="center" wrapText="1"/>
    </xf>
    <xf numFmtId="0" fontId="8" fillId="13" borderId="0" xfId="1" applyFont="1" applyFill="1" applyAlignment="1">
      <alignment horizontal="center" vertical="center" wrapText="1"/>
    </xf>
    <xf numFmtId="0" fontId="9" fillId="0" borderId="0" xfId="1" applyFont="1" applyAlignment="1">
      <alignment vertical="top"/>
    </xf>
    <xf numFmtId="164" fontId="9" fillId="0" borderId="0" xfId="1" applyNumberFormat="1" applyFont="1" applyAlignment="1">
      <alignment vertical="top"/>
    </xf>
    <xf numFmtId="3" fontId="9" fillId="0" borderId="0" xfId="1" applyNumberFormat="1" applyFont="1" applyAlignment="1">
      <alignment vertical="top"/>
    </xf>
    <xf numFmtId="165" fontId="9" fillId="0" borderId="0" xfId="1" applyNumberFormat="1" applyFont="1" applyAlignment="1">
      <alignment vertical="top"/>
    </xf>
    <xf numFmtId="0" fontId="8" fillId="15" borderId="0" xfId="1" applyFont="1" applyFill="1" applyAlignment="1">
      <alignment horizontal="center"/>
    </xf>
    <xf numFmtId="3" fontId="0" fillId="0" borderId="0" xfId="1" applyNumberFormat="1" applyFont="1"/>
    <xf numFmtId="0" fontId="12" fillId="16" borderId="0" xfId="1" applyFont="1" applyFill="1" applyAlignment="1">
      <alignment wrapText="1"/>
    </xf>
    <xf numFmtId="0" fontId="8" fillId="20" borderId="0" xfId="1" applyFont="1" applyFill="1" applyAlignment="1">
      <alignment wrapText="1"/>
    </xf>
    <xf numFmtId="164" fontId="0" fillId="0" borderId="0" xfId="1" applyNumberFormat="1" applyFont="1"/>
    <xf numFmtId="0" fontId="8" fillId="21" borderId="0" xfId="1" applyFont="1" applyFill="1" applyAlignment="1">
      <alignment horizontal="center" wrapText="1"/>
    </xf>
    <xf numFmtId="0" fontId="8" fillId="21" borderId="0" xfId="1" applyFont="1" applyFill="1" applyAlignment="1">
      <alignment horizontal="center" vertical="center" wrapText="1"/>
    </xf>
    <xf numFmtId="9" fontId="0" fillId="0" borderId="0" xfId="1" applyNumberFormat="1" applyFont="1"/>
    <xf numFmtId="166" fontId="0" fillId="0" borderId="0" xfId="1" applyNumberFormat="1" applyFont="1"/>
    <xf numFmtId="0" fontId="0" fillId="0" borderId="0" xfId="1" applyFont="1" applyAlignment="1">
      <alignment vertical="top" wrapText="1"/>
    </xf>
    <xf numFmtId="166" fontId="1" fillId="0" borderId="0" xfId="1" applyNumberFormat="1" applyFont="1" applyAlignment="1">
      <alignment horizontal="center" vertical="center" wrapText="1"/>
    </xf>
    <xf numFmtId="166" fontId="0" fillId="0" borderId="0" xfId="1" applyNumberFormat="1" applyFont="1" applyAlignment="1">
      <alignment wrapText="1"/>
    </xf>
    <xf numFmtId="0" fontId="8" fillId="24" borderId="0" xfId="1" applyFont="1" applyFill="1"/>
    <xf numFmtId="0" fontId="1" fillId="25" borderId="0" xfId="1" applyFont="1" applyFill="1" applyAlignment="1">
      <alignment vertical="center"/>
    </xf>
    <xf numFmtId="0" fontId="8" fillId="26" borderId="0" xfId="1" applyFont="1" applyFill="1"/>
    <xf numFmtId="0" fontId="21" fillId="27" borderId="5" xfId="1" applyFont="1" applyFill="1" applyBorder="1" applyAlignment="1">
      <alignment wrapText="1"/>
    </xf>
    <xf numFmtId="0" fontId="21" fillId="27" borderId="4" xfId="1" applyFont="1" applyFill="1" applyBorder="1" applyAlignment="1">
      <alignment vertical="center" wrapText="1"/>
    </xf>
    <xf numFmtId="0" fontId="21" fillId="27" borderId="0" xfId="1" applyFont="1" applyFill="1" applyAlignment="1">
      <alignment vertical="center" wrapText="1"/>
    </xf>
    <xf numFmtId="0" fontId="21" fillId="27" borderId="0" xfId="1" applyFont="1" applyFill="1" applyAlignment="1">
      <alignment horizontal="center" vertical="center" wrapText="1"/>
    </xf>
    <xf numFmtId="0" fontId="21" fillId="27" borderId="5" xfId="1" applyFont="1" applyFill="1" applyBorder="1" applyAlignment="1">
      <alignment horizontal="center" vertical="center" wrapText="1"/>
    </xf>
    <xf numFmtId="0" fontId="21" fillId="27" borderId="4" xfId="1" applyFont="1" applyFill="1" applyBorder="1" applyAlignment="1">
      <alignment wrapText="1"/>
    </xf>
    <xf numFmtId="0" fontId="21" fillId="27" borderId="0" xfId="1" applyFont="1" applyFill="1" applyAlignment="1">
      <alignment wrapText="1"/>
    </xf>
    <xf numFmtId="0" fontId="21" fillId="27" borderId="6" xfId="1" applyFont="1" applyFill="1" applyBorder="1" applyAlignment="1">
      <alignment wrapText="1"/>
    </xf>
    <xf numFmtId="0" fontId="21" fillId="27" borderId="7" xfId="1" applyFont="1" applyFill="1" applyBorder="1" applyAlignment="1">
      <alignment wrapText="1"/>
    </xf>
    <xf numFmtId="0" fontId="21" fillId="27" borderId="8" xfId="1" applyFont="1" applyFill="1" applyBorder="1" applyAlignment="1">
      <alignment wrapText="1"/>
    </xf>
    <xf numFmtId="0" fontId="19" fillId="5" borderId="1" xfId="1" applyFont="1" applyFill="1" applyBorder="1" applyAlignment="1">
      <alignment horizontal="left" vertical="center" wrapText="1"/>
    </xf>
    <xf numFmtId="0" fontId="19" fillId="5" borderId="2" xfId="1" applyFont="1" applyFill="1" applyBorder="1" applyAlignment="1">
      <alignment horizontal="left" vertical="center" wrapText="1"/>
    </xf>
    <xf numFmtId="0" fontId="19" fillId="5" borderId="3" xfId="1" applyFont="1" applyFill="1" applyBorder="1" applyAlignment="1">
      <alignment horizontal="left" vertical="center" wrapText="1"/>
    </xf>
    <xf numFmtId="0" fontId="20" fillId="5" borderId="4" xfId="1" applyFont="1" applyFill="1" applyBorder="1" applyAlignment="1">
      <alignment horizontal="left" vertical="center" wrapText="1"/>
    </xf>
    <xf numFmtId="0" fontId="20" fillId="5" borderId="0" xfId="1" applyFont="1" applyFill="1" applyAlignment="1">
      <alignment horizontal="left" vertical="center" wrapText="1"/>
    </xf>
    <xf numFmtId="0" fontId="20" fillId="5" borderId="5" xfId="1" applyFont="1" applyFill="1" applyBorder="1" applyAlignment="1">
      <alignment horizontal="left" vertical="center" wrapText="1"/>
    </xf>
    <xf numFmtId="0" fontId="19" fillId="5" borderId="4" xfId="1" applyFont="1" applyFill="1" applyBorder="1" applyAlignment="1">
      <alignment horizontal="center" vertical="center" wrapText="1"/>
    </xf>
    <xf numFmtId="0" fontId="19" fillId="5" borderId="0" xfId="1" applyFont="1" applyFill="1" applyAlignment="1">
      <alignment horizontal="center" vertical="center" wrapText="1"/>
    </xf>
    <xf numFmtId="9" fontId="19" fillId="5" borderId="0" xfId="1" applyNumberFormat="1" applyFont="1" applyFill="1" applyAlignment="1">
      <alignment horizontal="center" vertical="center" wrapText="1"/>
    </xf>
    <xf numFmtId="0" fontId="21" fillId="5" borderId="5" xfId="1" applyFont="1" applyFill="1" applyBorder="1" applyAlignment="1">
      <alignment wrapText="1"/>
    </xf>
    <xf numFmtId="0" fontId="19" fillId="5" borderId="4" xfId="1" applyFont="1" applyFill="1" applyBorder="1" applyAlignment="1">
      <alignment horizontal="left" vertical="center" wrapText="1"/>
    </xf>
    <xf numFmtId="0" fontId="19" fillId="5" borderId="0" xfId="1" applyFont="1" applyFill="1" applyAlignment="1">
      <alignment horizontal="left" vertical="center" wrapText="1"/>
    </xf>
    <xf numFmtId="0" fontId="19" fillId="5" borderId="5" xfId="1" applyFont="1" applyFill="1" applyBorder="1" applyAlignment="1">
      <alignment horizontal="left" vertical="center" wrapText="1"/>
    </xf>
    <xf numFmtId="0" fontId="19" fillId="5" borderId="5" xfId="1" applyFont="1" applyFill="1" applyBorder="1" applyAlignment="1">
      <alignment horizontal="center" vertical="center" wrapText="1"/>
    </xf>
    <xf numFmtId="0" fontId="21" fillId="5" borderId="4" xfId="1" applyFont="1" applyFill="1" applyBorder="1" applyAlignment="1">
      <alignment vertical="center" wrapText="1"/>
    </xf>
    <xf numFmtId="0" fontId="21" fillId="5" borderId="0" xfId="1" applyFont="1" applyFill="1" applyAlignment="1">
      <alignment vertical="center" wrapText="1"/>
    </xf>
    <xf numFmtId="0" fontId="21" fillId="5" borderId="0" xfId="1" applyFont="1" applyFill="1" applyAlignment="1">
      <alignment horizontal="center" vertical="center" wrapText="1"/>
    </xf>
    <xf numFmtId="0" fontId="21" fillId="5" borderId="5" xfId="1" applyFont="1" applyFill="1" applyBorder="1" applyAlignment="1">
      <alignment horizontal="center" vertical="center" wrapText="1"/>
    </xf>
    <xf numFmtId="0" fontId="15" fillId="29" borderId="0" xfId="1" applyFont="1" applyFill="1" applyAlignment="1">
      <alignment horizontal="center" vertical="center" wrapText="1"/>
    </xf>
    <xf numFmtId="0" fontId="15" fillId="30" borderId="0" xfId="1" applyFont="1" applyFill="1" applyAlignment="1">
      <alignment horizontal="center" vertical="center"/>
    </xf>
    <xf numFmtId="0" fontId="23" fillId="31" borderId="0" xfId="1" applyFont="1" applyFill="1" applyAlignment="1">
      <alignment horizontal="center" vertical="center"/>
    </xf>
    <xf numFmtId="0" fontId="8" fillId="33" borderId="0" xfId="1" applyFont="1" applyFill="1" applyAlignment="1">
      <alignment horizontal="center" vertical="center" wrapText="1"/>
    </xf>
    <xf numFmtId="0" fontId="24" fillId="31" borderId="0" xfId="1" applyFont="1" applyFill="1" applyAlignment="1">
      <alignment vertical="center" wrapText="1"/>
    </xf>
    <xf numFmtId="0" fontId="24" fillId="31" borderId="0" xfId="1" applyFont="1" applyFill="1" applyAlignment="1">
      <alignment horizontal="center" vertical="center"/>
    </xf>
    <xf numFmtId="0" fontId="24" fillId="31" borderId="0" xfId="1" applyFont="1" applyFill="1" applyAlignment="1">
      <alignment horizontal="center" vertical="center" wrapText="1"/>
    </xf>
    <xf numFmtId="0" fontId="15" fillId="34" borderId="0" xfId="1" applyFont="1" applyFill="1" applyAlignment="1">
      <alignment horizontal="center" vertical="center"/>
    </xf>
    <xf numFmtId="0" fontId="26" fillId="37" borderId="0" xfId="1" applyFont="1" applyFill="1" applyAlignment="1">
      <alignment horizontal="center" vertical="center" wrapText="1"/>
    </xf>
    <xf numFmtId="0" fontId="15" fillId="31" borderId="0" xfId="1" applyFont="1" applyFill="1" applyAlignment="1">
      <alignment horizontal="center" vertical="center" wrapText="1"/>
    </xf>
    <xf numFmtId="0" fontId="27" fillId="38" borderId="0" xfId="1" applyFont="1" applyFill="1" applyAlignment="1">
      <alignment horizontal="center" vertical="center" wrapText="1"/>
    </xf>
    <xf numFmtId="0" fontId="27" fillId="38" borderId="0" xfId="1" applyFont="1" applyFill="1" applyAlignment="1">
      <alignment horizontal="center" vertical="center"/>
    </xf>
    <xf numFmtId="0" fontId="21" fillId="5" borderId="5" xfId="1" applyFont="1" applyFill="1" applyBorder="1" applyAlignment="1">
      <alignment vertical="center" wrapText="1"/>
    </xf>
    <xf numFmtId="0" fontId="0" fillId="0" borderId="0" xfId="1" applyFont="1" applyAlignment="1">
      <alignment vertical="center"/>
    </xf>
    <xf numFmtId="9" fontId="23" fillId="5" borderId="0" xfId="1" applyNumberFormat="1" applyFont="1" applyFill="1" applyAlignment="1">
      <alignment horizontal="center" vertical="center"/>
    </xf>
    <xf numFmtId="0" fontId="18" fillId="39" borderId="0" xfId="1" applyFont="1" applyFill="1" applyAlignment="1">
      <alignment horizontal="center" vertical="center" wrapText="1"/>
    </xf>
    <xf numFmtId="0" fontId="22" fillId="40" borderId="0" xfId="1" applyFont="1" applyFill="1" applyAlignment="1">
      <alignment vertical="center" wrapText="1"/>
    </xf>
    <xf numFmtId="0" fontId="2" fillId="41" borderId="0" xfId="1" applyFont="1" applyFill="1" applyAlignment="1">
      <alignment horizontal="center" vertical="center" wrapText="1"/>
    </xf>
    <xf numFmtId="0" fontId="8" fillId="41" borderId="0" xfId="1" applyFont="1" applyFill="1" applyAlignment="1">
      <alignment horizontal="center" vertical="center" wrapText="1"/>
    </xf>
    <xf numFmtId="0" fontId="23" fillId="42" borderId="0" xfId="1" applyFont="1" applyFill="1" applyAlignment="1">
      <alignment horizontal="center" vertical="center" wrapText="1"/>
    </xf>
    <xf numFmtId="0" fontId="8" fillId="50" borderId="0" xfId="1" applyFont="1" applyFill="1" applyAlignment="1">
      <alignment horizontal="center" vertical="center" wrapText="1"/>
    </xf>
    <xf numFmtId="0" fontId="24" fillId="51" borderId="0" xfId="1" applyFont="1" applyFill="1" applyAlignment="1">
      <alignment horizontal="center" vertical="center"/>
    </xf>
    <xf numFmtId="0" fontId="24" fillId="51" borderId="0" xfId="1" applyFont="1" applyFill="1" applyAlignment="1">
      <alignment vertical="center"/>
    </xf>
    <xf numFmtId="1" fontId="24" fillId="51" borderId="0" xfId="1" applyNumberFormat="1" applyFont="1" applyFill="1" applyAlignment="1">
      <alignment horizontal="center" vertical="center"/>
    </xf>
    <xf numFmtId="166" fontId="24" fillId="51" borderId="0" xfId="1" applyNumberFormat="1" applyFont="1" applyFill="1" applyAlignment="1">
      <alignment horizontal="center" vertical="center"/>
    </xf>
    <xf numFmtId="166" fontId="24" fillId="51" borderId="0" xfId="1" applyNumberFormat="1" applyFont="1" applyFill="1" applyAlignment="1">
      <alignment horizontal="center" vertical="center" wrapText="1"/>
    </xf>
    <xf numFmtId="0" fontId="8" fillId="28" borderId="0" xfId="1" applyFont="1" applyFill="1" applyAlignment="1">
      <alignment horizontal="left" vertical="center"/>
    </xf>
    <xf numFmtId="0" fontId="22" fillId="29" borderId="0" xfId="1" applyFont="1" applyFill="1" applyAlignment="1">
      <alignment vertical="center" wrapText="1"/>
    </xf>
    <xf numFmtId="0" fontId="15" fillId="29" borderId="0" xfId="1" applyFont="1" applyFill="1" applyAlignment="1">
      <alignment horizontal="center" vertical="center" wrapText="1"/>
    </xf>
    <xf numFmtId="0" fontId="8" fillId="32" borderId="0" xfId="1" applyFont="1" applyFill="1" applyAlignment="1">
      <alignment horizontal="left" vertical="center"/>
    </xf>
    <xf numFmtId="0" fontId="8" fillId="46" borderId="0" xfId="1" applyFont="1" applyFill="1" applyAlignment="1">
      <alignment horizontal="left" vertical="center"/>
    </xf>
    <xf numFmtId="0" fontId="30" fillId="47" borderId="0" xfId="1" applyFont="1" applyFill="1" applyAlignment="1">
      <alignment horizontal="center" vertical="center" wrapText="1"/>
    </xf>
    <xf numFmtId="0" fontId="24" fillId="48" borderId="0" xfId="1" applyFont="1" applyFill="1" applyAlignment="1">
      <alignment horizontal="left" vertical="top" wrapText="1"/>
    </xf>
    <xf numFmtId="0" fontId="24" fillId="35" borderId="0" xfId="1" applyFont="1" applyFill="1" applyAlignment="1">
      <alignment vertical="center" wrapText="1"/>
    </xf>
    <xf numFmtId="0" fontId="25" fillId="36" borderId="0" xfId="1" applyFont="1" applyFill="1" applyAlignment="1">
      <alignment horizontal="center" vertical="center" wrapText="1"/>
    </xf>
    <xf numFmtId="0" fontId="8" fillId="33" borderId="0" xfId="1" applyFont="1" applyFill="1" applyAlignment="1">
      <alignment horizontal="center" vertical="center" wrapText="1"/>
    </xf>
    <xf numFmtId="0" fontId="24" fillId="31" borderId="0" xfId="1" applyFont="1" applyFill="1" applyAlignment="1">
      <alignment vertical="center" wrapText="1"/>
    </xf>
    <xf numFmtId="0" fontId="15" fillId="30" borderId="0" xfId="1" applyFont="1" applyFill="1" applyAlignment="1">
      <alignment horizontal="center" vertical="center"/>
    </xf>
    <xf numFmtId="0" fontId="24" fillId="38" borderId="0" xfId="1" applyFont="1" applyFill="1" applyAlignment="1">
      <alignment vertical="center" wrapText="1"/>
    </xf>
    <xf numFmtId="0" fontId="8" fillId="32" borderId="0" xfId="1" applyFont="1" applyFill="1" applyAlignment="1">
      <alignment horizontal="left" vertical="center" wrapText="1"/>
    </xf>
    <xf numFmtId="0" fontId="8" fillId="49" borderId="0" xfId="1" applyFont="1" applyFill="1" applyAlignment="1">
      <alignment horizontal="left" vertical="center"/>
    </xf>
    <xf numFmtId="0" fontId="28" fillId="52" borderId="0" xfId="1" applyFont="1" applyFill="1" applyAlignment="1">
      <alignment horizontal="left" vertical="center" wrapText="1"/>
    </xf>
    <xf numFmtId="0" fontId="22" fillId="45" borderId="0" xfId="1" applyFont="1" applyFill="1" applyAlignment="1">
      <alignment horizontal="left" vertical="center" wrapText="1"/>
    </xf>
    <xf numFmtId="0" fontId="5" fillId="3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8" fillId="6" borderId="0" xfId="1" applyFont="1" applyFill="1" applyAlignment="1">
      <alignment horizontal="left" vertical="center"/>
    </xf>
    <xf numFmtId="0" fontId="7" fillId="8" borderId="0" xfId="1" applyFont="1" applyFill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5" fillId="3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29" fillId="40" borderId="0" xfId="1" applyFont="1" applyFill="1" applyAlignment="1">
      <alignment horizontal="left" vertical="center" wrapText="1"/>
    </xf>
    <xf numFmtId="0" fontId="0" fillId="0" borderId="0" xfId="1" applyFont="1" applyAlignment="1">
      <alignment wrapText="1"/>
    </xf>
    <xf numFmtId="0" fontId="8" fillId="43" borderId="0" xfId="1" applyFont="1" applyFill="1" applyAlignment="1">
      <alignment horizontal="left" vertical="center"/>
    </xf>
    <xf numFmtId="0" fontId="18" fillId="44" borderId="0" xfId="1" applyFont="1" applyFill="1" applyAlignment="1">
      <alignment horizontal="center" vertical="center" wrapText="1"/>
    </xf>
    <xf numFmtId="0" fontId="1" fillId="44" borderId="0" xfId="1" applyFont="1" applyFill="1" applyAlignment="1">
      <alignment vertical="center" wrapText="1"/>
    </xf>
    <xf numFmtId="0" fontId="24" fillId="44" borderId="0" xfId="1" applyFont="1" applyFill="1" applyAlignment="1">
      <alignment vertical="center" wrapText="1"/>
    </xf>
    <xf numFmtId="0" fontId="5" fillId="13" borderId="0" xfId="1" applyFont="1" applyFill="1" applyAlignment="1">
      <alignment horizontal="center" vertical="center"/>
    </xf>
    <xf numFmtId="0" fontId="10" fillId="14" borderId="0" xfId="1" applyFont="1" applyFill="1" applyAlignment="1">
      <alignment wrapText="1"/>
    </xf>
    <xf numFmtId="0" fontId="11" fillId="13" borderId="0" xfId="1" applyFont="1" applyFill="1"/>
    <xf numFmtId="0" fontId="8" fillId="17" borderId="0" xfId="1" applyFont="1" applyFill="1"/>
    <xf numFmtId="0" fontId="13" fillId="18" borderId="0" xfId="1" applyFont="1" applyFill="1" applyAlignment="1">
      <alignment vertical="center" wrapText="1"/>
    </xf>
    <xf numFmtId="0" fontId="8" fillId="19" borderId="0" xfId="1" applyFont="1" applyFill="1" applyAlignment="1">
      <alignment horizontal="center"/>
    </xf>
    <xf numFmtId="0" fontId="17" fillId="23" borderId="0" xfId="1" applyFont="1" applyFill="1" applyAlignment="1">
      <alignment wrapText="1"/>
    </xf>
    <xf numFmtId="0" fontId="16" fillId="22" borderId="0" xfId="1" applyFont="1" applyFill="1" applyAlignment="1">
      <alignment horizontal="left"/>
    </xf>
    <xf numFmtId="0" fontId="14" fillId="21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14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ECFEFF"/>
        </patternFill>
      </fill>
    </dxf>
    <dxf>
      <fill>
        <patternFill>
          <bgColor rgb="FFF3E8FF"/>
        </patternFill>
      </fill>
    </dxf>
    <dxf>
      <fill>
        <patternFill>
          <bgColor rgb="FFFFEDD5"/>
        </patternFill>
      </fill>
    </dxf>
    <dxf>
      <fill>
        <patternFill>
          <bgColor rgb="FFDCFCE7"/>
        </patternFill>
      </fill>
    </dxf>
    <dxf>
      <fill>
        <patternFill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Уверенность связей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ЛОГИ_Сводка!$A$5:$A$7</c:f>
              <c:strCache>
                <c:ptCount val="3"/>
                <c:pt idx="0">
                  <c:v>Высокая</c:v>
                </c:pt>
                <c:pt idx="1">
                  <c:v>Средняя</c:v>
                </c:pt>
                <c:pt idx="2">
                  <c:v>Низкая</c:v>
                </c:pt>
              </c:strCache>
            </c:strRef>
          </c:cat>
          <c:val>
            <c:numRef>
              <c:f>ЛОГИ_Сводка!$B$5:$B$7</c:f>
              <c:numCache>
                <c:formatCode>General</c:formatCode>
                <c:ptCount val="3"/>
                <c:pt idx="0">
                  <c:v>239</c:v>
                </c:pt>
                <c:pt idx="1">
                  <c:v>81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9-4BDB-A859-97244F57D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SpecsTable" displayName="CatalogSpecsTable" ref="A3:P73">
  <tableColumns count="16">
    <tableColumn id="1" xr3:uid="{00000000-0010-0000-0000-000001000000}" name="Класс"/>
    <tableColumn id="2" xr3:uid="{00000000-0010-0000-0000-000002000000}" name="Специализация"/>
    <tableColumn id="3" xr3:uid="{00000000-0010-0000-0000-000003000000}" name="Роль"/>
    <tableColumn id="4" xr3:uid="{00000000-0010-0000-0000-000004000000}" name="Всего эффектов"/>
    <tableColumn id="5" xr3:uid="{00000000-0010-0000-0000-000005000000}" name="Физические бафы"/>
    <tableColumn id="6" xr3:uid="{00000000-0010-0000-0000-000006000000}" name="Кастерские бафы"/>
    <tableColumn id="7" xr3:uid="{00000000-0010-0000-0000-000007000000}" name="Утилити-бафы"/>
    <tableColumn id="8" xr3:uid="{00000000-0010-0000-0000-000008000000}" name="Физические дебафы"/>
    <tableColumn id="9" xr3:uid="{00000000-0010-0000-0000-000009000000}" name="Магические дебафы"/>
    <tableColumn id="10" xr3:uid="{00000000-0010-0000-0000-00000A000000}" name="Утилити-дебафы"/>
    <tableColumn id="11" xr3:uid="{00000000-0010-0000-0000-00000B000000}" name="Итоговые бафы"/>
    <tableColumn id="12" xr3:uid="{00000000-0010-0000-0000-00000C000000}" name="Итоговые дебафы"/>
    <tableColumn id="13" xr3:uid="{00000000-0010-0000-0000-00000D000000}" name="Новых эффектов"/>
    <tableColumn id="14" xr3:uid="{00000000-0010-0000-0000-00000E000000}" name="Балл"/>
    <tableColumn id="15" xr3:uid="{00000000-0010-0000-0000-00000F000000}" name="Что закроет"/>
    <tableColumn id="16" xr3:uid="{00000000-0010-0000-0000-000010000000}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ffectsReferenceTable" displayName="EffectsReferenceTable" ref="A3:K48">
  <autoFilter xmlns:x14="http://schemas.microsoft.com/office/spreadsheetml/2009/9/main" ref="A3:K48" xr:uid="{00000000-000C-0000-FFFF-FFFF01000000}">
    <filterColumn colId="8">
      <filters>
        <mc:AlternateContent xmlns:mc="http://schemas.openxmlformats.org/markup-compatibility/2006">
          <mc:Choice Requires="x14">
            <x14:filter val="Barbarian — Ancestry; Barbarian — Brutality; Barbarian — Headhunting; Felsworn — Infernal; Felsworn — Tyrant; Felsworn — Slaying; Witch Hunter — Inquisition; Witch Hunter — Houndmaster; Witch Hunter — Black Knight; Witch Hunter — Boltslinger; Sun Cleric — Blessings; Sun Cleric — Valkyrie; Sun Cleric — Piety; Sun Cleric — Seraphim; Tinker — Demolition; Tinker — Mechanics; Tinker — Invention"/>
            <x14:filter val="Barbarian — Ancestry; Barbarian — Brutality; Barbarian — Headhunting; Knight of Xoroth — Hellfire; Knight of Xoroth — War; Knight of Xoroth — Defiance; Guardian — Vanguard; Guardian — Gladiator; Guardian — Inspiration; Reaper — Soul; Reaper — Harvest; Reaper — Domination"/>
            <x14:filter val="Barbarian — Ancestry; Barbarian — Brutality; Barbarian — Headhunting; Stormbringer — Maelstrom; Stormbringer — Lightning; Stormbringer — Wind; Bloodmage — Sanguine; Bloodmage — Fleshweaver; Bloodmage — Accursed; Bloodmage — Eternal; Tinker — Demolition; Tinker — Mechanics; Tinker — Invention"/>
            <x14:filter val="Barbarian — Ancestry; Barbarian — Brutality; Barbarian — Headhunting; Templar — Zealot; Templar — Crusader; Templar — Oathkeeper; Primalist — Wildwalker; Primalist — Mountain King; Primalist — Geomancy; Primalist — Grovekeeper; Ranger — Brigand; Ranger — Archery; Ranger — Farstrider; Runemaster — Glyphic; Runemaster — Riftblade; Runemaster — Engravement; Venomancer — Stalking; Venomancer — Vizier; Venomancer — Fortitude; Venomancer — Rot"/>
            <x14:filter val="Barbarian — Ancestry; Felsworn — Slaying; Stormbringer — Wind; Guardian — Inspiration; Primalist — Grovekeeper; Bloodmage — Fleshweaver; Ranger — Farstrider"/>
            <x14:filter val="Barbarian — Ancestry; Stormbringer — Wind; Guardian — Inspiration; Primalist — Grovekeeper; Bloodmage — Fleshweaver; Ranger — Farstrider"/>
            <x14:filter val="Barbarian — Ancestry; Witch Doctor — Shadowhunting; Witch Doctor — Voodoo; Witch Doctor — Brewing; Guardian — Inspiration; Starcaller — Moon Priest; Starcaller — Warden; Starcaller — Sentinel; Starcaller — Moon Guard; Sun Cleric — Blessings; Sun Cleric — Valkyrie; Sun Cleric — Piety"/>
            <x14:filter val="Barbarian — Brutality; Barbarian — Headhunting; Primalist — Wildwalker; Bloodmage — Sanguine; Bloodmage — Fleshweaver; Bloodmage — Accursed; Bloodmage — Eternal; Ranger — Archery"/>
            <x14:filter val="Barbarian — Brutality; Barbarian — Headhunting; Witch Doctor — Shadowhunting; Witch Hunter — Houndmaster; Knight of Xoroth — Hellfire; Guardian — Gladiator; Templar — Oathkeeper; Primalist — Wildwalker; Bloodmage — Eternal; Tinker — Demolition"/>
            <x14:filter val="Barbarian — Brutality; Felsworn — Slaying; Witch Hunter — Boltslinger; Knight of Xoroth — War; Knight of Xoroth — Defiance; Guardian — Vanguard; Guardian — Gladiator; Guardian — Inspiration; Templar — Zealot; Primalist — Grovekeeper; Necromancer — Animation; Necromancer — Death; Necromancer — Rime; Tinker — Mechanics"/>
            <x14:filter val="Barbarian — Brutality; Felsworn — Tyrant; Knight of Xoroth — War; Guardian — Gladiator; Primalist — Wildwalker; Primalist — Mountain King; Ranger — Archery; Reaper — Domination"/>
            <x14:filter val="Barbarian — Headhunting; Felsworn — Infernal; Witch Hunter — Boltslinger; Stormbringer — Lightning; Knight of Xoroth — War; Starcaller — Moon Priest; Starcaller — Warden; Bloodmage — Accursed; Pyromancer — Incineration; Reaper — Harvest; Reaper — Domination; Chronomancer — Artificer; Necromancer — Rime"/>
            <x14:filter val="Barbarian — Headhunting; Felsworn — Slaying; Witch Hunter — Boltslinger; Cultist — Godblade; Knight of Xoroth — War; Guardian — Gladiator; Starcaller — Warden; Bloodmage — Accursed; Pyromancer — Flameweaving; Pyromancer — Draconic; Pyromancer — Incineration; Ranger — Brigand; Reaper — Harvest; Runemaster — Glyphic; Runemaster — Riftblade; Runemaster — Engravement; Necromancer — Animation; Necromancer — Death; Necromancer — Rime; Venomancer — Rot"/>
          </mc:Choice>
          <mc:Fallback>
            <filter val="Barbarian — Ancestry; Felsworn — Slaying; Stormbringer — Wind; Guardian — Inspiration; Primalist — Grovekeeper; Bloodmage — Fleshweaver; Ranger — Farstrider"/>
            <filter val="Barbarian — Ancestry; Stormbringer — Wind; Guardian — Inspiration; Primalist — Grovekeeper; Bloodmage — Fleshweaver; Ranger — Farstrider"/>
            <filter val="Barbarian — Brutality; Barbarian — Headhunting; Primalist — Wildwalker; Bloodmage — Sanguine; Bloodmage — Fleshweaver; Bloodmage — Accursed; Bloodmage — Eternal; Ranger — Archery"/>
            <filter val="Barbarian — Brutality; Barbarian — Headhunting; Witch Doctor — Shadowhunting; Witch Hunter — Houndmaster; Knight of Xoroth — Hellfire; Guardian — Gladiator; Templar — Oathkeeper; Primalist — Wildwalker; Bloodmage — Eternal; Tinker — Demolition"/>
            <filter val="Barbarian — Brutality; Felsworn — Tyrant; Knight of Xoroth — War; Guardian — Gladiator; Primalist — Wildwalker; Primalist — Mountain King; Ranger — Archery; Reaper — Domination"/>
          </mc:Fallback>
        </mc:AlternateContent>
      </filters>
    </filterColumn>
  </autoFilter>
  <tableColumns count="11">
    <tableColumn id="1" xr3:uid="{00000000-0010-0000-0100-000001000000}" name="Категория"/>
    <tableColumn id="2" xr3:uid="{00000000-0010-0000-0100-000002000000}" name="Эффект"/>
    <tableColumn id="3" xr3:uid="{00000000-0010-0000-0100-000003000000}" name="Приоритет"/>
    <tableColumn id="4" xr3:uid="{00000000-0010-0000-0100-000004000000}" name="В рейде"/>
    <tableColumn id="5" xr3:uid="{00000000-0010-0000-0100-000005000000}" name="Статус"/>
    <tableColumn id="6" xr3:uid="{00000000-0010-0000-0100-000006000000}" name="Спеков-источников"/>
    <tableColumn id="7" xr3:uid="{00000000-0010-0000-0100-000007000000}" name="Классов-источников"/>
    <tableColumn id="8" xr3:uid="{00000000-0010-0000-0100-000008000000}" name="Роли"/>
    <tableColumn id="9" xr3:uid="{00000000-0010-0000-0100-000009000000}" name="Все источники"/>
    <tableColumn id="10" xr3:uid="{00000000-0010-0000-0100-00000A000000}" name="Ключ базы"/>
    <tableColumn id="11" xr3:uid="{00000000-0010-0000-0100-00000B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CombinationsTable" displayName="RawCombinationsTable" ref="A2:K72">
  <tableColumns count="11">
    <tableColumn id="1" xr3:uid="{00000000-0010-0000-0200-000001000000}" name="Класс"/>
    <tableColumn id="2" xr3:uid="{00000000-0010-0000-0200-000002000000}" name="Специализация"/>
    <tableColumn id="3" xr3:uid="{00000000-0010-0000-0200-000003000000}" name="Роль"/>
    <tableColumn id="4" xr3:uid="{00000000-0010-0000-0200-000004000000}" name="Классовые бафы"/>
    <tableColumn id="5" xr3:uid="{00000000-0010-0000-0200-000005000000}" name="Сопротивления класса"/>
    <tableColumn id="6" xr3:uid="{00000000-0010-0000-0200-000006000000}" name="Классовые дебафы"/>
    <tableColumn id="7" xr3:uid="{00000000-0010-0000-0200-000007000000}" name="Эффекты спека: buffs[]"/>
    <tableColumn id="8" xr3:uid="{00000000-0010-0000-0200-000008000000}" name="Эффекты спека: debuffs[]"/>
    <tableColumn id="9" xr3:uid="{00000000-0010-0000-0200-000009000000}" name="Итоговые бафы по UI"/>
    <tableColumn id="10" xr3:uid="{00000000-0010-0000-0200-00000A000000}" name="Итоговые дебафы по UI"/>
    <tableColumn id="11" xr3:uid="{00000000-0010-0000-0200-00000B000000}" name="Источн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SourcesTable" displayName="RawSourcesTable" ref="A2:J561">
  <tableColumns count="10">
    <tableColumn id="1" xr3:uid="{00000000-0010-0000-0300-000001000000}" name="Категория UI"/>
    <tableColumn id="2" xr3:uid="{00000000-0010-0000-0300-000002000000}" name="Отображаемое имя"/>
    <tableColumn id="3" xr3:uid="{00000000-0010-0000-0300-000003000000}" name="Ключ эффекта"/>
    <tableColumn id="4" xr3:uid="{00000000-0010-0000-0300-000004000000}" name="Уровень"/>
    <tableColumn id="5" xr3:uid="{00000000-0010-0000-0300-000005000000}" name="Поле базы"/>
    <tableColumn id="6" xr3:uid="{00000000-0010-0000-0300-000006000000}" name="Класс"/>
    <tableColumn id="7" xr3:uid="{00000000-0010-0000-0300-000007000000}" name="Специализация"/>
    <tableColumn id="8" xr3:uid="{00000000-0010-0000-0300-000008000000}" name="Роль"/>
    <tableColumn id="9" xr3:uid="{00000000-0010-0000-0300-000009000000}" name="Исходное значение"/>
    <tableColumn id="10" xr3:uid="{00000000-0010-0000-0300-00000A000000}" name="Источник код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elpTable" displayName="HelpTable" ref="A2:D16">
  <tableColumns count="4">
    <tableColumn id="1" xr3:uid="{00000000-0010-0000-0400-000001000000}" name="Показатель"/>
    <tableColumn id="2" xr3:uid="{00000000-0010-0000-0400-000002000000}" name="Значение"/>
    <tableColumn id="3" xr3:uid="{00000000-0010-0000-0400-000003000000}" name="Пояснение"/>
    <tableColumn id="4" xr3:uid="{00000000-0010-0000-0400-000004000000}" name="Источни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ogsEffects" displayName="LogsEffects" ref="A1:S341">
  <tableColumns count="19">
    <tableColumn id="1" xr3:uid="{00000000-0010-0000-0500-000001000000}" name="Категория"/>
    <tableColumn id="2" xr3:uid="{00000000-0010-0000-0500-000002000000}" name="Эффект"/>
    <tableColumn id="3" xr3:uid="{00000000-0010-0000-0500-000003000000}" name="Уровень"/>
    <tableColumn id="4" xr3:uid="{00000000-0010-0000-0500-000004000000}" name="Класс"/>
    <tableColumn id="5" xr3:uid="{00000000-0010-0000-0500-000005000000}" name="Специализация"/>
    <tableColumn id="6" xr3:uid="{00000000-0010-0000-0500-000006000000}" name="Роль"/>
    <tableColumn id="7" xr3:uid="{00000000-0010-0000-0500-000007000000}" name="Фактическая аура"/>
    <tableColumn id="8" xr3:uid="{00000000-0010-0000-0500-000008000000}" name="Spell ID"/>
    <tableColumn id="9" xr3:uid="{00000000-0010-0000-0500-000009000000}" name="Возможностей"/>
    <tableColumn id="10" xr3:uid="{00000000-0010-0000-0500-00000A000000}" name="Встречено"/>
    <tableColumn id="11" xr3:uid="{00000000-0010-0000-0500-00000B000000}" name="Покрытие"/>
    <tableColumn id="12" xr3:uid="{00000000-0010-0000-0500-00000C000000}" name="Специфичность"/>
    <tableColumn id="13" xr3:uid="{00000000-0010-0000-0500-00000D000000}" name="Охват игроков"/>
    <tableColumn id="14" xr3:uid="{00000000-0010-0000-0500-00000E000000}" name="Босс-цель"/>
    <tableColumn id="15" xr3:uid="{00000000-0010-0000-0500-00000F000000}" name="Уверенность"/>
    <tableColumn id="16" xr3:uid="{00000000-0010-0000-0500-000010000000}" name="Балл"/>
    <tableColumn id="17" xr3:uid="{00000000-0010-0000-0500-000011000000}" name="Статус модели"/>
    <tableColumn id="18" xr3:uid="{00000000-0010-0000-0500-000012000000}" name="Значение базы"/>
    <tableColumn id="19" xr3:uid="{00000000-0010-0000-0500-000013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ogsPackages" displayName="LogsPackages" ref="A1:N531">
  <tableColumns count="14">
    <tableColumn id="1" xr3:uid="{00000000-0010-0000-0600-000001000000}" name="Класс"/>
    <tableColumn id="2" xr3:uid="{00000000-0010-0000-0600-000002000000}" name="Специализация"/>
    <tableColumn id="3" xr3:uid="{00000000-0010-0000-0600-000003000000}" name="Тип"/>
    <tableColumn id="4" xr3:uid="{00000000-0010-0000-0600-000004000000}" name="Фактическая аура"/>
    <tableColumn id="5" xr3:uid="{00000000-0010-0000-0600-000005000000}" name="Spell ID"/>
    <tableColumn id="6" xr3:uid="{00000000-0010-0000-0600-000006000000}" name="Боев со спеком"/>
    <tableColumn id="7" xr3:uid="{00000000-0010-0000-0600-000007000000}" name="Боев с аурой"/>
    <tableColumn id="8" xr3:uid="{00000000-0010-0000-0600-000008000000}" name="Покрытие"/>
    <tableColumn id="9" xr3:uid="{00000000-0010-0000-0600-000009000000}" name="Специфичность"/>
    <tableColumn id="10" xr3:uid="{00000000-0010-0000-0600-00000A000000}" name="Охват игроков"/>
    <tableColumn id="11" xr3:uid="{00000000-0010-0000-0600-00000B000000}" name="Босс-цель"/>
    <tableColumn id="12" xr3:uid="{00000000-0010-0000-0600-00000C000000}" name="Наблюдаемый тип"/>
    <tableColumn id="13" xr3:uid="{00000000-0010-0000-0600-00000D000000}" name="Событий от спека"/>
    <tableColumn id="14" xr3:uid="{00000000-0010-0000-0600-00000E000000}" name="Ранг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gsExclusive" displayName="LogsExclusive" ref="A1:O44">
  <tableColumns count="15">
    <tableColumn id="1" xr3:uid="{00000000-0010-0000-0700-000001000000}" name="Класс"/>
    <tableColumn id="2" xr3:uid="{00000000-0010-0000-0700-000002000000}" name="Специализация"/>
    <tableColumn id="3" xr3:uid="{00000000-0010-0000-0700-000003000000}" name="Тип"/>
    <tableColumn id="4" xr3:uid="{00000000-0010-0000-0700-000004000000}" name="Аура A"/>
    <tableColumn id="5" xr3:uid="{00000000-0010-0000-0700-000005000000}" name="ID A"/>
    <tableColumn id="6" xr3:uid="{00000000-0010-0000-0700-000006000000}" name="Покрытие A"/>
    <tableColumn id="7" xr3:uid="{00000000-0010-0000-0700-000007000000}" name="Аура B"/>
    <tableColumn id="8" xr3:uid="{00000000-0010-0000-0700-000008000000}" name="ID B"/>
    <tableColumn id="9" xr3:uid="{00000000-0010-0000-0700-000009000000}" name="Покрытие B"/>
    <tableColumn id="10" xr3:uid="{00000000-0010-0000-0700-00000A000000}" name="Совместных боёв"/>
    <tableColumn id="11" xr3:uid="{00000000-0010-0000-0700-00000B000000}" name="Совместимость"/>
    <tableColumn id="12" xr3:uid="{00000000-0010-0000-0700-00000C000000}" name="Боев со спеком"/>
    <tableColumn id="13" xr3:uid="{00000000-0010-0000-0700-00000D000000}" name="Статус наблюдения"/>
    <tableColumn id="14" xr3:uid="{00000000-0010-0000-0700-00000E000000}" name="Решение модели"/>
    <tableColumn id="15" xr3:uid="{00000000-0010-0000-0700-00000F000000}" name="Предупреждени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ogsSpecs" displayName="LogsSpecs" ref="A1:T83">
  <tableColumns count="20">
    <tableColumn id="1" xr3:uid="{00000000-0010-0000-0800-000001000000}" name="Класс"/>
    <tableColumn id="2" xr3:uid="{00000000-0010-0000-0800-000002000000}" name="Специализация"/>
    <tableColumn id="3" xr3:uid="{00000000-0010-0000-0800-000003000000}" name="Роль"/>
    <tableColumn id="4" xr3:uid="{00000000-0010-0000-0800-000004000000}" name="Парсов"/>
    <tableColumn id="5" xr3:uid="{00000000-0010-0000-0800-000005000000}" name="Игроков"/>
    <tableColumn id="6" xr3:uid="{00000000-0010-0000-0800-000006000000}" name="Боев"/>
    <tableColumn id="7" xr3:uid="{00000000-0010-0000-0800-000007000000}" name="Боссов"/>
    <tableColumn id="8" xr3:uid="{00000000-0010-0000-0800-000008000000}" name="Надёжность"/>
    <tableColumn id="9" xr3:uid="{00000000-0010-0000-0800-000009000000}" name="Медиана DPS"/>
    <tableColumn id="10" xr3:uid="{00000000-0010-0000-0800-00000A000000}" name="P75 DPS"/>
    <tableColumn id="11" xr3:uid="{00000000-0010-0000-0800-00000B000000}" name="P90 DPS"/>
    <tableColumn id="12" xr3:uid="{00000000-0010-0000-0800-00000C000000}" name="Медиана HPS"/>
    <tableColumn id="13" xr3:uid="{00000000-0010-0000-0800-00000D000000}" name="P75 HPS"/>
    <tableColumn id="14" xr3:uid="{00000000-0010-0000-0800-00000E000000}" name="Медиана DTPS"/>
    <tableColumn id="15" xr3:uid="{00000000-0010-0000-0800-00000F000000}" name="Смертность"/>
    <tableColumn id="16" xr3:uid="{00000000-0010-0000-0800-000010000000}" name="Выживаемость"/>
    <tableColumn id="17" xr3:uid="{00000000-0010-0000-0800-000011000000}" name="Сглаженная метрика"/>
    <tableColumn id="18" xr3:uid="{00000000-0010-0000-0800-000012000000}" name="Предв. балл роли"/>
    <tableColumn id="19" xr3:uid="{00000000-0010-0000-0800-000013000000}" name="Покрытие экипировки"/>
    <tableColumn id="20" xr3:uid="{00000000-0010-0000-0800-000014000000}" name="Медиана ilv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"/>
  <sheetViews>
    <sheetView tabSelected="1" workbookViewId="0">
      <selection activeCell="B6" sqref="B6"/>
    </sheetView>
  </sheetViews>
  <sheetFormatPr defaultRowHeight="14.25"/>
  <cols>
    <col min="1" max="1" width="6" customWidth="1"/>
    <col min="2" max="2" width="16" customWidth="1"/>
    <col min="3" max="3" width="18" customWidth="1"/>
    <col min="4" max="4" width="20" customWidth="1"/>
    <col min="5" max="5" width="15" customWidth="1"/>
    <col min="6" max="6" width="9" customWidth="1"/>
    <col min="7" max="7" width="15" customWidth="1"/>
    <col min="8" max="8" width="9" customWidth="1"/>
    <col min="9" max="14" width="1.25" customWidth="1"/>
    <col min="15" max="15" width="12" customWidth="1"/>
    <col min="16" max="16" width="18" customWidth="1"/>
    <col min="17" max="18" width="12" customWidth="1"/>
    <col min="19" max="19" width="17" customWidth="1"/>
    <col min="20" max="20" width="12" customWidth="1"/>
    <col min="21" max="21" width="11" customWidth="1"/>
    <col min="22" max="22" width="18" customWidth="1"/>
  </cols>
  <sheetData>
    <row r="1" spans="1:22" ht="27" customHeight="1">
      <c r="A1" s="96" t="s">
        <v>0</v>
      </c>
      <c r="B1" s="96"/>
      <c r="C1" s="96"/>
      <c r="D1" s="96"/>
      <c r="E1" s="96"/>
      <c r="F1" s="96"/>
      <c r="G1" s="96"/>
      <c r="H1" s="96"/>
      <c r="I1" s="52"/>
      <c r="J1" s="53"/>
      <c r="K1" s="53"/>
      <c r="L1" s="53"/>
      <c r="M1" s="53"/>
      <c r="N1" s="54"/>
      <c r="O1" s="99" t="s">
        <v>1</v>
      </c>
      <c r="P1" s="99"/>
      <c r="Q1" s="99"/>
      <c r="R1" s="99"/>
      <c r="S1" s="99"/>
      <c r="T1" s="99"/>
      <c r="U1" s="99"/>
      <c r="V1" s="99"/>
    </row>
    <row r="2" spans="1:22" ht="33.950000000000003" customHeight="1">
      <c r="A2" s="97" t="s">
        <v>2</v>
      </c>
      <c r="B2" s="97"/>
      <c r="C2" s="97"/>
      <c r="D2" s="97"/>
      <c r="E2" s="97"/>
      <c r="F2" s="97"/>
      <c r="G2" s="97"/>
      <c r="H2" s="97"/>
      <c r="I2" s="55"/>
      <c r="J2" s="56"/>
      <c r="K2" s="56"/>
      <c r="L2" s="56"/>
      <c r="M2" s="56"/>
      <c r="N2" s="57"/>
      <c r="O2" s="70" t="s">
        <v>3</v>
      </c>
      <c r="P2" s="71" t="s">
        <v>2036</v>
      </c>
      <c r="Q2" s="70" t="s">
        <v>5</v>
      </c>
      <c r="R2" s="71" t="s">
        <v>6</v>
      </c>
      <c r="S2" s="70" t="s">
        <v>7</v>
      </c>
      <c r="T2" s="71">
        <v>5</v>
      </c>
      <c r="U2" s="70" t="s">
        <v>8</v>
      </c>
      <c r="V2" s="71">
        <v>3</v>
      </c>
    </row>
    <row r="3" spans="1:22" ht="24" customHeight="1">
      <c r="A3" s="98" t="s">
        <v>9</v>
      </c>
      <c r="B3" s="98"/>
      <c r="C3" s="71" t="s">
        <v>10</v>
      </c>
      <c r="D3" s="70" t="s">
        <v>11</v>
      </c>
      <c r="E3" s="72">
        <f>SUM(H6:H30)</f>
        <v>0</v>
      </c>
      <c r="F3" s="70" t="s">
        <v>12</v>
      </c>
      <c r="G3" s="72">
        <f>COUNTIFS('СПРАВОЧНИК ЭФФЕКТОВ'!$D$4:$D$48,0,'СПРАВОЧНИК ЭФФЕКТОВ'!$C$4:$C$48,"Критично")</f>
        <v>20</v>
      </c>
      <c r="H3" s="84">
        <f>IFERROR(SUMPRODUCT(--('СПРАВОЧНИК ЭФФЕКТОВ'!$D$4:$D$48&gt;0),IF('СПРАВОЧНИК ЭФФЕКТОВ'!$C$4:$C$48="Критично",3,IF('СПРАВОЧНИК ЭФФЕКТОВ'!$C$4:$C$48="Важно",2,IF('СПРАВОЧНИК ЭФФЕКТОВ'!$C$4:$C$48="Опционально",1,0))))/SUM(IF('СПРАВОЧНИК ЭФФЕКТОВ'!$C$4:$C$48="Критично",3,IF('СПРАВОЧНИК ЭФФЕКТОВ'!$C$4:$C$48="Важно",2,IF('СПРАВОЧНИК ЭФФЕКТОВ'!$C$4:$C$48="Опционально",1,0)))),0)</f>
        <v>0</v>
      </c>
      <c r="I3" s="58">
        <f>COUNTIF(K6:K50,0)</f>
        <v>45</v>
      </c>
      <c r="J3" s="59" t="s">
        <v>13</v>
      </c>
      <c r="K3" s="59">
        <f>COUNTIFS(K6:K50,0,M6:M50,"Критично")</f>
        <v>20</v>
      </c>
      <c r="L3" s="59" t="s">
        <v>14</v>
      </c>
      <c r="M3" s="60">
        <f>IFERROR(SUMPRODUCT(--(K6:K50&gt;0),N6:N50)/SUM(N6:N50),0)</f>
        <v>0</v>
      </c>
      <c r="N3" s="82"/>
      <c r="O3" s="70" t="s">
        <v>15</v>
      </c>
      <c r="P3" s="72" t="s">
        <v>4</v>
      </c>
      <c r="Q3" s="70" t="s">
        <v>16</v>
      </c>
      <c r="R3" s="72">
        <v>25</v>
      </c>
      <c r="S3" s="70" t="s">
        <v>17</v>
      </c>
      <c r="T3" s="72">
        <f>MAX($R$3-$E$3,0)</f>
        <v>25</v>
      </c>
      <c r="U3" s="70" t="s">
        <v>18</v>
      </c>
      <c r="V3" s="72" t="str">
        <f>$T$2&amp;" одинаковых спека / "&amp;$V$2&amp;" игроков класса"</f>
        <v>5 одинаковых спека / 3 игроков класса</v>
      </c>
    </row>
    <row r="4" spans="1:22" ht="21.95" customHeight="1">
      <c r="A4" s="99" t="s">
        <v>19</v>
      </c>
      <c r="B4" s="99"/>
      <c r="C4" s="99"/>
      <c r="D4" s="99"/>
      <c r="E4" s="99"/>
      <c r="F4" s="99"/>
      <c r="G4" s="99"/>
      <c r="H4" s="99"/>
      <c r="I4" s="62" t="s">
        <v>20</v>
      </c>
      <c r="J4" s="63"/>
      <c r="K4" s="63"/>
      <c r="L4" s="63"/>
      <c r="M4" s="63"/>
      <c r="N4" s="64"/>
      <c r="O4" s="83"/>
      <c r="P4" s="83"/>
      <c r="Q4" s="83"/>
      <c r="R4" s="83"/>
      <c r="S4" s="83"/>
      <c r="T4" s="83"/>
      <c r="U4" s="83"/>
      <c r="V4" s="83"/>
    </row>
    <row r="5" spans="1:22" ht="21.95" customHeight="1">
      <c r="A5" s="73" t="s">
        <v>21</v>
      </c>
      <c r="B5" s="73" t="s">
        <v>22</v>
      </c>
      <c r="C5" s="73" t="s">
        <v>23</v>
      </c>
      <c r="D5" s="73" t="s">
        <v>24</v>
      </c>
      <c r="E5" s="73" t="s">
        <v>25</v>
      </c>
      <c r="F5" s="73" t="s">
        <v>26</v>
      </c>
      <c r="G5" s="73" t="s">
        <v>27</v>
      </c>
      <c r="H5" s="73" t="s">
        <v>28</v>
      </c>
      <c r="I5" s="58" t="s">
        <v>29</v>
      </c>
      <c r="J5" s="59" t="s">
        <v>30</v>
      </c>
      <c r="K5" s="59" t="s">
        <v>31</v>
      </c>
      <c r="L5" s="59" t="s">
        <v>32</v>
      </c>
      <c r="M5" s="59" t="s">
        <v>33</v>
      </c>
      <c r="N5" s="65" t="s">
        <v>34</v>
      </c>
      <c r="O5" s="100" t="s">
        <v>35</v>
      </c>
      <c r="P5" s="100"/>
      <c r="Q5" s="100"/>
      <c r="R5" s="100"/>
      <c r="S5" s="100"/>
      <c r="T5" s="100"/>
      <c r="U5" s="100"/>
      <c r="V5" s="100"/>
    </row>
    <row r="6" spans="1:22" ht="33.950000000000003" customHeight="1">
      <c r="A6" s="75">
        <v>1</v>
      </c>
      <c r="B6" s="74" t="s">
        <v>2035</v>
      </c>
      <c r="C6" s="74"/>
      <c r="D6" s="74"/>
      <c r="E6" s="74"/>
      <c r="F6" s="76">
        <v>1</v>
      </c>
      <c r="G6" s="76" t="str">
        <f>IF(AND(C6="",D6=""),"",IF(OR(C6="",D6=""),"ЗАПОЛНИ ПАРУ",IF(COUNTIFS(ТЕХ_Списки!$A$2:$A$71,C6,ТЕХ_Списки!$B$2:$B$71,D6)&lt;&gt;1,"НЕВЕРНАЯ ПАРА",IF(E6="","РОЛЬ НЕ НАЙДЕНА",IF(AND($R$2&lt;&gt;"Без ограничений",OR(SUMIF(ТЕХ_Расчет!$A$2:$A$26,C6&amp;"§"&amp;D6,ТЕХ_Расчет!$B$2:$B$26)&gt;$T$2,SUMIF($C$6:$C$30,C6,$H$6:$H$30)&gt;$V$2)),"ПРЕВЫШЕН ЛИМИТ","OK")))))</f>
        <v/>
      </c>
      <c r="H6" s="75">
        <f t="shared" ref="H6:H30" si="0">IF(OR(C6="",D6=""),0,IF(F6="",1,F6))</f>
        <v>0</v>
      </c>
      <c r="I6" s="66" t="s">
        <v>36</v>
      </c>
      <c r="J6" s="67" t="s">
        <v>37</v>
      </c>
      <c r="K6" s="68">
        <f>ТЕХ_Расчет!D$43</f>
        <v>0</v>
      </c>
      <c r="L6" s="68" t="str">
        <f t="shared" ref="L6:L50" si="1">IF(K6=0,"НЕ ХВАТАЕТ",IF(K6=1,"ЕСТЬ","ЕСТЬ ЗАПАС"))</f>
        <v>НЕ ХВАТАЕТ</v>
      </c>
      <c r="M6" s="68" t="str">
        <f>'СПРАВОЧНИК ЭФФЕКТОВ'!C4</f>
        <v>Критично</v>
      </c>
      <c r="N6" s="69">
        <f t="shared" ref="N6:N50" si="2">IF(M6="Критично",3,IF(M6="Важно",2,IF(M6="Опционально",1,0)))</f>
        <v>3</v>
      </c>
      <c r="O6" s="101" t="str">
        <f ca="1">IF($E$3&gt;=$R$3,"СОСТАВ ЗАПОЛНЕН",IFERROR(INDEX(ТЕХ_Подсказки!$A$2:$V$71,$N$54,1)&amp;" — "&amp;INDEX(ТЕХ_Подсказки!$A$2:$V$71,$N$54,2)&amp;" ("&amp;INDEX(ТЕХ_Подсказки!$A$2:$V$71,$N$54,3)&amp;")","НЕТ ДОСТУПНОЙ РЕКОМЕНДАЦИИ"))</f>
        <v>Felsworn — Tyrant (Танк)</v>
      </c>
      <c r="P6" s="101"/>
      <c r="Q6" s="101"/>
      <c r="R6" s="101"/>
      <c r="S6" s="101"/>
      <c r="T6" s="101"/>
      <c r="U6" s="101"/>
      <c r="V6" s="101"/>
    </row>
    <row r="7" spans="1:22" ht="20.100000000000001" customHeight="1">
      <c r="A7" s="75">
        <v>2</v>
      </c>
      <c r="B7" s="74"/>
      <c r="C7" s="74"/>
      <c r="D7" s="74"/>
      <c r="E7" s="74"/>
      <c r="F7" s="76">
        <v>1</v>
      </c>
      <c r="G7" s="76" t="str">
        <f>IF(AND(C7="",D7=""),"",IF(OR(C7="",D7=""),"ЗАПОЛНИ ПАРУ",IF(COUNTIFS(ТЕХ_Списки!$A$2:$A$71,C7,ТЕХ_Списки!$B$2:$B$71,D7)&lt;&gt;1,"НЕВЕРНАЯ ПАРА",IF(E7="","РОЛЬ НЕ НАЙДЕНА",IF(AND($R$2&lt;&gt;"Без ограничений",OR(SUMIF(ТЕХ_Расчет!$A$2:$A$26,C7&amp;"§"&amp;D7,ТЕХ_Расчет!$B$2:$B$26)&gt;$T$2,SUMIF($C$6:$C$30,C7,$H$6:$H$30)&gt;$V$2)),"ПРЕВЫШЕН ЛИМИТ","OK")))))</f>
        <v/>
      </c>
      <c r="H7" s="75">
        <f t="shared" si="0"/>
        <v>0</v>
      </c>
      <c r="I7" s="66" t="s">
        <v>36</v>
      </c>
      <c r="J7" s="67" t="s">
        <v>38</v>
      </c>
      <c r="K7" s="68">
        <f>ТЕХ_Расчет!E$43</f>
        <v>0</v>
      </c>
      <c r="L7" s="68" t="str">
        <f t="shared" si="1"/>
        <v>НЕ ХВАТАЕТ</v>
      </c>
      <c r="M7" s="68" t="str">
        <f>'СПРАВОЧНИК ЭФФЕКТОВ'!C5</f>
        <v>Важно</v>
      </c>
      <c r="N7" s="69">
        <f t="shared" si="2"/>
        <v>2</v>
      </c>
      <c r="O7" s="70" t="s">
        <v>39</v>
      </c>
      <c r="P7" s="72">
        <f ca="1">IFERROR(INDEX(ТЕХ_Подсказки!$A$2:$V$71,$N$54,13),"")</f>
        <v>0</v>
      </c>
      <c r="Q7" s="70" t="s">
        <v>40</v>
      </c>
      <c r="R7" s="72">
        <f ca="1">IFERROR(INDEX(ТЕХ_Подсказки!$A$2:$V$71,$N$54,14),"")</f>
        <v>0</v>
      </c>
      <c r="S7" s="70" t="s">
        <v>41</v>
      </c>
      <c r="T7" s="72">
        <f ca="1">IFERROR(INDEX(ТЕХ_Подсказки!$A$2:$V$71,$N$54,9),"")</f>
        <v>88.24</v>
      </c>
      <c r="U7" s="72">
        <f ca="1">IFERROR(INDEX(ТЕХ_Подсказки!$A$2:$V$71,$N$54,19),"")</f>
        <v>158.24</v>
      </c>
      <c r="V7" s="72" t="str">
        <f ca="1">IFERROR(INDEX(ТЕХ_Подсказки!$A$2:$V$71,$N$54,3),"")</f>
        <v>Танк</v>
      </c>
    </row>
    <row r="8" spans="1:22" ht="62.1" customHeight="1">
      <c r="A8" s="75">
        <v>3</v>
      </c>
      <c r="B8" s="74"/>
      <c r="C8" s="74"/>
      <c r="D8" s="74"/>
      <c r="E8" s="74"/>
      <c r="F8" s="76">
        <v>1</v>
      </c>
      <c r="G8" s="76" t="str">
        <f>IF(AND(C8="",D8=""),"",IF(OR(C8="",D8=""),"ЗАПОЛНИ ПАРУ",IF(COUNTIFS(ТЕХ_Списки!$A$2:$A$71,C8,ТЕХ_Списки!$B$2:$B$71,D8)&lt;&gt;1,"НЕВЕРНАЯ ПАРА",IF(E8="","РОЛЬ НЕ НАЙДЕНА",IF(AND($R$2&lt;&gt;"Без ограничений",OR(SUMIF(ТЕХ_Расчет!$A$2:$A$26,C8&amp;"§"&amp;D8,ТЕХ_Расчет!$B$2:$B$26)&gt;$T$2,SUMIF($C$6:$C$30,C8,$H$6:$H$30)&gt;$V$2)),"ПРЕВЫШЕН ЛИМИТ","OK")))))</f>
        <v/>
      </c>
      <c r="H8" s="75">
        <f t="shared" si="0"/>
        <v>0</v>
      </c>
      <c r="I8" s="66" t="s">
        <v>36</v>
      </c>
      <c r="J8" s="67" t="s">
        <v>42</v>
      </c>
      <c r="K8" s="68">
        <f>ТЕХ_Расчет!F$43</f>
        <v>0</v>
      </c>
      <c r="L8" s="68" t="str">
        <f t="shared" si="1"/>
        <v>НЕ ХВАТАЕТ</v>
      </c>
      <c r="M8" s="68" t="str">
        <f>'СПРАВОЧНИК ЭФФЕКТОВ'!C6</f>
        <v>Важно</v>
      </c>
      <c r="N8" s="69">
        <f t="shared" si="2"/>
        <v>2</v>
      </c>
      <c r="O8" s="102" t="str">
        <f ca="1">IF($E$3&gt;=$R$3,"Все 25 слотов заполнены.",IFERROR(INDEX(ТЕХ_Подсказки!$A$2:$V$71,$N$54,22),"Рекомендация не рассчитана."))</f>
        <v>Критичные и важные эффекты закрыты — выбор по роли и логам: DTPS 215, 88/100.</v>
      </c>
      <c r="P8" s="102"/>
      <c r="Q8" s="102"/>
      <c r="R8" s="102"/>
      <c r="S8" s="102"/>
      <c r="T8" s="102"/>
      <c r="U8" s="102"/>
      <c r="V8" s="102"/>
    </row>
    <row r="9" spans="1:22" ht="20.100000000000001" customHeight="1">
      <c r="A9" s="75">
        <v>4</v>
      </c>
      <c r="B9" s="74"/>
      <c r="C9" s="74"/>
      <c r="D9" s="74"/>
      <c r="E9" s="74"/>
      <c r="F9" s="76">
        <v>1</v>
      </c>
      <c r="G9" s="76" t="str">
        <f>IF(AND(C9="",D9=""),"",IF(OR(C9="",D9=""),"ЗАПОЛНИ ПАРУ",IF(COUNTIFS(ТЕХ_Списки!$A$2:$A$71,C9,ТЕХ_Списки!$B$2:$B$71,D9)&lt;&gt;1,"НЕВЕРНАЯ ПАРА",IF(E9="","РОЛЬ НЕ НАЙДЕНА",IF(AND($R$2&lt;&gt;"Без ограничений",OR(SUMIF(ТЕХ_Расчет!$A$2:$A$26,C9&amp;"§"&amp;D9,ТЕХ_Расчет!$B$2:$B$26)&gt;$T$2,SUMIF($C$6:$C$30,C9,$H$6:$H$30)&gt;$V$2)),"ПРЕВЫШЕН ЛИМИТ","OK")))))</f>
        <v/>
      </c>
      <c r="H9" s="75">
        <f t="shared" si="0"/>
        <v>0</v>
      </c>
      <c r="I9" s="66" t="s">
        <v>36</v>
      </c>
      <c r="J9" s="67" t="s">
        <v>43</v>
      </c>
      <c r="K9" s="68">
        <f>ТЕХ_Расчет!G$43</f>
        <v>0</v>
      </c>
      <c r="L9" s="68" t="str">
        <f t="shared" si="1"/>
        <v>НЕ ХВАТАЕТ</v>
      </c>
      <c r="M9" s="68" t="str">
        <f>'СПРАВОЧНИК ЭФФЕКТОВ'!C7</f>
        <v>Важно</v>
      </c>
      <c r="N9" s="69">
        <f t="shared" si="2"/>
        <v>2</v>
      </c>
      <c r="O9" s="103"/>
      <c r="P9" s="103"/>
      <c r="Q9" s="103"/>
      <c r="R9" s="103"/>
      <c r="S9" s="103"/>
      <c r="T9" s="103"/>
      <c r="U9" s="103"/>
      <c r="V9" s="103"/>
    </row>
    <row r="10" spans="1:22" ht="20.100000000000001" customHeight="1">
      <c r="A10" s="75">
        <v>5</v>
      </c>
      <c r="B10" s="74"/>
      <c r="C10" s="74"/>
      <c r="D10" s="74"/>
      <c r="E10" s="74"/>
      <c r="F10" s="76">
        <v>1</v>
      </c>
      <c r="G10" s="76" t="str">
        <f>IF(AND(C10="",D10=""),"",IF(OR(C10="",D10=""),"ЗАПОЛНИ ПАРУ",IF(COUNTIFS(ТЕХ_Списки!$A$2:$A$71,C10,ТЕХ_Списки!$B$2:$B$71,D10)&lt;&gt;1,"НЕВЕРНАЯ ПАРА",IF(E10="","РОЛЬ НЕ НАЙДЕНА",IF(AND($R$2&lt;&gt;"Без ограничений",OR(SUMIF(ТЕХ_Расчет!$A$2:$A$26,C10&amp;"§"&amp;D10,ТЕХ_Расчет!$B$2:$B$26)&gt;$T$2,SUMIF($C$6:$C$30,C10,$H$6:$H$30)&gt;$V$2)),"ПРЕВЫШЕН ЛИМИТ","OK")))))</f>
        <v/>
      </c>
      <c r="H10" s="75">
        <f t="shared" si="0"/>
        <v>0</v>
      </c>
      <c r="I10" s="66" t="s">
        <v>36</v>
      </c>
      <c r="J10" s="67" t="s">
        <v>44</v>
      </c>
      <c r="K10" s="68">
        <f>ТЕХ_Расчет!H$43</f>
        <v>0</v>
      </c>
      <c r="L10" s="68" t="str">
        <f t="shared" si="1"/>
        <v>НЕ ХВАТАЕТ</v>
      </c>
      <c r="M10" s="68" t="str">
        <f>'СПРАВОЧНИК ЭФФЕКТОВ'!C8</f>
        <v>Важно</v>
      </c>
      <c r="N10" s="69">
        <f t="shared" si="2"/>
        <v>2</v>
      </c>
      <c r="O10" s="103"/>
      <c r="P10" s="103"/>
      <c r="Q10" s="103"/>
      <c r="R10" s="103"/>
      <c r="S10" s="103"/>
      <c r="T10" s="103"/>
      <c r="U10" s="103"/>
      <c r="V10" s="103"/>
    </row>
    <row r="11" spans="1:22" ht="20.100000000000001" customHeight="1">
      <c r="A11" s="75">
        <v>6</v>
      </c>
      <c r="B11" s="74"/>
      <c r="C11" s="74"/>
      <c r="D11" s="74"/>
      <c r="E11" s="74"/>
      <c r="F11" s="76">
        <v>1</v>
      </c>
      <c r="G11" s="76" t="str">
        <f>IF(AND(C11="",D11=""),"",IF(OR(C11="",D11=""),"ЗАПОЛНИ ПАРУ",IF(COUNTIFS(ТЕХ_Списки!$A$2:$A$71,C11,ТЕХ_Списки!$B$2:$B$71,D11)&lt;&gt;1,"НЕВЕРНАЯ ПАРА",IF(E11="","РОЛЬ НЕ НАЙДЕНА",IF(AND($R$2&lt;&gt;"Без ограничений",OR(SUMIF(ТЕХ_Расчет!$A$2:$A$26,C11&amp;"§"&amp;D11,ТЕХ_Расчет!$B$2:$B$26)&gt;$T$2,SUMIF($C$6:$C$30,C11,$H$6:$H$30)&gt;$V$2)),"ПРЕВЫШЕН ЛИМИТ","OK")))))</f>
        <v/>
      </c>
      <c r="H11" s="75">
        <f t="shared" si="0"/>
        <v>0</v>
      </c>
      <c r="I11" s="66" t="s">
        <v>36</v>
      </c>
      <c r="J11" s="67" t="s">
        <v>45</v>
      </c>
      <c r="K11" s="68">
        <f>ТЕХ_Расчет!I$43</f>
        <v>0</v>
      </c>
      <c r="L11" s="68" t="str">
        <f t="shared" si="1"/>
        <v>НЕ ХВАТАЕТ</v>
      </c>
      <c r="M11" s="68" t="str">
        <f>'СПРАВОЧНИК ЭФФЕКТОВ'!C9</f>
        <v>Важно</v>
      </c>
      <c r="N11" s="69">
        <f t="shared" si="2"/>
        <v>2</v>
      </c>
      <c r="O11" s="104" t="str">
        <f ca="1">IF(COUNT(ТЕХ_Подсказки!$T$2:$T$71)&gt;0,"Расчёт активен. Профиль: "&amp;P2&amp;"; уникальность: "&amp;R2&amp;"; лимиты: "&amp;T2&amp;" спека / "&amp;V2&amp;" класса.","Нет рассчитанных вариантов. В Excel включите автоматический пересчёт формул.")</f>
        <v>Расчёт активен. Профиль: Безопасность; уникальность: Умеренно; лимиты: 5 спека / 3 класса.</v>
      </c>
      <c r="P11" s="104"/>
      <c r="Q11" s="104"/>
      <c r="R11" s="104"/>
      <c r="S11" s="104"/>
      <c r="T11" s="104"/>
      <c r="U11" s="104"/>
      <c r="V11" s="104"/>
    </row>
    <row r="12" spans="1:22" ht="20.100000000000001" customHeight="1">
      <c r="A12" s="75">
        <v>7</v>
      </c>
      <c r="B12" s="74"/>
      <c r="C12" s="74"/>
      <c r="D12" s="74"/>
      <c r="E12" s="74"/>
      <c r="F12" s="76">
        <v>1</v>
      </c>
      <c r="G12" s="76" t="str">
        <f>IF(AND(C12="",D12=""),"",IF(OR(C12="",D12=""),"ЗАПОЛНИ ПАРУ",IF(COUNTIFS(ТЕХ_Списки!$A$2:$A$71,C12,ТЕХ_Списки!$B$2:$B$71,D12)&lt;&gt;1,"НЕВЕРНАЯ ПАРА",IF(E12="","РОЛЬ НЕ НАЙДЕНА",IF(AND($R$2&lt;&gt;"Без ограничений",OR(SUMIF(ТЕХ_Расчет!$A$2:$A$26,C12&amp;"§"&amp;D12,ТЕХ_Расчет!$B$2:$B$26)&gt;$T$2,SUMIF($C$6:$C$30,C12,$H$6:$H$30)&gt;$V$2)),"ПРЕВЫШЕН ЛИМИТ","OK")))))</f>
        <v/>
      </c>
      <c r="H12" s="75">
        <f t="shared" si="0"/>
        <v>0</v>
      </c>
      <c r="I12" s="66" t="s">
        <v>36</v>
      </c>
      <c r="J12" s="67" t="s">
        <v>46</v>
      </c>
      <c r="K12" s="68">
        <f>ТЕХ_Расчет!J$43</f>
        <v>0</v>
      </c>
      <c r="L12" s="68" t="str">
        <f t="shared" si="1"/>
        <v>НЕ ХВАТАЕТ</v>
      </c>
      <c r="M12" s="68" t="str">
        <f>'СПРАВОЧНИК ЭФФЕКТОВ'!C10</f>
        <v>Критично</v>
      </c>
      <c r="N12" s="69">
        <f t="shared" si="2"/>
        <v>3</v>
      </c>
      <c r="O12" s="83"/>
      <c r="P12" s="83"/>
      <c r="Q12" s="83"/>
      <c r="R12" s="83"/>
      <c r="S12" s="83"/>
      <c r="T12" s="83"/>
      <c r="U12" s="83"/>
      <c r="V12" s="83"/>
    </row>
    <row r="13" spans="1:22" ht="20.100000000000001" customHeight="1">
      <c r="A13" s="75">
        <v>8</v>
      </c>
      <c r="B13" s="74"/>
      <c r="C13" s="74"/>
      <c r="D13" s="74"/>
      <c r="E13" s="74"/>
      <c r="F13" s="76">
        <v>1</v>
      </c>
      <c r="G13" s="76" t="str">
        <f>IF(AND(C13="",D13=""),"",IF(OR(C13="",D13=""),"ЗАПОЛНИ ПАРУ",IF(COUNTIFS(ТЕХ_Списки!$A$2:$A$71,C13,ТЕХ_Списки!$B$2:$B$71,D13)&lt;&gt;1,"НЕВЕРНАЯ ПАРА",IF(E13="","РОЛЬ НЕ НАЙДЕНА",IF(AND($R$2&lt;&gt;"Без ограничений",OR(SUMIF(ТЕХ_Расчет!$A$2:$A$26,C13&amp;"§"&amp;D13,ТЕХ_Расчет!$B$2:$B$26)&gt;$T$2,SUMIF($C$6:$C$30,C13,$H$6:$H$30)&gt;$V$2)),"ПРЕВЫШЕН ЛИМИТ","OK")))))</f>
        <v/>
      </c>
      <c r="H13" s="75">
        <f t="shared" si="0"/>
        <v>0</v>
      </c>
      <c r="I13" s="66" t="s">
        <v>36</v>
      </c>
      <c r="J13" s="67" t="s">
        <v>47</v>
      </c>
      <c r="K13" s="68">
        <f>ТЕХ_Расчет!K$43</f>
        <v>0</v>
      </c>
      <c r="L13" s="68" t="str">
        <f t="shared" si="1"/>
        <v>НЕ ХВАТАЕТ</v>
      </c>
      <c r="M13" s="68" t="str">
        <f>'СПРАВОЧНИК ЭФФЕКТОВ'!C11</f>
        <v>Критично</v>
      </c>
      <c r="N13" s="69">
        <f t="shared" si="2"/>
        <v>3</v>
      </c>
      <c r="O13" s="99" t="s">
        <v>48</v>
      </c>
      <c r="P13" s="99"/>
      <c r="Q13" s="99"/>
      <c r="R13" s="99"/>
      <c r="S13" s="99"/>
      <c r="T13" s="99"/>
      <c r="U13" s="99"/>
      <c r="V13" s="99"/>
    </row>
    <row r="14" spans="1:22" ht="20.100000000000001" customHeight="1">
      <c r="A14" s="75">
        <v>9</v>
      </c>
      <c r="B14" s="74"/>
      <c r="C14" s="74"/>
      <c r="D14" s="74"/>
      <c r="E14" s="74"/>
      <c r="F14" s="76">
        <v>1</v>
      </c>
      <c r="G14" s="76" t="str">
        <f>IF(AND(C14="",D14=""),"",IF(OR(C14="",D14=""),"ЗАПОЛНИ ПАРУ",IF(COUNTIFS(ТЕХ_Списки!$A$2:$A$71,C14,ТЕХ_Списки!$B$2:$B$71,D14)&lt;&gt;1,"НЕВЕРНАЯ ПАРА",IF(E14="","РОЛЬ НЕ НАЙДЕНА",IF(AND($R$2&lt;&gt;"Без ограничений",OR(SUMIF(ТЕХ_Расчет!$A$2:$A$26,C14&amp;"§"&amp;D14,ТЕХ_Расчет!$B$2:$B$26)&gt;$T$2,SUMIF($C$6:$C$30,C14,$H$6:$H$30)&gt;$V$2)),"ПРЕВЫШЕН ЛИМИТ","OK")))))</f>
        <v/>
      </c>
      <c r="H14" s="75">
        <f t="shared" si="0"/>
        <v>0</v>
      </c>
      <c r="I14" s="66" t="s">
        <v>49</v>
      </c>
      <c r="J14" s="67" t="s">
        <v>50</v>
      </c>
      <c r="K14" s="68">
        <f>ТЕХ_Расчет!L$43</f>
        <v>0</v>
      </c>
      <c r="L14" s="68" t="str">
        <f t="shared" si="1"/>
        <v>НЕ ХВАТАЕТ</v>
      </c>
      <c r="M14" s="68" t="str">
        <f>'СПРАВОЧНИК ЭФФЕКТОВ'!C12</f>
        <v>Важно</v>
      </c>
      <c r="N14" s="69">
        <f t="shared" si="2"/>
        <v>2</v>
      </c>
      <c r="O14" s="73" t="s">
        <v>51</v>
      </c>
      <c r="P14" s="105" t="s">
        <v>30</v>
      </c>
      <c r="Q14" s="105"/>
      <c r="R14" s="105"/>
      <c r="S14" s="105" t="s">
        <v>52</v>
      </c>
      <c r="T14" s="105"/>
      <c r="U14" s="105"/>
      <c r="V14" s="105"/>
    </row>
    <row r="15" spans="1:22" ht="29.1" customHeight="1">
      <c r="A15" s="75">
        <v>10</v>
      </c>
      <c r="B15" s="74"/>
      <c r="C15" s="74"/>
      <c r="D15" s="74"/>
      <c r="E15" s="74"/>
      <c r="F15" s="76"/>
      <c r="G15" s="76" t="str">
        <f>IF(AND(C15="",D15=""),"",IF(OR(C15="",D15=""),"ЗАПОЛНИ ПАРУ",IF(COUNTIFS(ТЕХ_Списки!$A$2:$A$71,C15,ТЕХ_Списки!$B$2:$B$71,D15)&lt;&gt;1,"НЕВЕРНАЯ ПАРА",IF(E15="","РОЛЬ НЕ НАЙДЕНА",IF(AND($R$2&lt;&gt;"Без ограничений",OR(SUMIF(ТЕХ_Расчет!$A$2:$A$26,C15&amp;"§"&amp;D15,ТЕХ_Расчет!$B$2:$B$26)&gt;$T$2,SUMIF($C$6:$C$30,C15,$H$6:$H$30)&gt;$V$2)),"ПРЕВЫШЕН ЛИМИТ","OK")))))</f>
        <v/>
      </c>
      <c r="H15" s="75">
        <f t="shared" si="0"/>
        <v>0</v>
      </c>
      <c r="I15" s="66" t="s">
        <v>49</v>
      </c>
      <c r="J15" s="67" t="s">
        <v>53</v>
      </c>
      <c r="K15" s="68">
        <f>ТЕХ_Расчет!M$43</f>
        <v>0</v>
      </c>
      <c r="L15" s="68" t="str">
        <f t="shared" si="1"/>
        <v>НЕ ХВАТАЕТ</v>
      </c>
      <c r="M15" s="68" t="str">
        <f>'СПРАВОЧНИК ЭФФЕКТОВ'!C13</f>
        <v>Важно</v>
      </c>
      <c r="N15" s="69">
        <f t="shared" si="2"/>
        <v>2</v>
      </c>
      <c r="O15" s="78" t="str">
        <f>IFERROR(INDEX(ТЕХ_Подсказки!$BU$2:$BU$46,MATCH(LARGE(ТЕХ_Подсказки!$BX$2:$BX$46,1),ТЕХ_Подсказки!$BX$2:$BX$46,0)),"")</f>
        <v>Критично</v>
      </c>
      <c r="P15" s="106" t="str">
        <f>IFERROR(INDEX(ТЕХ_Подсказки!$BT$2:$BT$46,MATCH(LARGE(ТЕХ_Подсказки!$BX$2:$BX$46,1),ТЕХ_Подсказки!$BX$2:$BX$46,0)),"")</f>
        <v>Defensive Cooldown (Raid-Wide)</v>
      </c>
      <c r="Q15" s="106"/>
      <c r="R15" s="106"/>
      <c r="S15" s="106" t="str">
        <f>IFERROR(INDEX(ТЕХ_Подсказки!$BW$2:$BW$46,MATCH(LARGE(ТЕХ_Подсказки!$BX$2:$BX$46,1),ТЕХ_Подсказки!$BX$2:$BX$46,0)),"")</f>
        <v>Felsworn — Tyrant; Sun Cleric — Seraphim; Templar — Oathkeeper; Witch Hunter — Black Knight</v>
      </c>
      <c r="T15" s="106"/>
      <c r="U15" s="106"/>
      <c r="V15" s="106"/>
    </row>
    <row r="16" spans="1:22" ht="29.1" customHeight="1">
      <c r="A16" s="75">
        <v>11</v>
      </c>
      <c r="B16" s="74"/>
      <c r="C16" s="74"/>
      <c r="D16" s="74"/>
      <c r="E16" s="74" t="str">
        <f>IF(OR(C16="",D16=""),"",IFERROR(INDEX(ТЕХ_Списки!$C$2:$C$71,MATCH(C16&amp;"§"&amp;D16,ТЕХ_Списки!$D$2:$D$71,0)),""))</f>
        <v/>
      </c>
      <c r="F16" s="76"/>
      <c r="G16" s="76" t="str">
        <f>IF(AND(C16="",D16=""),"",IF(OR(C16="",D16=""),"ЗАПОЛНИ ПАРУ",IF(COUNTIFS(ТЕХ_Списки!$A$2:$A$71,C16,ТЕХ_Списки!$B$2:$B$71,D16)&lt;&gt;1,"НЕВЕРНАЯ ПАРА",IF(E16="","РОЛЬ НЕ НАЙДЕНА",IF(AND($R$2&lt;&gt;"Без ограничений",OR(SUMIF(ТЕХ_Расчет!$A$2:$A$26,C16&amp;"§"&amp;D16,ТЕХ_Расчет!$B$2:$B$26)&gt;$T$2,SUMIF($C$6:$C$30,C16,$H$6:$H$30)&gt;$V$2)),"ПРЕВЫШЕН ЛИМИТ","OK")))))</f>
        <v/>
      </c>
      <c r="H16" s="75">
        <f t="shared" si="0"/>
        <v>0</v>
      </c>
      <c r="I16" s="66" t="s">
        <v>49</v>
      </c>
      <c r="J16" s="67" t="s">
        <v>54</v>
      </c>
      <c r="K16" s="68">
        <f>ТЕХ_Расчет!N$43</f>
        <v>0</v>
      </c>
      <c r="L16" s="68" t="str">
        <f t="shared" si="1"/>
        <v>НЕ ХВАТАЕТ</v>
      </c>
      <c r="M16" s="68" t="str">
        <f>'СПРАВОЧНИК ЭФФЕКТОВ'!C14</f>
        <v>Важно</v>
      </c>
      <c r="N16" s="69">
        <f t="shared" si="2"/>
        <v>2</v>
      </c>
      <c r="O16" s="78" t="str">
        <f>IFERROR(INDEX(ТЕХ_Подсказки!$BU$2:$BU$46,MATCH(LARGE(ТЕХ_Подсказки!$BX$2:$BX$46,2),ТЕХ_Подсказки!$BX$2:$BX$46,0)),"")</f>
        <v>Критично</v>
      </c>
      <c r="P16" s="106" t="str">
        <f>IFERROR(INDEX(ТЕХ_Подсказки!$BT$2:$BT$46,MATCH(LARGE(ТЕХ_Подсказки!$BX$2:$BX$46,2),ТЕХ_Подсказки!$BX$2:$BX$46,0)),"")</f>
        <v>Heroism | Bloodlust</v>
      </c>
      <c r="Q16" s="106"/>
      <c r="R16" s="106"/>
      <c r="S16" s="106" t="str">
        <f>IFERROR(INDEX(ТЕХ_Подсказки!$BW$2:$BW$46,MATCH(LARGE(ТЕХ_Подсказки!$BX$2:$BX$46,2),ТЕХ_Подсказки!$BX$2:$BX$46,0)),"")</f>
        <v>Barbarian — Ancestry; Bloodmage — Fleshweaver; Guardian — Inspiration; Primalist — Grovekeeper; + ещё 2 классов</v>
      </c>
      <c r="T16" s="106"/>
      <c r="U16" s="106"/>
      <c r="V16" s="106"/>
    </row>
    <row r="17" spans="1:22" ht="29.1" customHeight="1">
      <c r="A17" s="75">
        <v>12</v>
      </c>
      <c r="B17" s="74"/>
      <c r="C17" s="74"/>
      <c r="D17" s="74"/>
      <c r="E17" s="74" t="str">
        <f>IF(OR(C17="",D17=""),"",IFERROR(INDEX(ТЕХ_Списки!$C$2:$C$71,MATCH(C17&amp;"§"&amp;D17,ТЕХ_Списки!$D$2:$D$71,0)),""))</f>
        <v/>
      </c>
      <c r="F17" s="76"/>
      <c r="G17" s="76" t="str">
        <f>IF(AND(C17="",D17=""),"",IF(OR(C17="",D17=""),"ЗАПОЛНИ ПАРУ",IF(COUNTIFS(ТЕХ_Списки!$A$2:$A$71,C17,ТЕХ_Списки!$B$2:$B$71,D17)&lt;&gt;1,"НЕВЕРНАЯ ПАРА",IF(E17="","РОЛЬ НЕ НАЙДЕНА",IF(AND($R$2&lt;&gt;"Без ограничений",OR(SUMIF(ТЕХ_Расчет!$A$2:$A$26,C17&amp;"§"&amp;D17,ТЕХ_Расчет!$B$2:$B$26)&gt;$T$2,SUMIF($C$6:$C$30,C17,$H$6:$H$30)&gt;$V$2)),"ПРЕВЫШЕН ЛИМИТ","OK")))))</f>
        <v/>
      </c>
      <c r="H17" s="75">
        <f t="shared" si="0"/>
        <v>0</v>
      </c>
      <c r="I17" s="66" t="s">
        <v>49</v>
      </c>
      <c r="J17" s="67" t="s">
        <v>55</v>
      </c>
      <c r="K17" s="68">
        <f>ТЕХ_Расчет!O$43</f>
        <v>0</v>
      </c>
      <c r="L17" s="68" t="str">
        <f t="shared" si="1"/>
        <v>НЕ ХВАТАЕТ</v>
      </c>
      <c r="M17" s="68" t="str">
        <f>'СПРАВОЧНИК ЭФФЕКТОВ'!C15</f>
        <v>Критично</v>
      </c>
      <c r="N17" s="69">
        <f t="shared" si="2"/>
        <v>3</v>
      </c>
      <c r="O17" s="78" t="str">
        <f>IFERROR(INDEX(ТЕХ_Подсказки!$BU$2:$BU$46,MATCH(LARGE(ТЕХ_Подсказки!$BX$2:$BX$46,3),ТЕХ_Подсказки!$BX$2:$BX$46,0)),"")</f>
        <v>Критично</v>
      </c>
      <c r="P17" s="106" t="str">
        <f>IFERROR(INDEX(ТЕХ_Подсказки!$BT$2:$BT$46,MATCH(LARGE(ТЕХ_Подсказки!$BX$2:$BX$46,3),ТЕХ_Подсказки!$BX$2:$BX$46,0)),"")</f>
        <v>Armor</v>
      </c>
      <c r="Q17" s="106"/>
      <c r="R17" s="106"/>
      <c r="S17" s="106" t="str">
        <f>IFERROR(INDEX(ТЕХ_Подсказки!$BW$2:$BW$46,MATCH(LARGE(ТЕХ_Подсказки!$BX$2:$BX$46,3),ТЕХ_Подсказки!$BX$2:$BX$46,0)),"")</f>
        <v>Barbarian — Ancestry; Bloodmage — Fleshweaver; Felsworn — Slaying; Guardian — Inspiration; + ещё 3 классов</v>
      </c>
      <c r="T17" s="106"/>
      <c r="U17" s="106"/>
      <c r="V17" s="106"/>
    </row>
    <row r="18" spans="1:22" ht="29.1" customHeight="1">
      <c r="A18" s="75">
        <v>13</v>
      </c>
      <c r="B18" s="74"/>
      <c r="C18" s="74"/>
      <c r="D18" s="74"/>
      <c r="E18" s="74" t="str">
        <f>IF(OR(C18="",D18=""),"",IFERROR(INDEX(ТЕХ_Списки!$C$2:$C$71,MATCH(C18&amp;"§"&amp;D18,ТЕХ_Списки!$D$2:$D$71,0)),""))</f>
        <v/>
      </c>
      <c r="F18" s="76"/>
      <c r="G18" s="76" t="str">
        <f>IF(AND(C18="",D18=""),"",IF(OR(C18="",D18=""),"ЗАПОЛНИ ПАРУ",IF(COUNTIFS(ТЕХ_Списки!$A$2:$A$71,C18,ТЕХ_Списки!$B$2:$B$71,D18)&lt;&gt;1,"НЕВЕРНАЯ ПАРА",IF(E18="","РОЛЬ НЕ НАЙДЕНА",IF(AND($R$2&lt;&gt;"Без ограничений",OR(SUMIF(ТЕХ_Расчет!$A$2:$A$26,C18&amp;"§"&amp;D18,ТЕХ_Расчет!$B$2:$B$26)&gt;$T$2,SUMIF($C$6:$C$30,C18,$H$6:$H$30)&gt;$V$2)),"ПРЕВЫШЕН ЛИМИТ","OK")))))</f>
        <v/>
      </c>
      <c r="H18" s="75">
        <f t="shared" si="0"/>
        <v>0</v>
      </c>
      <c r="I18" s="66" t="s">
        <v>49</v>
      </c>
      <c r="J18" s="67" t="s">
        <v>56</v>
      </c>
      <c r="K18" s="68">
        <f>ТЕХ_Расчет!P$43</f>
        <v>0</v>
      </c>
      <c r="L18" s="68" t="str">
        <f t="shared" si="1"/>
        <v>НЕ ХВАТАЕТ</v>
      </c>
      <c r="M18" s="68" t="str">
        <f>'СПРАВОЧНИК ЭФФЕКТОВ'!C16</f>
        <v>Важно</v>
      </c>
      <c r="N18" s="69">
        <f t="shared" si="2"/>
        <v>2</v>
      </c>
      <c r="O18" s="78" t="str">
        <f>IFERROR(INDEX(ТЕХ_Подсказки!$BU$2:$BU$46,MATCH(LARGE(ТЕХ_Подсказки!$BX$2:$BX$46,4),ТЕХ_Подсказки!$BX$2:$BX$46,0)),"")</f>
        <v>Критично</v>
      </c>
      <c r="P18" s="106" t="str">
        <f>IFERROR(INDEX(ТЕХ_Подсказки!$BT$2:$BT$46,MATCH(LARGE(ТЕХ_Подсказки!$BX$2:$BX$46,4),ТЕХ_Подсказки!$BX$2:$BX$46,0)),"")</f>
        <v>3% Spell Hit</v>
      </c>
      <c r="Q18" s="106"/>
      <c r="R18" s="106"/>
      <c r="S18" s="106" t="str">
        <f>IFERROR(INDEX(ТЕХ_Подсказки!$BW$2:$BW$46,MATCH(LARGE(ТЕХ_Подсказки!$BX$2:$BX$46,4),ТЕХ_Подсказки!$BX$2:$BX$46,0)),"")</f>
        <v>Chronomancer — Infinite; Cultist — Corruption; Felsworn — Infernal; Primalist — Geomancy; + ещё 3 классов</v>
      </c>
      <c r="T18" s="106"/>
      <c r="U18" s="106"/>
      <c r="V18" s="106"/>
    </row>
    <row r="19" spans="1:22" ht="29.1" customHeight="1">
      <c r="A19" s="75">
        <v>14</v>
      </c>
      <c r="B19" s="74"/>
      <c r="C19" s="74"/>
      <c r="D19" s="74"/>
      <c r="E19" s="74" t="str">
        <f>IF(OR(C19="",D19=""),"",IFERROR(INDEX(ТЕХ_Списки!$C$2:$C$71,MATCH(C19&amp;"§"&amp;D19,ТЕХ_Списки!$D$2:$D$71,0)),""))</f>
        <v/>
      </c>
      <c r="F19" s="76"/>
      <c r="G19" s="76" t="str">
        <f>IF(AND(C19="",D19=""),"",IF(OR(C19="",D19=""),"ЗАПОЛНИ ПАРУ",IF(COUNTIFS(ТЕХ_Списки!$A$2:$A$71,C19,ТЕХ_Списки!$B$2:$B$71,D19)&lt;&gt;1,"НЕВЕРНАЯ ПАРА",IF(E19="","РОЛЬ НЕ НАЙДЕНА",IF(AND($R$2&lt;&gt;"Без ограничений",OR(SUMIF(ТЕХ_Расчет!$A$2:$A$26,C19&amp;"§"&amp;D19,ТЕХ_Расчет!$B$2:$B$26)&gt;$T$2,SUMIF($C$6:$C$30,C19,$H$6:$H$30)&gt;$V$2)),"ПРЕВЫШЕН ЛИМИТ","OK")))))</f>
        <v/>
      </c>
      <c r="H19" s="75">
        <f t="shared" si="0"/>
        <v>0</v>
      </c>
      <c r="I19" s="66" t="s">
        <v>49</v>
      </c>
      <c r="J19" s="67" t="s">
        <v>57</v>
      </c>
      <c r="K19" s="68">
        <f>ТЕХ_Расчет!Q$43</f>
        <v>0</v>
      </c>
      <c r="L19" s="68" t="str">
        <f t="shared" si="1"/>
        <v>НЕ ХВАТАЕТ</v>
      </c>
      <c r="M19" s="68" t="str">
        <f>'СПРАВОЧНИК ЭФФЕКТОВ'!C17</f>
        <v>Критично</v>
      </c>
      <c r="N19" s="69">
        <f t="shared" si="2"/>
        <v>3</v>
      </c>
      <c r="O19" s="78" t="str">
        <f>IFERROR(INDEX(ТЕХ_Подсказки!$BU$2:$BU$46,MATCH(LARGE(ТЕХ_Подсказки!$BX$2:$BX$46,5),ТЕХ_Подсказки!$BX$2:$BX$46,0)),"")</f>
        <v>Критично</v>
      </c>
      <c r="P19" s="106" t="str">
        <f>IFERROR(INDEX(ТЕХ_Подсказки!$BT$2:$BT$46,MATCH(LARGE(ТЕХ_Подсказки!$BX$2:$BX$46,5),ТЕХ_Подсказки!$BX$2:$BX$46,0)),"")</f>
        <v>4% Physical Damage</v>
      </c>
      <c r="Q19" s="106"/>
      <c r="R19" s="106"/>
      <c r="S19" s="106" t="str">
        <f>IFERROR(INDEX(ТЕХ_Подсказки!$BW$2:$BW$46,MATCH(LARGE(ТЕХ_Подсказки!$BX$2:$BX$46,5),ТЕХ_Подсказки!$BX$2:$BX$46,0)),"")</f>
        <v>Barbarian — Brutality; Felsworn — Tyrant; Guardian — Gladiator; Knight of Xoroth — War; + ещё 3 классов</v>
      </c>
      <c r="T19" s="106"/>
      <c r="U19" s="106"/>
      <c r="V19" s="106"/>
    </row>
    <row r="20" spans="1:22" ht="29.1" customHeight="1">
      <c r="A20" s="75">
        <v>15</v>
      </c>
      <c r="B20" s="74"/>
      <c r="C20" s="74"/>
      <c r="D20" s="74"/>
      <c r="E20" s="74" t="str">
        <f>IF(OR(C20="",D20=""),"",IFERROR(INDEX(ТЕХ_Списки!$C$2:$C$71,MATCH(C20&amp;"§"&amp;D20,ТЕХ_Списки!$D$2:$D$71,0)),""))</f>
        <v/>
      </c>
      <c r="F20" s="76"/>
      <c r="G20" s="76" t="str">
        <f>IF(AND(C20="",D20=""),"",IF(OR(C20="",D20=""),"ЗАПОЛНИ ПАРУ",IF(COUNTIFS(ТЕХ_Списки!$A$2:$A$71,C20,ТЕХ_Списки!$B$2:$B$71,D20)&lt;&gt;1,"НЕВЕРНАЯ ПАРА",IF(E20="","РОЛЬ НЕ НАЙДЕНА",IF(AND($R$2&lt;&gt;"Без ограничений",OR(SUMIF(ТЕХ_Расчет!$A$2:$A$26,C20&amp;"§"&amp;D20,ТЕХ_Расчет!$B$2:$B$26)&gt;$T$2,SUMIF($C$6:$C$30,C20,$H$6:$H$30)&gt;$V$2)),"ПРЕВЫШЕН ЛИМИТ","OK")))))</f>
        <v/>
      </c>
      <c r="H20" s="75">
        <f t="shared" si="0"/>
        <v>0</v>
      </c>
      <c r="I20" s="66" t="s">
        <v>49</v>
      </c>
      <c r="J20" s="67" t="s">
        <v>58</v>
      </c>
      <c r="K20" s="68">
        <f>ТЕХ_Расчет!R$43</f>
        <v>0</v>
      </c>
      <c r="L20" s="68" t="str">
        <f t="shared" si="1"/>
        <v>НЕ ХВАТАЕТ</v>
      </c>
      <c r="M20" s="68" t="str">
        <f>'СПРАВОЧНИК ЭФФЕКТОВ'!C18</f>
        <v>Опционально</v>
      </c>
      <c r="N20" s="69">
        <f t="shared" si="2"/>
        <v>1</v>
      </c>
      <c r="O20" s="78" t="str">
        <f>IFERROR(INDEX(ТЕХ_Подсказки!$BU$2:$BU$46,MATCH(LARGE(ТЕХ_Подсказки!$BX$2:$BX$46,6),ТЕХ_Подсказки!$BX$2:$BX$46,0)),"")</f>
        <v>Критично</v>
      </c>
      <c r="P20" s="106" t="str">
        <f>IFERROR(INDEX(ТЕХ_Подсказки!$BT$2:$BT$46,MATCH(LARGE(ТЕХ_Подсказки!$BX$2:$BX$46,6),ТЕХ_Подсказки!$BX$2:$BX$46,0)),"")</f>
        <v>3% Damage Done (all)</v>
      </c>
      <c r="Q20" s="106"/>
      <c r="R20" s="106"/>
      <c r="S20" s="106" t="str">
        <f>IFERROR(INDEX(ТЕХ_Подсказки!$BW$2:$BW$46,MATCH(LARGE(ТЕХ_Подсказки!$BX$2:$BX$46,6),ТЕХ_Подсказки!$BX$2:$BX$46,0)),"")</f>
        <v>Chronomancer — Infinite; Felsworn — Tyrant; Knight of Xoroth — Hellfire; Necromancer — Animation; + ещё 5 классов</v>
      </c>
      <c r="T20" s="106"/>
      <c r="U20" s="106"/>
      <c r="V20" s="106"/>
    </row>
    <row r="21" spans="1:22" ht="29.1" customHeight="1">
      <c r="A21" s="75">
        <v>16</v>
      </c>
      <c r="B21" s="74"/>
      <c r="C21" s="74"/>
      <c r="D21" s="74"/>
      <c r="E21" s="74" t="str">
        <f>IF(OR(C21="",D21=""),"",IFERROR(INDEX(ТЕХ_Списки!$C$2:$C$71,MATCH(C21&amp;"§"&amp;D21,ТЕХ_Списки!$D$2:$D$71,0)),""))</f>
        <v/>
      </c>
      <c r="F21" s="76"/>
      <c r="G21" s="76" t="str">
        <f>IF(AND(C21="",D21=""),"",IF(OR(C21="",D21=""),"ЗАПОЛНИ ПАРУ",IF(COUNTIFS(ТЕХ_Списки!$A$2:$A$71,C21,ТЕХ_Списки!$B$2:$B$71,D21)&lt;&gt;1,"НЕВЕРНАЯ ПАРА",IF(E21="","РОЛЬ НЕ НАЙДЕНА",IF(AND($R$2&lt;&gt;"Без ограничений",OR(SUMIF(ТЕХ_Расчет!$A$2:$A$26,C21&amp;"§"&amp;D21,ТЕХ_Расчет!$B$2:$B$26)&gt;$T$2,SUMIF($C$6:$C$30,C21,$H$6:$H$30)&gt;$V$2)),"ПРЕВЫШЕН ЛИМИТ","OK")))))</f>
        <v/>
      </c>
      <c r="H21" s="75">
        <f t="shared" si="0"/>
        <v>0</v>
      </c>
      <c r="I21" s="66" t="s">
        <v>59</v>
      </c>
      <c r="J21" s="67" t="s">
        <v>60</v>
      </c>
      <c r="K21" s="68">
        <f>ТЕХ_Расчет!S$43</f>
        <v>0</v>
      </c>
      <c r="L21" s="68" t="str">
        <f t="shared" si="1"/>
        <v>НЕ ХВАТАЕТ</v>
      </c>
      <c r="M21" s="68" t="str">
        <f>'СПРАВОЧНИК ЭФФЕКТОВ'!C19</f>
        <v>Критично</v>
      </c>
      <c r="N21" s="69">
        <f t="shared" si="2"/>
        <v>3</v>
      </c>
      <c r="O21" s="78" t="str">
        <f>IFERROR(INDEX(ТЕХ_Подсказки!$BU$2:$BU$46,MATCH(LARGE(ТЕХ_Подсказки!$BX$2:$BX$46,7),ТЕХ_Подсказки!$BX$2:$BX$46,0)),"")</f>
        <v>Критично</v>
      </c>
      <c r="P21" s="106" t="str">
        <f>IFERROR(INDEX(ТЕХ_Подсказки!$BT$2:$BT$46,MATCH(LARGE(ТЕХ_Подсказки!$BX$2:$BX$46,7),ТЕХ_Подсказки!$BX$2:$BX$46,0)),"")</f>
        <v>5% Attack Power</v>
      </c>
      <c r="Q21" s="106"/>
      <c r="R21" s="106"/>
      <c r="S21" s="106" t="str">
        <f>IFERROR(INDEX(ТЕХ_Подсказки!$BW$2:$BW$46,MATCH(LARGE(ТЕХ_Подсказки!$BX$2:$BX$46,7),ТЕХ_Подсказки!$BX$2:$BX$46,0)),"")</f>
        <v>Bloodmage — Eternal; Guardian — Gladiator; Knight of Xoroth — Hellfire; Primalist — Wildwalker; + ещё 5 классов</v>
      </c>
      <c r="T21" s="106"/>
      <c r="U21" s="106"/>
      <c r="V21" s="106"/>
    </row>
    <row r="22" spans="1:22" ht="29.1" customHeight="1">
      <c r="A22" s="75">
        <v>17</v>
      </c>
      <c r="B22" s="74"/>
      <c r="C22" s="74"/>
      <c r="D22" s="74"/>
      <c r="E22" s="74" t="str">
        <f>IF(OR(C22="",D22=""),"",IFERROR(INDEX(ТЕХ_Списки!$C$2:$C$71,MATCH(C22&amp;"§"&amp;D22,ТЕХ_Списки!$D$2:$D$71,0)),""))</f>
        <v/>
      </c>
      <c r="F22" s="76"/>
      <c r="G22" s="76" t="str">
        <f>IF(AND(C22="",D22=""),"",IF(OR(C22="",D22=""),"ЗАПОЛНИ ПАРУ",IF(COUNTIFS(ТЕХ_Списки!$A$2:$A$71,C22,ТЕХ_Списки!$B$2:$B$71,D22)&lt;&gt;1,"НЕВЕРНАЯ ПАРА",IF(E22="","РОЛЬ НЕ НАЙДЕНА",IF(AND($R$2&lt;&gt;"Без ограничений",OR(SUMIF(ТЕХ_Расчет!$A$2:$A$26,C22&amp;"§"&amp;D22,ТЕХ_Расчет!$B$2:$B$26)&gt;$T$2,SUMIF($C$6:$C$30,C22,$H$6:$H$30)&gt;$V$2)),"ПРЕВЫШЕН ЛИМИТ","OK")))))</f>
        <v/>
      </c>
      <c r="H22" s="75">
        <f t="shared" si="0"/>
        <v>0</v>
      </c>
      <c r="I22" s="66" t="s">
        <v>59</v>
      </c>
      <c r="J22" s="67" t="s">
        <v>61</v>
      </c>
      <c r="K22" s="68">
        <f>ТЕХ_Расчет!T$43</f>
        <v>0</v>
      </c>
      <c r="L22" s="68" t="str">
        <f t="shared" si="1"/>
        <v>НЕ ХВАТАЕТ</v>
      </c>
      <c r="M22" s="68" t="str">
        <f>'СПРАВОЧНИК ЭФФЕКТОВ'!C20</f>
        <v>Критично</v>
      </c>
      <c r="N22" s="69">
        <f t="shared" si="2"/>
        <v>3</v>
      </c>
      <c r="O22" s="78" t="str">
        <f>IFERROR(INDEX(ТЕХ_Подсказки!$BU$2:$BU$46,MATCH(LARGE(ТЕХ_Подсказки!$BX$2:$BX$46,8),ТЕХ_Подсказки!$BX$2:$BX$46,0)),"")</f>
        <v>Критично</v>
      </c>
      <c r="P22" s="106" t="str">
        <f>IFERROR(INDEX(ТЕХ_Подсказки!$BT$2:$BT$46,MATCH(LARGE(ТЕХ_Подсказки!$BX$2:$BX$46,8),ТЕХ_Подсказки!$BX$2:$BX$46,0)),"")</f>
        <v>10% Melee &amp; Range Haste</v>
      </c>
      <c r="Q22" s="106"/>
      <c r="R22" s="106"/>
      <c r="S22" s="106" t="str">
        <f>IFERROR(INDEX(ТЕХ_Подсказки!$BW$2:$BW$46,MATCH(LARGE(ТЕХ_Подсказки!$BX$2:$BX$46,8),ТЕХ_Подсказки!$BX$2:$BX$46,0)),"")</f>
        <v>Ranger — любой спек; Runemaster — Engravement; Starcaller — Sentinel; Templar — Zealot; + ещё 4 классов</v>
      </c>
      <c r="T22" s="106"/>
      <c r="U22" s="106"/>
      <c r="V22" s="106"/>
    </row>
    <row r="23" spans="1:22" ht="20.100000000000001" customHeight="1">
      <c r="A23" s="75">
        <v>18</v>
      </c>
      <c r="B23" s="74"/>
      <c r="C23" s="74"/>
      <c r="D23" s="74"/>
      <c r="E23" s="74" t="str">
        <f>IF(OR(C23="",D23=""),"",IFERROR(INDEX(ТЕХ_Списки!$C$2:$C$71,MATCH(C23&amp;"§"&amp;D23,ТЕХ_Списки!$D$2:$D$71,0)),""))</f>
        <v/>
      </c>
      <c r="F23" s="76"/>
      <c r="G23" s="76" t="str">
        <f>IF(AND(C23="",D23=""),"",IF(OR(C23="",D23=""),"ЗАПОЛНИ ПАРУ",IF(COUNTIFS(ТЕХ_Списки!$A$2:$A$71,C23,ТЕХ_Списки!$B$2:$B$71,D23)&lt;&gt;1,"НЕВЕРНАЯ ПАРА",IF(E23="","РОЛЬ НЕ НАЙДЕНА",IF(AND($R$2&lt;&gt;"Без ограничений",OR(SUMIF(ТЕХ_Расчет!$A$2:$A$26,C23&amp;"§"&amp;D23,ТЕХ_Расчет!$B$2:$B$26)&gt;$T$2,SUMIF($C$6:$C$30,C23,$H$6:$H$30)&gt;$V$2)),"ПРЕВЫШЕН ЛИМИТ","OK")))))</f>
        <v/>
      </c>
      <c r="H23" s="75">
        <f t="shared" si="0"/>
        <v>0</v>
      </c>
      <c r="I23" s="66" t="s">
        <v>59</v>
      </c>
      <c r="J23" s="67" t="s">
        <v>62</v>
      </c>
      <c r="K23" s="68">
        <f>ТЕХ_Расчет!U$43</f>
        <v>0</v>
      </c>
      <c r="L23" s="68" t="str">
        <f t="shared" si="1"/>
        <v>НЕ ХВАТАЕТ</v>
      </c>
      <c r="M23" s="68" t="str">
        <f>'СПРАВОЧНИК ЭФФЕКТОВ'!C21</f>
        <v>Опционально</v>
      </c>
      <c r="N23" s="69">
        <f t="shared" si="2"/>
        <v>1</v>
      </c>
      <c r="O23" s="83"/>
      <c r="P23" s="83"/>
      <c r="Q23" s="83"/>
      <c r="R23" s="83"/>
      <c r="S23" s="83"/>
      <c r="T23" s="83"/>
      <c r="U23" s="83"/>
      <c r="V23" s="83"/>
    </row>
    <row r="24" spans="1:22" ht="20.100000000000001" customHeight="1">
      <c r="A24" s="75">
        <v>19</v>
      </c>
      <c r="B24" s="74"/>
      <c r="C24" s="74"/>
      <c r="D24" s="74"/>
      <c r="E24" s="74" t="str">
        <f>IF(OR(C24="",D24=""),"",IFERROR(INDEX(ТЕХ_Списки!$C$2:$C$71,MATCH(C24&amp;"§"&amp;D24,ТЕХ_Списки!$D$2:$D$71,0)),""))</f>
        <v/>
      </c>
      <c r="F24" s="76"/>
      <c r="G24" s="76" t="str">
        <f>IF(AND(C24="",D24=""),"",IF(OR(C24="",D24=""),"ЗАПОЛНИ ПАРУ",IF(COUNTIFS(ТЕХ_Списки!$A$2:$A$71,C24,ТЕХ_Списки!$B$2:$B$71,D24)&lt;&gt;1,"НЕВЕРНАЯ ПАРА",IF(E24="","РОЛЬ НЕ НАЙДЕНА",IF(AND($R$2&lt;&gt;"Без ограничений",OR(SUMIF(ТЕХ_Расчет!$A$2:$A$26,C24&amp;"§"&amp;D24,ТЕХ_Расчет!$B$2:$B$26)&gt;$T$2,SUMIF($C$6:$C$30,C24,$H$6:$H$30)&gt;$V$2)),"ПРЕВЫШЕН ЛИМИТ","OK")))))</f>
        <v/>
      </c>
      <c r="H24" s="75">
        <f t="shared" si="0"/>
        <v>0</v>
      </c>
      <c r="I24" s="66" t="s">
        <v>59</v>
      </c>
      <c r="J24" s="67" t="s">
        <v>63</v>
      </c>
      <c r="K24" s="68">
        <f>ТЕХ_Расчет!V$43</f>
        <v>0</v>
      </c>
      <c r="L24" s="68" t="str">
        <f t="shared" si="1"/>
        <v>НЕ ХВАТАЕТ</v>
      </c>
      <c r="M24" s="68" t="str">
        <f>'СПРАВОЧНИК ЭФФЕКТОВ'!C22</f>
        <v>Опционально</v>
      </c>
      <c r="N24" s="69">
        <f t="shared" si="2"/>
        <v>1</v>
      </c>
      <c r="O24" s="99" t="s">
        <v>64</v>
      </c>
      <c r="P24" s="99"/>
      <c r="Q24" s="99"/>
      <c r="R24" s="99"/>
      <c r="S24" s="99"/>
      <c r="T24" s="99"/>
      <c r="U24" s="99"/>
      <c r="V24" s="99"/>
    </row>
    <row r="25" spans="1:22" ht="20.100000000000001" customHeight="1">
      <c r="A25" s="75">
        <v>20</v>
      </c>
      <c r="B25" s="74"/>
      <c r="C25" s="74"/>
      <c r="D25" s="74"/>
      <c r="E25" s="74" t="str">
        <f>IF(OR(C25="",D25=""),"",IFERROR(INDEX(ТЕХ_Списки!$C$2:$C$71,MATCH(C25&amp;"§"&amp;D25,ТЕХ_Списки!$D$2:$D$71,0)),""))</f>
        <v/>
      </c>
      <c r="F25" s="76"/>
      <c r="G25" s="76" t="str">
        <f>IF(AND(C25="",D25=""),"",IF(OR(C25="",D25=""),"ЗАПОЛНИ ПАРУ",IF(COUNTIFS(ТЕХ_Списки!$A$2:$A$71,C25,ТЕХ_Списки!$B$2:$B$71,D25)&lt;&gt;1,"НЕВЕРНАЯ ПАРА",IF(E25="","РОЛЬ НЕ НАЙДЕНА",IF(AND($R$2&lt;&gt;"Без ограничений",OR(SUMIF(ТЕХ_Расчет!$A$2:$A$26,C25&amp;"§"&amp;D25,ТЕХ_Расчет!$B$2:$B$26)&gt;$T$2,SUMIF($C$6:$C$30,C25,$H$6:$H$30)&gt;$V$2)),"ПРЕВЫШЕН ЛИМИТ","OK")))))</f>
        <v/>
      </c>
      <c r="H25" s="75">
        <f t="shared" si="0"/>
        <v>0</v>
      </c>
      <c r="I25" s="66" t="s">
        <v>59</v>
      </c>
      <c r="J25" s="67" t="s">
        <v>65</v>
      </c>
      <c r="K25" s="68">
        <f>ТЕХ_Расчет!W$43</f>
        <v>0</v>
      </c>
      <c r="L25" s="68" t="str">
        <f t="shared" si="1"/>
        <v>НЕ ХВАТАЕТ</v>
      </c>
      <c r="M25" s="68" t="str">
        <f>'СПРАВОЧНИК ЭФФЕКТОВ'!C23</f>
        <v>Опционально</v>
      </c>
      <c r="N25" s="69">
        <f t="shared" si="2"/>
        <v>1</v>
      </c>
      <c r="O25" s="70" t="s">
        <v>30</v>
      </c>
      <c r="P25" s="107"/>
      <c r="Q25" s="107"/>
      <c r="R25" s="107"/>
      <c r="S25" s="107"/>
      <c r="T25" s="107"/>
      <c r="U25" s="70" t="s">
        <v>32</v>
      </c>
      <c r="V25" s="72" t="str">
        <f>IFERROR(INDEX('СПРАВОЧНИК ЭФФЕКТОВ'!$E$4:$E$48,MATCH(P25,'СПРАВОЧНИК ЭФФЕКТОВ'!$B$4:$B$48,0)),"")</f>
        <v/>
      </c>
    </row>
    <row r="26" spans="1:22" ht="20.100000000000001" customHeight="1">
      <c r="A26" s="75">
        <v>21</v>
      </c>
      <c r="B26" s="74"/>
      <c r="C26" s="74"/>
      <c r="D26" s="74"/>
      <c r="E26" s="74" t="str">
        <f>IF(OR(C26="",D26=""),"",IFERROR(INDEX(ТЕХ_Списки!$C$2:$C$71,MATCH(C26&amp;"§"&amp;D26,ТЕХ_Списки!$D$2:$D$71,0)),""))</f>
        <v/>
      </c>
      <c r="F26" s="76"/>
      <c r="G26" s="76" t="str">
        <f>IF(AND(C26="",D26=""),"",IF(OR(C26="",D26=""),"ЗАПОЛНИ ПАРУ",IF(COUNTIFS(ТЕХ_Списки!$A$2:$A$71,C26,ТЕХ_Списки!$B$2:$B$71,D26)&lt;&gt;1,"НЕВЕРНАЯ ПАРА",IF(E26="","РОЛЬ НЕ НАЙДЕНА",IF(AND($R$2&lt;&gt;"Без ограничений",OR(SUMIF(ТЕХ_Расчет!$A$2:$A$26,C26&amp;"§"&amp;D26,ТЕХ_Расчет!$B$2:$B$26)&gt;$T$2,SUMIF($C$6:$C$30,C26,$H$6:$H$30)&gt;$V$2)),"ПРЕВЫШЕН ЛИМИТ","OK")))))</f>
        <v/>
      </c>
      <c r="H26" s="75">
        <f t="shared" si="0"/>
        <v>0</v>
      </c>
      <c r="I26" s="66" t="s">
        <v>59</v>
      </c>
      <c r="J26" s="67" t="s">
        <v>66</v>
      </c>
      <c r="K26" s="68">
        <f>ТЕХ_Расчет!X$43</f>
        <v>0</v>
      </c>
      <c r="L26" s="68" t="str">
        <f t="shared" si="1"/>
        <v>НЕ ХВАТАЕТ</v>
      </c>
      <c r="M26" s="68" t="str">
        <f>'СПРАВОЧНИК ЭФФЕКТОВ'!C24</f>
        <v>Опционально</v>
      </c>
      <c r="N26" s="69">
        <f t="shared" si="2"/>
        <v>1</v>
      </c>
      <c r="O26" s="70" t="s">
        <v>67</v>
      </c>
      <c r="P26" s="108" t="str">
        <f>IFERROR(INDEX('СПРАВОЧНИК ЭФФЕКТОВ'!$L$4:$L$48,MATCH(P25,'СПРАВОЧНИК ЭФФЕКТОВ'!$B$4:$B$48,0)),"")</f>
        <v/>
      </c>
      <c r="Q26" s="108"/>
      <c r="R26" s="108"/>
      <c r="S26" s="108"/>
      <c r="T26" s="108"/>
      <c r="U26" s="108"/>
      <c r="V26" s="108"/>
    </row>
    <row r="27" spans="1:22" ht="20.100000000000001" customHeight="1">
      <c r="A27" s="75">
        <v>22</v>
      </c>
      <c r="B27" s="74"/>
      <c r="C27" s="74"/>
      <c r="D27" s="74"/>
      <c r="E27" s="74" t="str">
        <f>IF(OR(C27="",D27=""),"",IFERROR(INDEX(ТЕХ_Списки!$C$2:$C$71,MATCH(C27&amp;"§"&amp;D27,ТЕХ_Списки!$D$2:$D$71,0)),""))</f>
        <v/>
      </c>
      <c r="F27" s="76"/>
      <c r="G27" s="76" t="str">
        <f>IF(AND(C27="",D27=""),"",IF(OR(C27="",D27=""),"ЗАПОЛНИ ПАРУ",IF(COUNTIFS(ТЕХ_Списки!$A$2:$A$71,C27,ТЕХ_Списки!$B$2:$B$71,D27)&lt;&gt;1,"НЕВЕРНАЯ ПАРА",IF(E27="","РОЛЬ НЕ НАЙДЕНА",IF(AND($R$2&lt;&gt;"Без ограничений",OR(SUMIF(ТЕХ_Расчет!$A$2:$A$26,C27&amp;"§"&amp;D27,ТЕХ_Расчет!$B$2:$B$26)&gt;$T$2,SUMIF($C$6:$C$30,C27,$H$6:$H$30)&gt;$V$2)),"ПРЕВЫШЕН ЛИМИТ","OK")))))</f>
        <v/>
      </c>
      <c r="H27" s="75">
        <f t="shared" si="0"/>
        <v>0</v>
      </c>
      <c r="I27" s="66" t="s">
        <v>59</v>
      </c>
      <c r="J27" s="67" t="s">
        <v>68</v>
      </c>
      <c r="K27" s="68">
        <f>ТЕХ_Расчет!Y$43</f>
        <v>0</v>
      </c>
      <c r="L27" s="68" t="str">
        <f t="shared" si="1"/>
        <v>НЕ ХВАТАЕТ</v>
      </c>
      <c r="M27" s="68" t="str">
        <f>'СПРАВОЧНИК ЭФФЕКТОВ'!C25</f>
        <v>Опционально</v>
      </c>
      <c r="N27" s="69">
        <f t="shared" si="2"/>
        <v>1</v>
      </c>
      <c r="O27" s="83"/>
      <c r="P27" s="108"/>
      <c r="Q27" s="108"/>
      <c r="R27" s="108"/>
      <c r="S27" s="108"/>
      <c r="T27" s="108"/>
      <c r="U27" s="108"/>
      <c r="V27" s="108"/>
    </row>
    <row r="28" spans="1:22" ht="20.100000000000001" customHeight="1">
      <c r="A28" s="75">
        <v>23</v>
      </c>
      <c r="B28" s="74"/>
      <c r="C28" s="74"/>
      <c r="D28" s="74"/>
      <c r="E28" s="74" t="str">
        <f>IF(OR(C28="",D28=""),"",IFERROR(INDEX(ТЕХ_Списки!$C$2:$C$71,MATCH(C28&amp;"§"&amp;D28,ТЕХ_Списки!$D$2:$D$71,0)),""))</f>
        <v/>
      </c>
      <c r="F28" s="76"/>
      <c r="G28" s="76" t="str">
        <f>IF(AND(C28="",D28=""),"",IF(OR(C28="",D28=""),"ЗАПОЛНИ ПАРУ",IF(COUNTIFS(ТЕХ_Списки!$A$2:$A$71,C28,ТЕХ_Списки!$B$2:$B$71,D28)&lt;&gt;1,"НЕВЕРНАЯ ПАРА",IF(E28="","РОЛЬ НЕ НАЙДЕНА",IF(AND($R$2&lt;&gt;"Без ограничений",OR(SUMIF(ТЕХ_Расчет!$A$2:$A$26,C28&amp;"§"&amp;D28,ТЕХ_Расчет!$B$2:$B$26)&gt;$T$2,SUMIF($C$6:$C$30,C28,$H$6:$H$30)&gt;$V$2)),"ПРЕВЫШЕН ЛИМИТ","OK")))))</f>
        <v/>
      </c>
      <c r="H28" s="75">
        <f>IF(OR(C28="",D28=""),0,IF(F28="",1,F28))</f>
        <v>0</v>
      </c>
      <c r="I28" s="66" t="s">
        <v>59</v>
      </c>
      <c r="J28" s="67" t="s">
        <v>69</v>
      </c>
      <c r="K28" s="68">
        <f>ТЕХ_Расчет!Z$43</f>
        <v>0</v>
      </c>
      <c r="L28" s="68" t="str">
        <f t="shared" si="1"/>
        <v>НЕ ХВАТАЕТ</v>
      </c>
      <c r="M28" s="68" t="str">
        <f>'СПРАВОЧНИК ЭФФЕКТОВ'!C26</f>
        <v>Опционально</v>
      </c>
      <c r="N28" s="69">
        <f t="shared" si="2"/>
        <v>1</v>
      </c>
      <c r="O28" s="99" t="s">
        <v>70</v>
      </c>
      <c r="P28" s="109"/>
      <c r="Q28" s="109"/>
      <c r="R28" s="109"/>
      <c r="S28" s="109" t="s">
        <v>71</v>
      </c>
      <c r="T28" s="109"/>
      <c r="U28" s="109"/>
      <c r="V28" s="109"/>
    </row>
    <row r="29" spans="1:22" ht="20.100000000000001" customHeight="1">
      <c r="A29" s="75">
        <v>24</v>
      </c>
      <c r="B29" s="74"/>
      <c r="C29" s="74"/>
      <c r="D29" s="74"/>
      <c r="E29" s="74" t="str">
        <f>IF(OR(C29="",D29=""),"",IFERROR(INDEX(ТЕХ_Списки!$C$2:$C$71,MATCH(C29&amp;"§"&amp;D29,ТЕХ_Списки!$D$2:$D$71,0)),""))</f>
        <v/>
      </c>
      <c r="F29" s="76"/>
      <c r="G29" s="76" t="str">
        <f>IF(AND(C29="",D29=""),"",IF(OR(C29="",D29=""),"ЗАПОЛНИ ПАРУ",IF(COUNTIFS(ТЕХ_Списки!$A$2:$A$71,C29,ТЕХ_Списки!$B$2:$B$71,D29)&lt;&gt;1,"НЕВЕРНАЯ ПАРА",IF(E29="","РОЛЬ НЕ НАЙДЕНА",IF(AND($R$2&lt;&gt;"Без ограничений",OR(SUMIF(ТЕХ_Расчет!$A$2:$A$26,C29&amp;"§"&amp;D29,ТЕХ_Расчет!$B$2:$B$26)&gt;$T$2,SUMIF($C$6:$C$30,C29,$H$6:$H$30)&gt;$V$2)),"ПРЕВЫШЕН ЛИМИТ","OK")))))</f>
        <v/>
      </c>
      <c r="H29" s="75">
        <f>IF(OR(C29="",D29=""),0,IF(F29="",1,F29))</f>
        <v>0</v>
      </c>
      <c r="I29" s="66" t="s">
        <v>59</v>
      </c>
      <c r="J29" s="67" t="s">
        <v>72</v>
      </c>
      <c r="K29" s="68">
        <f>ТЕХ_Расчет!AA$43</f>
        <v>0</v>
      </c>
      <c r="L29" s="68" t="str">
        <f t="shared" si="1"/>
        <v>НЕ ХВАТАЕТ</v>
      </c>
      <c r="M29" s="68" t="str">
        <f>'СПРАВОЧНИК ЭФФЕКТОВ'!C27</f>
        <v>Опционально</v>
      </c>
      <c r="N29" s="69">
        <f t="shared" si="2"/>
        <v>1</v>
      </c>
      <c r="O29" s="73" t="s">
        <v>25</v>
      </c>
      <c r="P29" s="73" t="s">
        <v>73</v>
      </c>
      <c r="Q29" s="73" t="s">
        <v>74</v>
      </c>
      <c r="R29" s="73" t="s">
        <v>75</v>
      </c>
      <c r="S29" s="108" t="s">
        <v>76</v>
      </c>
      <c r="T29" s="108"/>
      <c r="U29" s="108"/>
      <c r="V29" s="108"/>
    </row>
    <row r="30" spans="1:22" ht="20.100000000000001" customHeight="1">
      <c r="A30" s="75">
        <v>25</v>
      </c>
      <c r="B30" s="74"/>
      <c r="C30" s="74"/>
      <c r="D30" s="74"/>
      <c r="E30" s="74" t="str">
        <f>IF(OR(C30="",D30=""),"",IFERROR(INDEX(ТЕХ_Списки!$C$2:$C$71,MATCH(C30&amp;"§"&amp;D30,ТЕХ_Списки!$D$2:$D$71,0)),""))</f>
        <v/>
      </c>
      <c r="F30" s="76"/>
      <c r="G30" s="76" t="str">
        <f>IF(AND(C30="",D30=""),"",IF(OR(C30="",D30=""),"ЗАПОЛНИ ПАРУ",IF(COUNTIFS(ТЕХ_Списки!$A$2:$A$71,C30,ТЕХ_Списки!$B$2:$B$71,D30)&lt;&gt;1,"НЕВЕРНАЯ ПАРА",IF(E30="","РОЛЬ НЕ НАЙДЕНА",IF(AND($R$2&lt;&gt;"Без ограничений",OR(SUMIF(ТЕХ_Расчет!$A$2:$A$26,C30&amp;"§"&amp;D30,ТЕХ_Расчет!$B$2:$B$26)&gt;$T$2,SUMIF($C$6:$C$30,C30,$H$6:$H$30)&gt;$V$2)),"ПРЕВЫШЕН ЛИМИТ","OK")))))</f>
        <v/>
      </c>
      <c r="H30" s="75">
        <f t="shared" si="0"/>
        <v>0</v>
      </c>
      <c r="I30" s="66" t="s">
        <v>59</v>
      </c>
      <c r="J30" s="67" t="s">
        <v>77</v>
      </c>
      <c r="K30" s="68">
        <f>ТЕХ_Расчет!AB$43</f>
        <v>0</v>
      </c>
      <c r="L30" s="68" t="str">
        <f t="shared" si="1"/>
        <v>НЕ ХВАТАЕТ</v>
      </c>
      <c r="M30" s="68" t="str">
        <f>'СПРАВОЧНИК ЭФФЕКТОВ'!C28</f>
        <v>Критично</v>
      </c>
      <c r="N30" s="69">
        <f t="shared" si="2"/>
        <v>3</v>
      </c>
      <c r="O30" s="79" t="s">
        <v>78</v>
      </c>
      <c r="P30" s="79">
        <f>2</f>
        <v>2</v>
      </c>
      <c r="Q30" s="79">
        <f>SUMIFS($H$6:$H$30,$E$6:$E$30,O30)</f>
        <v>0</v>
      </c>
      <c r="R30" s="80">
        <f>MAX(P30-Q30,0)</f>
        <v>2</v>
      </c>
      <c r="S30" s="108"/>
      <c r="T30" s="108"/>
      <c r="U30" s="108"/>
      <c r="V30" s="108"/>
    </row>
    <row r="31" spans="1:22" ht="21.95" customHeight="1">
      <c r="A31" s="77" t="s">
        <v>79</v>
      </c>
      <c r="B31" s="77"/>
      <c r="C31" s="77"/>
      <c r="D31" s="77"/>
      <c r="E31" s="77"/>
      <c r="F31" s="77"/>
      <c r="G31" s="77" t="str">
        <f>IF(H31=$R$3,"25 ИЗ 25",IF(H31&lt;$R$3,"ОСТАЛОСЬ "&amp;($R$3-H31),"ЛИШНИХ "&amp;(H31-$R$3)))</f>
        <v>ОСТАЛОСЬ 25</v>
      </c>
      <c r="H31" s="77">
        <f>SUM(H6:H30)</f>
        <v>0</v>
      </c>
      <c r="I31" s="66" t="s">
        <v>59</v>
      </c>
      <c r="J31" s="67" t="s">
        <v>80</v>
      </c>
      <c r="K31" s="68">
        <f>ТЕХ_Расчет!AC$43</f>
        <v>0</v>
      </c>
      <c r="L31" s="68" t="str">
        <f t="shared" si="1"/>
        <v>НЕ ХВАТАЕТ</v>
      </c>
      <c r="M31" s="68" t="str">
        <f>'СПРАВОЧНИК ЭФФЕКТОВ'!C29</f>
        <v>Опционально</v>
      </c>
      <c r="N31" s="69">
        <f t="shared" si="2"/>
        <v>1</v>
      </c>
      <c r="O31" s="75" t="s">
        <v>81</v>
      </c>
      <c r="P31" s="75">
        <f>IF($P$2="Скорость",3,IF($P$2="Универсальный",4,5))</f>
        <v>5</v>
      </c>
      <c r="Q31" s="75">
        <f>SUMIFS($H$6:$H$30,$E$6:$E$30,O31)</f>
        <v>0</v>
      </c>
      <c r="R31" s="81">
        <f>MAX(P31-Q31,0)</f>
        <v>5</v>
      </c>
      <c r="S31" s="108"/>
      <c r="T31" s="108"/>
      <c r="U31" s="108"/>
      <c r="V31" s="108"/>
    </row>
    <row r="32" spans="1:22" ht="20.100000000000001" customHeight="1">
      <c r="A32" s="112" t="s">
        <v>82</v>
      </c>
      <c r="B32" s="112"/>
      <c r="C32" s="112"/>
      <c r="D32" s="112"/>
      <c r="E32" s="112"/>
      <c r="F32" s="112"/>
      <c r="G32" s="112"/>
      <c r="H32" s="112"/>
      <c r="I32" s="66" t="s">
        <v>59</v>
      </c>
      <c r="J32" s="67" t="s">
        <v>83</v>
      </c>
      <c r="K32" s="68">
        <f>ТЕХ_Расчет!AD$43</f>
        <v>0</v>
      </c>
      <c r="L32" s="68" t="str">
        <f t="shared" si="1"/>
        <v>НЕ ХВАТАЕТ</v>
      </c>
      <c r="M32" s="68" t="str">
        <f>'СПРАВОЧНИК ЭФФЕКТОВ'!C30</f>
        <v>Опционально</v>
      </c>
      <c r="N32" s="69">
        <f t="shared" si="2"/>
        <v>1</v>
      </c>
      <c r="O32" s="75" t="s">
        <v>84</v>
      </c>
      <c r="P32" s="75">
        <f>IF($P$2="Скорость",1,2)</f>
        <v>2</v>
      </c>
      <c r="Q32" s="75">
        <f>SUMIFS($H$6:$H$30,$E$6:$E$30,O32)</f>
        <v>0</v>
      </c>
      <c r="R32" s="81">
        <f>MAX(P32-Q32,0)</f>
        <v>2</v>
      </c>
      <c r="S32" s="108"/>
      <c r="T32" s="108"/>
      <c r="U32" s="108"/>
      <c r="V32" s="108"/>
    </row>
    <row r="33" spans="1:22" ht="24" customHeight="1">
      <c r="A33" s="110" t="s">
        <v>85</v>
      </c>
      <c r="B33" s="110"/>
      <c r="C33" s="110"/>
      <c r="D33" s="110"/>
      <c r="E33" s="110"/>
      <c r="F33" s="110"/>
      <c r="G33" s="110"/>
      <c r="H33" s="110"/>
      <c r="I33" s="66" t="s">
        <v>59</v>
      </c>
      <c r="J33" s="67" t="s">
        <v>86</v>
      </c>
      <c r="K33" s="68">
        <f>ТЕХ_Расчет!AE$43</f>
        <v>0</v>
      </c>
      <c r="L33" s="68" t="str">
        <f t="shared" si="1"/>
        <v>НЕ ХВАТАЕТ</v>
      </c>
      <c r="M33" s="68" t="str">
        <f>'СПРАВОЧНИК ЭФФЕКТОВ'!C31</f>
        <v>Опционально</v>
      </c>
      <c r="N33" s="69">
        <f t="shared" si="2"/>
        <v>1</v>
      </c>
      <c r="O33" s="75" t="s">
        <v>87</v>
      </c>
      <c r="P33" s="75">
        <f>$R$3-SUM(P30:P32)</f>
        <v>16</v>
      </c>
      <c r="Q33" s="75">
        <f>SUM($H$6:$H$30)-SUM(Q30:Q32)</f>
        <v>0</v>
      </c>
      <c r="R33" s="81">
        <f>MAX(P33-Q33,0)</f>
        <v>16</v>
      </c>
      <c r="S33" s="108"/>
      <c r="T33" s="108"/>
      <c r="U33" s="108"/>
      <c r="V33" s="108"/>
    </row>
    <row r="34" spans="1:22" ht="23.1" customHeight="1">
      <c r="A34" s="90" t="s">
        <v>88</v>
      </c>
      <c r="B34" s="90" t="s">
        <v>23</v>
      </c>
      <c r="C34" s="90" t="s">
        <v>24</v>
      </c>
      <c r="D34" s="90" t="s">
        <v>25</v>
      </c>
      <c r="E34" s="90" t="s">
        <v>39</v>
      </c>
      <c r="F34" s="90" t="s">
        <v>40</v>
      </c>
      <c r="G34" s="90" t="s">
        <v>41</v>
      </c>
      <c r="H34" s="90" t="s">
        <v>89</v>
      </c>
      <c r="I34" s="66" t="s">
        <v>59</v>
      </c>
      <c r="J34" s="67" t="s">
        <v>90</v>
      </c>
      <c r="K34" s="68">
        <f>ТЕХ_Расчет!AF$43</f>
        <v>0</v>
      </c>
      <c r="L34" s="68" t="str">
        <f t="shared" si="1"/>
        <v>НЕ ХВАТАЕТ</v>
      </c>
      <c r="M34" s="68" t="str">
        <f>'СПРАВОЧНИК ЭФФЕКТОВ'!C32</f>
        <v>Опционально</v>
      </c>
      <c r="N34" s="69">
        <f t="shared" si="2"/>
        <v>1</v>
      </c>
      <c r="O34" s="83"/>
      <c r="P34" s="83"/>
      <c r="Q34" s="83"/>
      <c r="R34" s="83"/>
      <c r="S34" s="83"/>
      <c r="T34" s="83"/>
      <c r="U34" s="83"/>
      <c r="V34" s="83"/>
    </row>
    <row r="35" spans="1:22" ht="20.100000000000001" customHeight="1">
      <c r="A35" s="91">
        <v>1</v>
      </c>
      <c r="B35" s="92" t="str">
        <f ca="1">IFERROR(INDEX(ТЕХ_Подсказки!$A$2:$V$71,$N55,1),"")</f>
        <v>Felsworn</v>
      </c>
      <c r="C35" s="92" t="str">
        <f ca="1">IFERROR(INDEX(ТЕХ_Подсказки!$A$2:$V$71,$N55,2),"")</f>
        <v>Tyrant</v>
      </c>
      <c r="D35" s="91" t="str">
        <f ca="1">IFERROR(INDEX(ТЕХ_Подсказки!$A$2:$V$71,$N55,3),"")</f>
        <v>Танк</v>
      </c>
      <c r="E35" s="93">
        <f ca="1">IFERROR(INDEX(ТЕХ_Подсказки!$A$2:$V$71,$N55,13),"")</f>
        <v>0</v>
      </c>
      <c r="F35" s="93">
        <f ca="1">IFERROR(INDEX(ТЕХ_Подсказки!$A$2:$V$71,$N55,14),"")</f>
        <v>0</v>
      </c>
      <c r="G35" s="94">
        <f ca="1">IFERROR(INDEX(ТЕХ_Подсказки!$A$2:$V$71,$N55,9),"")</f>
        <v>88.24</v>
      </c>
      <c r="H35" s="95">
        <f ca="1">IFERROR(INDEX(ТЕХ_Подсказки!$A$2:$V$71,$N55,19),"")</f>
        <v>158.24</v>
      </c>
      <c r="I35" s="66" t="s">
        <v>59</v>
      </c>
      <c r="J35" s="67" t="s">
        <v>91</v>
      </c>
      <c r="K35" s="68">
        <f>ТЕХ_Расчет!AG$43</f>
        <v>0</v>
      </c>
      <c r="L35" s="68" t="str">
        <f t="shared" si="1"/>
        <v>НЕ ХВАТАЕТ</v>
      </c>
      <c r="M35" s="68" t="str">
        <f>'СПРАВОЧНИК ЭФФЕКТОВ'!C33</f>
        <v>Критично</v>
      </c>
      <c r="N35" s="69">
        <f t="shared" si="2"/>
        <v>3</v>
      </c>
      <c r="O35" s="83"/>
      <c r="P35" s="83"/>
      <c r="Q35" s="83"/>
      <c r="R35" s="83"/>
      <c r="S35" s="83"/>
      <c r="T35" s="83"/>
      <c r="U35" s="83"/>
      <c r="V35" s="83"/>
    </row>
    <row r="36" spans="1:22" ht="20.100000000000001" customHeight="1">
      <c r="A36" s="91">
        <v>2</v>
      </c>
      <c r="B36" s="92" t="str">
        <f ca="1">IFERROR(INDEX(ТЕХ_Подсказки!$A$2:$V$71,$N56,1),"")</f>
        <v>Pyromancer</v>
      </c>
      <c r="C36" s="92" t="str">
        <f ca="1">IFERROR(INDEX(ТЕХ_Подсказки!$A$2:$V$71,$N56,2),"")</f>
        <v>Flameweaving</v>
      </c>
      <c r="D36" s="91" t="str">
        <f ca="1">IFERROR(INDEX(ТЕХ_Подсказки!$A$2:$V$71,$N56,3),"")</f>
        <v>Хилер</v>
      </c>
      <c r="E36" s="93">
        <f ca="1">IFERROR(INDEX(ТЕХ_Подсказки!$A$2:$V$71,$N56,13),"")</f>
        <v>0</v>
      </c>
      <c r="F36" s="93">
        <f ca="1">IFERROR(INDEX(ТЕХ_Подсказки!$A$2:$V$71,$N56,14),"")</f>
        <v>0</v>
      </c>
      <c r="G36" s="94">
        <f ca="1">IFERROR(INDEX(ТЕХ_Подсказки!$A$2:$V$71,$N56,9),"")</f>
        <v>94.51</v>
      </c>
      <c r="H36" s="95">
        <f ca="1">IFERROR(INDEX(ТЕХ_Подсказки!$A$2:$V$71,$N56,19),"")</f>
        <v>149.51</v>
      </c>
      <c r="I36" s="66" t="s">
        <v>59</v>
      </c>
      <c r="J36" s="67" t="s">
        <v>92</v>
      </c>
      <c r="K36" s="68">
        <f>ТЕХ_Расчет!AH$43</f>
        <v>0</v>
      </c>
      <c r="L36" s="68" t="str">
        <f t="shared" si="1"/>
        <v>НЕ ХВАТАЕТ</v>
      </c>
      <c r="M36" s="68" t="str">
        <f>'СПРАВОЧНИК ЭФФЕКТОВ'!C34</f>
        <v>Критично</v>
      </c>
      <c r="N36" s="69">
        <f t="shared" si="2"/>
        <v>3</v>
      </c>
      <c r="O36" s="83"/>
      <c r="P36" s="83"/>
      <c r="Q36" s="83"/>
      <c r="R36" s="83"/>
      <c r="S36" s="83"/>
      <c r="T36" s="83"/>
      <c r="U36" s="83"/>
      <c r="V36" s="83"/>
    </row>
    <row r="37" spans="1:22" ht="20.100000000000001" customHeight="1">
      <c r="A37" s="91">
        <v>3</v>
      </c>
      <c r="B37" s="92" t="str">
        <f ca="1">IFERROR(INDEX(ТЕХ_Подсказки!$A$2:$V$71,$N57,1),"")</f>
        <v>Primalist</v>
      </c>
      <c r="C37" s="92" t="str">
        <f ca="1">IFERROR(INDEX(ТЕХ_Подсказки!$A$2:$V$71,$N57,2),"")</f>
        <v>Mountain King</v>
      </c>
      <c r="D37" s="91" t="str">
        <f ca="1">IFERROR(INDEX(ТЕХ_Подсказки!$A$2:$V$71,$N57,3),"")</f>
        <v>Танк</v>
      </c>
      <c r="E37" s="93">
        <f ca="1">IFERROR(INDEX(ТЕХ_Подсказки!$A$2:$V$71,$N57,13),"")</f>
        <v>0</v>
      </c>
      <c r="F37" s="93">
        <f ca="1">IFERROR(INDEX(ТЕХ_Подсказки!$A$2:$V$71,$N57,14),"")</f>
        <v>0</v>
      </c>
      <c r="G37" s="94">
        <f ca="1">IFERROR(INDEX(ТЕХ_Подсказки!$A$2:$V$71,$N57,9),"")</f>
        <v>75.84</v>
      </c>
      <c r="H37" s="95">
        <f ca="1">IFERROR(INDEX(ТЕХ_Подсказки!$A$2:$V$71,$N57,19),"")</f>
        <v>145.84</v>
      </c>
      <c r="I37" s="66" t="s">
        <v>59</v>
      </c>
      <c r="J37" s="67" t="s">
        <v>93</v>
      </c>
      <c r="K37" s="68">
        <f>ТЕХ_Расчет!AI$43</f>
        <v>0</v>
      </c>
      <c r="L37" s="68" t="str">
        <f t="shared" si="1"/>
        <v>НЕ ХВАТАЕТ</v>
      </c>
      <c r="M37" s="68" t="str">
        <f>'СПРАВОЧНИК ЭФФЕКТОВ'!C35</f>
        <v>Критично</v>
      </c>
      <c r="N37" s="69">
        <f t="shared" si="2"/>
        <v>3</v>
      </c>
      <c r="O37" s="83"/>
      <c r="P37" s="83"/>
      <c r="Q37" s="83"/>
      <c r="R37" s="83"/>
      <c r="S37" s="83"/>
      <c r="T37" s="83"/>
      <c r="U37" s="83"/>
      <c r="V37" s="83"/>
    </row>
    <row r="38" spans="1:22" ht="20.100000000000001" customHeight="1">
      <c r="A38" s="91">
        <v>4</v>
      </c>
      <c r="B38" s="92" t="str">
        <f ca="1">IFERROR(INDEX(ТЕХ_Подсказки!$A$2:$V$71,$N58,1),"")</f>
        <v>Venomancer</v>
      </c>
      <c r="C38" s="92" t="str">
        <f ca="1">IFERROR(INDEX(ТЕХ_Подсказки!$A$2:$V$71,$N58,2),"")</f>
        <v>Fortitude</v>
      </c>
      <c r="D38" s="91" t="str">
        <f ca="1">IFERROR(INDEX(ТЕХ_Подсказки!$A$2:$V$71,$N58,3),"")</f>
        <v>Танк</v>
      </c>
      <c r="E38" s="93">
        <f ca="1">IFERROR(INDEX(ТЕХ_Подсказки!$A$2:$V$71,$N58,13),"")</f>
        <v>0</v>
      </c>
      <c r="F38" s="93">
        <f ca="1">IFERROR(INDEX(ТЕХ_Подсказки!$A$2:$V$71,$N58,14),"")</f>
        <v>0</v>
      </c>
      <c r="G38" s="94">
        <f ca="1">IFERROR(INDEX(ТЕХ_Подсказки!$A$2:$V$71,$N58,9),"")</f>
        <v>73.36</v>
      </c>
      <c r="H38" s="95">
        <f ca="1">IFERROR(INDEX(ТЕХ_Подсказки!$A$2:$V$71,$N58,19),"")</f>
        <v>143.36000000000001</v>
      </c>
      <c r="I38" s="66" t="s">
        <v>94</v>
      </c>
      <c r="J38" s="67" t="s">
        <v>95</v>
      </c>
      <c r="K38" s="68">
        <f>ТЕХ_Расчет!AJ$43</f>
        <v>0</v>
      </c>
      <c r="L38" s="68" t="str">
        <f t="shared" si="1"/>
        <v>НЕ ХВАТАЕТ</v>
      </c>
      <c r="M38" s="68" t="str">
        <f>'СПРАВОЧНИК ЭФФЕКТОВ'!C36</f>
        <v>Критично</v>
      </c>
      <c r="N38" s="69">
        <f t="shared" si="2"/>
        <v>3</v>
      </c>
      <c r="O38" s="83"/>
      <c r="P38" s="83"/>
      <c r="Q38" s="83"/>
      <c r="R38" s="83"/>
      <c r="S38" s="83"/>
      <c r="T38" s="83"/>
      <c r="U38" s="83"/>
      <c r="V38" s="83"/>
    </row>
    <row r="39" spans="1:22" ht="20.100000000000001" customHeight="1">
      <c r="A39" s="91">
        <v>5</v>
      </c>
      <c r="B39" s="92" t="str">
        <f ca="1">IFERROR(INDEX(ТЕХ_Подсказки!$A$2:$V$71,$N59,1),"")</f>
        <v>Cultist</v>
      </c>
      <c r="C39" s="92" t="str">
        <f ca="1">IFERROR(INDEX(ТЕХ_Подсказки!$A$2:$V$71,$N59,2),"")</f>
        <v>Heretic</v>
      </c>
      <c r="D39" s="91" t="str">
        <f ca="1">IFERROR(INDEX(ТЕХ_Подсказки!$A$2:$V$71,$N59,3),"")</f>
        <v>Хилер</v>
      </c>
      <c r="E39" s="93">
        <f ca="1">IFERROR(INDEX(ТЕХ_Подсказки!$A$2:$V$71,$N59,13),"")</f>
        <v>0</v>
      </c>
      <c r="F39" s="93">
        <f ca="1">IFERROR(INDEX(ТЕХ_Подсказки!$A$2:$V$71,$N59,14),"")</f>
        <v>0</v>
      </c>
      <c r="G39" s="94">
        <f ca="1">IFERROR(INDEX(ТЕХ_Подсказки!$A$2:$V$71,$N59,9),"")</f>
        <v>88.03</v>
      </c>
      <c r="H39" s="95">
        <f ca="1">IFERROR(INDEX(ТЕХ_Подсказки!$A$2:$V$71,$N59,19),"")</f>
        <v>143.03</v>
      </c>
      <c r="I39" s="66" t="s">
        <v>94</v>
      </c>
      <c r="J39" s="67" t="s">
        <v>96</v>
      </c>
      <c r="K39" s="68">
        <f>ТЕХ_Расчет!AK$43</f>
        <v>0</v>
      </c>
      <c r="L39" s="68" t="str">
        <f t="shared" si="1"/>
        <v>НЕ ХВАТАЕТ</v>
      </c>
      <c r="M39" s="68" t="str">
        <f>'СПРАВОЧНИК ЭФФЕКТОВ'!C37</f>
        <v>Опционально</v>
      </c>
      <c r="N39" s="69">
        <f t="shared" si="2"/>
        <v>1</v>
      </c>
      <c r="O39" s="83"/>
      <c r="P39" s="83"/>
      <c r="Q39" s="83"/>
      <c r="R39" s="83"/>
      <c r="S39" s="83"/>
      <c r="T39" s="83"/>
      <c r="U39" s="83"/>
      <c r="V39" s="83"/>
    </row>
    <row r="40" spans="1:22" ht="20.100000000000001" customHeight="1">
      <c r="A40" s="91">
        <v>6</v>
      </c>
      <c r="B40" s="92" t="str">
        <f ca="1">IFERROR(INDEX(ТЕХ_Подсказки!$A$2:$V$71,$N60,1),"")</f>
        <v>Bloodmage</v>
      </c>
      <c r="C40" s="92" t="str">
        <f ca="1">IFERROR(INDEX(ТЕХ_Подсказки!$A$2:$V$71,$N60,2),"")</f>
        <v>Fleshweaver</v>
      </c>
      <c r="D40" s="91" t="str">
        <f ca="1">IFERROR(INDEX(ТЕХ_Подсказки!$A$2:$V$71,$N60,3),"")</f>
        <v>Саппорт</v>
      </c>
      <c r="E40" s="93">
        <f ca="1">IFERROR(INDEX(ТЕХ_Подсказки!$A$2:$V$71,$N60,13),"")</f>
        <v>0</v>
      </c>
      <c r="F40" s="93">
        <f ca="1">IFERROR(INDEX(ТЕХ_Подсказки!$A$2:$V$71,$N60,14),"")</f>
        <v>0</v>
      </c>
      <c r="G40" s="94">
        <f ca="1">IFERROR(INDEX(ТЕХ_Подсказки!$A$2:$V$71,$N60,9),"")</f>
        <v>92.75</v>
      </c>
      <c r="H40" s="95">
        <f ca="1">IFERROR(INDEX(ТЕХ_Подсказки!$A$2:$V$71,$N60,19),"")</f>
        <v>142.75</v>
      </c>
      <c r="I40" s="66" t="s">
        <v>94</v>
      </c>
      <c r="J40" s="67" t="s">
        <v>97</v>
      </c>
      <c r="K40" s="68">
        <f>ТЕХ_Расчет!AL$43</f>
        <v>0</v>
      </c>
      <c r="L40" s="68" t="str">
        <f t="shared" si="1"/>
        <v>НЕ ХВАТАЕТ</v>
      </c>
      <c r="M40" s="68" t="str">
        <f>'СПРАВОЧНИК ЭФФЕКТОВ'!C38</f>
        <v>Критично</v>
      </c>
      <c r="N40" s="69">
        <f t="shared" si="2"/>
        <v>3</v>
      </c>
      <c r="O40" s="83"/>
      <c r="P40" s="83"/>
      <c r="Q40" s="83"/>
      <c r="R40" s="83"/>
      <c r="S40" s="83"/>
      <c r="T40" s="83"/>
      <c r="U40" s="83"/>
      <c r="V40" s="83"/>
    </row>
    <row r="41" spans="1:22" ht="20.100000000000001" customHeight="1">
      <c r="A41" s="91">
        <v>7</v>
      </c>
      <c r="B41" s="92" t="str">
        <f ca="1">IFERROR(INDEX(ТЕХ_Подсказки!$A$2:$V$71,$N61,1),"")</f>
        <v>Cultist</v>
      </c>
      <c r="C41" s="92" t="str">
        <f ca="1">IFERROR(INDEX(ТЕХ_Подсказки!$A$2:$V$71,$N61,2),"")</f>
        <v>Dreadnought</v>
      </c>
      <c r="D41" s="91" t="str">
        <f ca="1">IFERROR(INDEX(ТЕХ_Подсказки!$A$2:$V$71,$N61,3),"")</f>
        <v>Танк</v>
      </c>
      <c r="E41" s="93">
        <f ca="1">IFERROR(INDEX(ТЕХ_Подсказки!$A$2:$V$71,$N61,13),"")</f>
        <v>0</v>
      </c>
      <c r="F41" s="93">
        <f ca="1">IFERROR(INDEX(ТЕХ_Подсказки!$A$2:$V$71,$N61,14),"")</f>
        <v>0</v>
      </c>
      <c r="G41" s="94">
        <f ca="1">IFERROR(INDEX(ТЕХ_Подсказки!$A$2:$V$71,$N61,9),"")</f>
        <v>69.09</v>
      </c>
      <c r="H41" s="95">
        <f ca="1">IFERROR(INDEX(ТЕХ_Подсказки!$A$2:$V$71,$N61,19),"")</f>
        <v>139.09</v>
      </c>
      <c r="I41" s="66" t="s">
        <v>98</v>
      </c>
      <c r="J41" s="67" t="s">
        <v>99</v>
      </c>
      <c r="K41" s="68">
        <f>ТЕХ_Расчет!AM$43</f>
        <v>0</v>
      </c>
      <c r="L41" s="68" t="str">
        <f t="shared" si="1"/>
        <v>НЕ ХВАТАЕТ</v>
      </c>
      <c r="M41" s="68" t="str">
        <f>'СПРАВОЧНИК ЭФФЕКТОВ'!C39</f>
        <v>Критично</v>
      </c>
      <c r="N41" s="69">
        <f t="shared" si="2"/>
        <v>3</v>
      </c>
      <c r="O41" s="83"/>
      <c r="P41" s="83"/>
      <c r="Q41" s="83"/>
      <c r="R41" s="83"/>
      <c r="S41" s="83"/>
      <c r="T41" s="83"/>
      <c r="U41" s="83"/>
      <c r="V41" s="83"/>
    </row>
    <row r="42" spans="1:22" ht="20.100000000000001" customHeight="1">
      <c r="A42" s="91">
        <v>8</v>
      </c>
      <c r="B42" s="92" t="str">
        <f ca="1">IFERROR(INDEX(ТЕХ_Подсказки!$A$2:$V$71,$N62,1),"")</f>
        <v>Sun Cleric</v>
      </c>
      <c r="C42" s="92" t="str">
        <f ca="1">IFERROR(INDEX(ТЕХ_Подсказки!$A$2:$V$71,$N62,2),"")</f>
        <v>Seraphim</v>
      </c>
      <c r="D42" s="91" t="str">
        <f ca="1">IFERROR(INDEX(ТЕХ_Подсказки!$A$2:$V$71,$N62,3),"")</f>
        <v>Танк</v>
      </c>
      <c r="E42" s="93">
        <f ca="1">IFERROR(INDEX(ТЕХ_Подсказки!$A$2:$V$71,$N62,13),"")</f>
        <v>0</v>
      </c>
      <c r="F42" s="93">
        <f ca="1">IFERROR(INDEX(ТЕХ_Подсказки!$A$2:$V$71,$N62,14),"")</f>
        <v>0</v>
      </c>
      <c r="G42" s="94">
        <f ca="1">IFERROR(INDEX(ТЕХ_Подсказки!$A$2:$V$71,$N62,9),"")</f>
        <v>66.39</v>
      </c>
      <c r="H42" s="95">
        <f ca="1">IFERROR(INDEX(ТЕХ_Подсказки!$A$2:$V$71,$N62,19),"")</f>
        <v>136.38999999999999</v>
      </c>
      <c r="I42" s="66" t="s">
        <v>98</v>
      </c>
      <c r="J42" s="67" t="s">
        <v>100</v>
      </c>
      <c r="K42" s="68">
        <f>ТЕХ_Расчет!AN$43</f>
        <v>0</v>
      </c>
      <c r="L42" s="68" t="str">
        <f t="shared" si="1"/>
        <v>НЕ ХВАТАЕТ</v>
      </c>
      <c r="M42" s="68" t="str">
        <f>'СПРАВОЧНИК ЭФФЕКТОВ'!C40</f>
        <v>Критично</v>
      </c>
      <c r="N42" s="69">
        <f t="shared" si="2"/>
        <v>3</v>
      </c>
      <c r="O42" s="83"/>
      <c r="P42" s="83"/>
      <c r="Q42" s="83"/>
      <c r="R42" s="83"/>
      <c r="S42" s="83"/>
      <c r="T42" s="83"/>
      <c r="U42" s="83"/>
      <c r="V42" s="83"/>
    </row>
    <row r="43" spans="1:22" ht="20.100000000000001" customHeight="1">
      <c r="A43" s="91">
        <v>9</v>
      </c>
      <c r="B43" s="92" t="str">
        <f ca="1">IFERROR(INDEX(ТЕХ_Подсказки!$A$2:$V$71,$N63,1),"")</f>
        <v>Guardian</v>
      </c>
      <c r="C43" s="92" t="str">
        <f ca="1">IFERROR(INDEX(ТЕХ_Подсказки!$A$2:$V$71,$N63,2),"")</f>
        <v>Vanguard</v>
      </c>
      <c r="D43" s="91" t="str">
        <f ca="1">IFERROR(INDEX(ТЕХ_Подсказки!$A$2:$V$71,$N63,3),"")</f>
        <v>Танк</v>
      </c>
      <c r="E43" s="93">
        <f ca="1">IFERROR(INDEX(ТЕХ_Подсказки!$A$2:$V$71,$N63,13),"")</f>
        <v>0</v>
      </c>
      <c r="F43" s="93">
        <f ca="1">IFERROR(INDEX(ТЕХ_Подсказки!$A$2:$V$71,$N63,14),"")</f>
        <v>0</v>
      </c>
      <c r="G43" s="94">
        <f ca="1">IFERROR(INDEX(ТЕХ_Подсказки!$A$2:$V$71,$N63,9),"")</f>
        <v>62.16</v>
      </c>
      <c r="H43" s="95">
        <f ca="1">IFERROR(INDEX(ТЕХ_Подсказки!$A$2:$V$71,$N63,19),"")</f>
        <v>132.16</v>
      </c>
      <c r="I43" s="66" t="s">
        <v>98</v>
      </c>
      <c r="J43" s="67" t="s">
        <v>101</v>
      </c>
      <c r="K43" s="68">
        <f>ТЕХ_Расчет!AO$43</f>
        <v>0</v>
      </c>
      <c r="L43" s="68" t="str">
        <f t="shared" si="1"/>
        <v>НЕ ХВАТАЕТ</v>
      </c>
      <c r="M43" s="68" t="str">
        <f>'СПРАВОЧНИК ЭФФЕКТОВ'!C41</f>
        <v>Критично</v>
      </c>
      <c r="N43" s="69">
        <f t="shared" si="2"/>
        <v>3</v>
      </c>
      <c r="O43" s="83"/>
      <c r="P43" s="83"/>
      <c r="Q43" s="83"/>
      <c r="R43" s="83"/>
      <c r="S43" s="83"/>
      <c r="T43" s="83"/>
      <c r="U43" s="83"/>
      <c r="V43" s="83"/>
    </row>
    <row r="44" spans="1:22" ht="20.100000000000001" customHeight="1">
      <c r="A44" s="91">
        <v>10</v>
      </c>
      <c r="B44" s="92" t="str">
        <f ca="1">IFERROR(INDEX(ТЕХ_Подсказки!$A$2:$V$71,$N64,1),"")</f>
        <v>Sun Cleric</v>
      </c>
      <c r="C44" s="92" t="str">
        <f ca="1">IFERROR(INDEX(ТЕХ_Подсказки!$A$2:$V$71,$N64,2),"")</f>
        <v>Blessings</v>
      </c>
      <c r="D44" s="91" t="str">
        <f ca="1">IFERROR(INDEX(ТЕХ_Подсказки!$A$2:$V$71,$N64,3),"")</f>
        <v>Хилер</v>
      </c>
      <c r="E44" s="93">
        <f ca="1">IFERROR(INDEX(ТЕХ_Подсказки!$A$2:$V$71,$N64,13),"")</f>
        <v>0</v>
      </c>
      <c r="F44" s="93">
        <f ca="1">IFERROR(INDEX(ТЕХ_Подсказки!$A$2:$V$71,$N64,14),"")</f>
        <v>0</v>
      </c>
      <c r="G44" s="94">
        <f ca="1">IFERROR(INDEX(ТЕХ_Подсказки!$A$2:$V$71,$N64,9),"")</f>
        <v>76.48</v>
      </c>
      <c r="H44" s="95">
        <f ca="1">IFERROR(INDEX(ТЕХ_Подсказки!$A$2:$V$71,$N64,19),"")</f>
        <v>131.48000000000002</v>
      </c>
      <c r="I44" s="66" t="s">
        <v>98</v>
      </c>
      <c r="J44" s="67" t="s">
        <v>102</v>
      </c>
      <c r="K44" s="68">
        <f>ТЕХ_Расчет!AP$43</f>
        <v>0</v>
      </c>
      <c r="L44" s="68" t="str">
        <f t="shared" si="1"/>
        <v>НЕ ХВАТАЕТ</v>
      </c>
      <c r="M44" s="68" t="str">
        <f>'СПРАВОЧНИК ЭФФЕКТОВ'!C42</f>
        <v>Критично</v>
      </c>
      <c r="N44" s="69">
        <f t="shared" si="2"/>
        <v>3</v>
      </c>
      <c r="O44" s="83"/>
      <c r="P44" s="83"/>
      <c r="Q44" s="83"/>
      <c r="R44" s="83"/>
      <c r="S44" s="83"/>
      <c r="T44" s="83"/>
      <c r="U44" s="83"/>
      <c r="V44" s="83"/>
    </row>
    <row r="45" spans="1:22" ht="23.1" customHeight="1">
      <c r="A45" s="111" t="s">
        <v>103</v>
      </c>
      <c r="B45" s="111"/>
      <c r="C45" s="111"/>
      <c r="D45" s="111"/>
      <c r="E45" s="111"/>
      <c r="F45" s="111"/>
      <c r="G45" s="111"/>
      <c r="H45" s="111"/>
      <c r="I45" s="66" t="s">
        <v>104</v>
      </c>
      <c r="J45" s="67" t="s">
        <v>105</v>
      </c>
      <c r="K45" s="68">
        <f>ТЕХ_Расчет!AQ$43</f>
        <v>0</v>
      </c>
      <c r="L45" s="68" t="str">
        <f t="shared" si="1"/>
        <v>НЕ ХВАТАЕТ</v>
      </c>
      <c r="M45" s="68" t="str">
        <f>'СПРАВОЧНИК ЭФФЕКТОВ'!C43</f>
        <v>Критично</v>
      </c>
      <c r="N45" s="69">
        <f t="shared" si="2"/>
        <v>3</v>
      </c>
      <c r="O45" s="83"/>
      <c r="P45" s="83"/>
      <c r="Q45" s="83"/>
      <c r="R45" s="83"/>
      <c r="S45" s="83"/>
      <c r="T45" s="83"/>
      <c r="U45" s="83"/>
      <c r="V45" s="83"/>
    </row>
    <row r="46" spans="1:22" ht="21">
      <c r="I46" s="43" t="s">
        <v>104</v>
      </c>
      <c r="J46" s="44" t="s">
        <v>106</v>
      </c>
      <c r="K46" s="45">
        <f>ТЕХ_Расчет!AR$43</f>
        <v>0</v>
      </c>
      <c r="L46" s="45" t="str">
        <f t="shared" si="1"/>
        <v>НЕ ХВАТАЕТ</v>
      </c>
      <c r="M46" s="45" t="str">
        <f>'СПРАВОЧНИК ЭФФЕКТОВ'!C44</f>
        <v>Критично</v>
      </c>
      <c r="N46" s="46">
        <f t="shared" si="2"/>
        <v>3</v>
      </c>
    </row>
    <row r="47" spans="1:22" ht="21">
      <c r="I47" s="43" t="s">
        <v>104</v>
      </c>
      <c r="J47" s="44" t="s">
        <v>107</v>
      </c>
      <c r="K47" s="45">
        <f>ТЕХ_Расчет!AS$43</f>
        <v>0</v>
      </c>
      <c r="L47" s="45" t="str">
        <f t="shared" si="1"/>
        <v>НЕ ХВАТАЕТ</v>
      </c>
      <c r="M47" s="45" t="str">
        <f>'СПРАВОЧНИК ЭФФЕКТОВ'!C45</f>
        <v>Опционально</v>
      </c>
      <c r="N47" s="46">
        <f t="shared" si="2"/>
        <v>1</v>
      </c>
    </row>
    <row r="48" spans="1:22" ht="21">
      <c r="I48" s="43" t="s">
        <v>104</v>
      </c>
      <c r="J48" s="44" t="s">
        <v>108</v>
      </c>
      <c r="K48" s="45">
        <f>ТЕХ_Расчет!AT$43</f>
        <v>0</v>
      </c>
      <c r="L48" s="45" t="str">
        <f t="shared" si="1"/>
        <v>НЕ ХВАТАЕТ</v>
      </c>
      <c r="M48" s="45" t="str">
        <f>'СПРАВОЧНИК ЭФФЕКТОВ'!C46</f>
        <v>Опционально</v>
      </c>
      <c r="N48" s="46">
        <f t="shared" si="2"/>
        <v>1</v>
      </c>
    </row>
    <row r="49" spans="1:22" ht="30" customHeight="1">
      <c r="I49" s="43" t="s">
        <v>104</v>
      </c>
      <c r="J49" s="44" t="s">
        <v>109</v>
      </c>
      <c r="K49" s="45">
        <f>ТЕХ_Расчет!AU$43</f>
        <v>0</v>
      </c>
      <c r="L49" s="45" t="str">
        <f t="shared" si="1"/>
        <v>НЕ ХВАТАЕТ</v>
      </c>
      <c r="M49" s="45" t="str">
        <f>'СПРАВОЧНИК ЭФФЕКТОВ'!C47</f>
        <v>Опционально</v>
      </c>
      <c r="N49" s="46">
        <f t="shared" si="2"/>
        <v>1</v>
      </c>
    </row>
    <row r="50" spans="1:22" ht="30" customHeight="1">
      <c r="I50" s="43" t="s">
        <v>104</v>
      </c>
      <c r="J50" s="44" t="s">
        <v>110</v>
      </c>
      <c r="K50" s="45">
        <f>ТЕХ_Расчет!AV$43</f>
        <v>0</v>
      </c>
      <c r="L50" s="45" t="str">
        <f t="shared" si="1"/>
        <v>НЕ ХВАТАЕТ</v>
      </c>
      <c r="M50" s="45" t="str">
        <f>'СПРАВОЧНИК ЭФФЕКТОВ'!C48</f>
        <v>Критично</v>
      </c>
      <c r="N50" s="46">
        <f t="shared" si="2"/>
        <v>3</v>
      </c>
    </row>
    <row r="51" spans="1:22" ht="30" customHeight="1">
      <c r="I51" s="47"/>
      <c r="J51" s="48"/>
      <c r="K51" s="48"/>
      <c r="L51" s="48"/>
      <c r="M51" s="48"/>
      <c r="N51" s="42"/>
    </row>
    <row r="52" spans="1:22" ht="30" customHeight="1">
      <c r="I52" s="47"/>
      <c r="J52" s="48"/>
      <c r="K52" s="48"/>
      <c r="L52" s="48"/>
      <c r="M52" s="48"/>
      <c r="N52" s="61">
        <f ca="1">NOW()</f>
        <v>46227.905438194444</v>
      </c>
    </row>
    <row r="53" spans="1:22" ht="30" customHeight="1">
      <c r="I53" s="47"/>
      <c r="J53" s="48"/>
      <c r="K53" s="48"/>
      <c r="L53" s="48"/>
      <c r="M53" s="48"/>
      <c r="N53" s="42"/>
    </row>
    <row r="54" spans="1:22" ht="30" customHeight="1">
      <c r="I54" s="47"/>
      <c r="J54" s="48"/>
      <c r="K54" s="48"/>
      <c r="L54" s="48"/>
      <c r="M54" s="48"/>
      <c r="N54" s="42">
        <f ca="1">IFERROR(MATCH(MAX(ТЕХ_Подсказки!$T$2:$T$71),ТЕХ_Подсказки!$T$2:$T$71,0),"")</f>
        <v>7</v>
      </c>
    </row>
    <row r="55" spans="1:22" ht="30" customHeight="1">
      <c r="I55" s="47"/>
      <c r="J55" s="48"/>
      <c r="K55" s="48"/>
      <c r="L55" s="48"/>
      <c r="M55" s="48"/>
      <c r="N55" s="42">
        <f ca="1">IFERROR(MATCH(LARGE(ТЕХ_Подсказки!$T$2:$T$71,1),ТЕХ_Подсказки!$T$2:$T$71,0),"")</f>
        <v>7</v>
      </c>
    </row>
    <row r="56" spans="1:22" ht="30" customHeight="1">
      <c r="A56" s="15">
        <v>8</v>
      </c>
      <c r="B56" s="15" t="str">
        <f ca="1">IFERROR(INDEX(ТЕХ_Подсказки!$A$2:$A$71,MATCH(LARGE(ТЕХ_Подсказки!$T$2:$T$71,$A56),ТЕХ_Подсказки!$T$2:$T$71,0)),"")</f>
        <v>Sun Cleric</v>
      </c>
      <c r="C56" s="15" t="str">
        <f ca="1">IFERROR(INDEX(ТЕХ_Подсказки!$B$2:$B$71,MATCH(LARGE(ТЕХ_Подсказки!$T$2:$T$71,$A56),ТЕХ_Подсказки!$T$2:$T$71,0)),"")</f>
        <v>Seraphim</v>
      </c>
      <c r="D56" s="15" t="str">
        <f ca="1">IFERROR(INDEX(ТЕХ_Подсказки!$C$2:$C$71,MATCH(LARGE(ТЕХ_Подсказки!$T$2:$T$71,$A56),ТЕХ_Подсказки!$T$2:$T$71,0)),"")</f>
        <v>Танк</v>
      </c>
      <c r="E56" s="15">
        <f ca="1">IFERROR(INDEX(ТЕХ_Подсказки!$M$2:$M$71,MATCH(LARGE(ТЕХ_Подсказки!$T$2:$T$71,$A56),ТЕХ_Подсказки!$T$2:$T$71,0)),"")</f>
        <v>0</v>
      </c>
      <c r="F56" s="37">
        <f ca="1">IFERROR(INDEX(ТЕХ_Подсказки!$I$2:$I$71,MATCH(LARGE(ТЕХ_Подсказки!$T$2:$T$71,$A56),ТЕХ_Подсказки!$T$2:$T$71,0)),"")</f>
        <v>66.39</v>
      </c>
      <c r="G56" s="37">
        <f ca="1">IFERROR(INDEX(ТЕХ_Подсказки!$S$2:$S$71,MATCH(LARGE(ТЕХ_Подсказки!$T$2:$T$71,$A56),ТЕХ_Подсказки!$T$2:$T$71,0)),"")</f>
        <v>136.38999999999999</v>
      </c>
      <c r="H56" s="36" t="str">
        <f ca="1">IFERROR(INDEX(ТЕХ_Подсказки!$V$2:$V$71,MATCH(LARGE(ТЕХ_Подсказки!$T$2:$T$71,$A56),ТЕХ_Подсказки!$T$2:$T$71,0)),"")</f>
        <v>Критичные и важные эффекты закрыты — выбор по роли и логам: DTPS 433, 66/100.</v>
      </c>
      <c r="I56" s="47"/>
      <c r="J56" s="48"/>
      <c r="K56" s="48"/>
      <c r="L56" s="48"/>
      <c r="M56" s="48"/>
      <c r="N56" s="42">
        <f ca="1">IFERROR(MATCH(LARGE(ТЕХ_Подсказки!$T$2:$T$71,2),ТЕХ_Подсказки!$T$2:$T$71,0),"")</f>
        <v>1</v>
      </c>
      <c r="O56" s="40"/>
      <c r="P56" s="40"/>
      <c r="Q56" s="40"/>
      <c r="R56" s="40"/>
      <c r="S56" s="40"/>
      <c r="T56" s="40"/>
      <c r="U56" s="40"/>
      <c r="V56" s="40"/>
    </row>
    <row r="57" spans="1:22" ht="30" customHeight="1">
      <c r="A57" s="15">
        <v>9</v>
      </c>
      <c r="B57" s="15" t="str">
        <f ca="1">IFERROR(INDEX(ТЕХ_Подсказки!$A$2:$A$71,MATCH(LARGE(ТЕХ_Подсказки!$T$2:$T$71,$A57),ТЕХ_Подсказки!$T$2:$T$71,0)),"")</f>
        <v>Guardian</v>
      </c>
      <c r="C57" s="15" t="str">
        <f ca="1">IFERROR(INDEX(ТЕХ_Подсказки!$B$2:$B$71,MATCH(LARGE(ТЕХ_Подсказки!$T$2:$T$71,$A57),ТЕХ_Подсказки!$T$2:$T$71,0)),"")</f>
        <v>Vanguard</v>
      </c>
      <c r="D57" s="15" t="str">
        <f ca="1">IFERROR(INDEX(ТЕХ_Подсказки!$C$2:$C$71,MATCH(LARGE(ТЕХ_Подсказки!$T$2:$T$71,$A57),ТЕХ_Подсказки!$T$2:$T$71,0)),"")</f>
        <v>Танк</v>
      </c>
      <c r="E57" s="15">
        <f ca="1">IFERROR(INDEX(ТЕХ_Подсказки!$M$2:$M$71,MATCH(LARGE(ТЕХ_Подсказки!$T$2:$T$71,$A57),ТЕХ_Подсказки!$T$2:$T$71,0)),"")</f>
        <v>0</v>
      </c>
      <c r="F57" s="37">
        <f ca="1">IFERROR(INDEX(ТЕХ_Подсказки!$I$2:$I$71,MATCH(LARGE(ТЕХ_Подсказки!$T$2:$T$71,$A57),ТЕХ_Подсказки!$T$2:$T$71,0)),"")</f>
        <v>62.16</v>
      </c>
      <c r="G57" s="37">
        <f ca="1">IFERROR(INDEX(ТЕХ_Подсказки!$S$2:$S$71,MATCH(LARGE(ТЕХ_Подсказки!$T$2:$T$71,$A57),ТЕХ_Подсказки!$T$2:$T$71,0)),"")</f>
        <v>132.16</v>
      </c>
      <c r="H57" s="36" t="str">
        <f ca="1">IFERROR(INDEX(ТЕХ_Подсказки!$V$2:$V$71,MATCH(LARGE(ТЕХ_Подсказки!$T$2:$T$71,$A57),ТЕХ_Подсказки!$T$2:$T$71,0)),"")</f>
        <v>Критичные и важные эффекты закрыты — выбор по роли и логам: DTPS 483, 62/100.</v>
      </c>
      <c r="I57" s="47"/>
      <c r="J57" s="48"/>
      <c r="K57" s="48"/>
      <c r="L57" s="48"/>
      <c r="M57" s="48"/>
      <c r="N57" s="42">
        <f ca="1">IFERROR(MATCH(LARGE(ТЕХ_Подсказки!$T$2:$T$71,3),ТЕХ_Подсказки!$T$2:$T$71,0),"")</f>
        <v>23</v>
      </c>
      <c r="O57" s="40"/>
      <c r="P57" s="40"/>
      <c r="Q57" s="40"/>
      <c r="R57" s="40"/>
      <c r="S57" s="40"/>
      <c r="T57" s="40"/>
      <c r="U57" s="40"/>
      <c r="V57" s="40"/>
    </row>
    <row r="58" spans="1:22" ht="30" customHeight="1">
      <c r="A58" s="15">
        <v>10</v>
      </c>
      <c r="B58" s="15" t="str">
        <f ca="1">IFERROR(INDEX(ТЕХ_Подсказки!$A$2:$A$71,MATCH(LARGE(ТЕХ_Подсказки!$T$2:$T$71,$A58),ТЕХ_Подсказки!$T$2:$T$71,0)),"")</f>
        <v>Sun Cleric</v>
      </c>
      <c r="C58" s="15" t="str">
        <f ca="1">IFERROR(INDEX(ТЕХ_Подсказки!$B$2:$B$71,MATCH(LARGE(ТЕХ_Подсказки!$T$2:$T$71,$A58),ТЕХ_Подсказки!$T$2:$T$71,0)),"")</f>
        <v>Blessings</v>
      </c>
      <c r="D58" s="15" t="str">
        <f ca="1">IFERROR(INDEX(ТЕХ_Подсказки!$C$2:$C$71,MATCH(LARGE(ТЕХ_Подсказки!$T$2:$T$71,$A58),ТЕХ_Подсказки!$T$2:$T$71,0)),"")</f>
        <v>Хилер</v>
      </c>
      <c r="E58" s="15">
        <f ca="1">IFERROR(INDEX(ТЕХ_Подсказки!$M$2:$M$71,MATCH(LARGE(ТЕХ_Подсказки!$T$2:$T$71,$A58),ТЕХ_Подсказки!$T$2:$T$71,0)),"")</f>
        <v>0</v>
      </c>
      <c r="F58" s="37">
        <f ca="1">IFERROR(INDEX(ТЕХ_Подсказки!$I$2:$I$71,MATCH(LARGE(ТЕХ_Подсказки!$T$2:$T$71,$A58),ТЕХ_Подсказки!$T$2:$T$71,0)),"")</f>
        <v>76.48</v>
      </c>
      <c r="G58" s="37">
        <f ca="1">IFERROR(INDEX(ТЕХ_Подсказки!$S$2:$S$71,MATCH(LARGE(ТЕХ_Подсказки!$T$2:$T$71,$A58),ТЕХ_Подсказки!$T$2:$T$71,0)),"")</f>
        <v>131.48000000000002</v>
      </c>
      <c r="H58" s="36" t="str">
        <f ca="1">IFERROR(INDEX(ТЕХ_Подсказки!$V$2:$V$71,MATCH(LARGE(ТЕХ_Подсказки!$T$2:$T$71,$A58),ТЕХ_Подсказки!$T$2:$T$71,0)),"")</f>
        <v>Критичные и важные эффекты закрыты — выбор по роли и логам: HPS 909, 76/100.</v>
      </c>
      <c r="I58" s="49"/>
      <c r="J58" s="50"/>
      <c r="K58" s="50"/>
      <c r="L58" s="50"/>
      <c r="M58" s="50"/>
      <c r="N58" s="51">
        <f ca="1">IFERROR(MATCH(LARGE(ТЕХ_Подсказки!$T$2:$T$71,4),ТЕХ_Подсказки!$T$2:$T$71,0),"")</f>
        <v>25</v>
      </c>
      <c r="O58" s="40"/>
      <c r="P58" s="40"/>
      <c r="Q58" s="40"/>
      <c r="R58" s="40"/>
      <c r="S58" s="40"/>
      <c r="T58" s="40"/>
      <c r="U58" s="40"/>
      <c r="V58" s="40"/>
    </row>
    <row r="59" spans="1:22">
      <c r="N59">
        <f ca="1">IFERROR(MATCH(LARGE(ТЕХ_Подсказки!$T$2:$T$71,5),ТЕХ_Подсказки!$T$2:$T$71,0),"")</f>
        <v>8</v>
      </c>
    </row>
    <row r="60" spans="1:22">
      <c r="N60">
        <f ca="1">IFERROR(MATCH(LARGE(ТЕХ_Подсказки!$T$2:$T$71,6),ТЕХ_Подсказки!$T$2:$T$71,0),"")</f>
        <v>3</v>
      </c>
    </row>
    <row r="61" spans="1:22">
      <c r="N61">
        <f ca="1">IFERROR(MATCH(LARGE(ТЕХ_Подсказки!$T$2:$T$71,7),ТЕХ_Подсказки!$T$2:$T$71,0),"")</f>
        <v>30</v>
      </c>
    </row>
    <row r="62" spans="1:22">
      <c r="N62">
        <f ca="1">IFERROR(MATCH(LARGE(ТЕХ_Подсказки!$T$2:$T$71,8),ТЕХ_Подсказки!$T$2:$T$71,0),"")</f>
        <v>34</v>
      </c>
    </row>
    <row r="63" spans="1:22">
      <c r="N63">
        <f ca="1">IFERROR(MATCH(LARGE(ТЕХ_Подсказки!$T$2:$T$71,9),ТЕХ_Подсказки!$T$2:$T$71,0),"")</f>
        <v>41</v>
      </c>
    </row>
    <row r="64" spans="1:22">
      <c r="N64">
        <f ca="1">IFERROR(MATCH(LARGE(ТЕХ_Подсказки!$T$2:$T$71,10),ТЕХ_Подсказки!$T$2:$T$71,0),"")</f>
        <v>22</v>
      </c>
    </row>
  </sheetData>
  <autoFilter ref="A34:H34" xr:uid="{00000000-0001-0000-0000-000000000000}"/>
  <mergeCells count="37">
    <mergeCell ref="S29:V33"/>
    <mergeCell ref="A33:H33"/>
    <mergeCell ref="A45:H45"/>
    <mergeCell ref="A32:H32"/>
    <mergeCell ref="O24:V24"/>
    <mergeCell ref="P25:T25"/>
    <mergeCell ref="P26:V27"/>
    <mergeCell ref="O28:R28"/>
    <mergeCell ref="S28:V28"/>
    <mergeCell ref="P20:R20"/>
    <mergeCell ref="S20:V20"/>
    <mergeCell ref="P21:R21"/>
    <mergeCell ref="S21:V21"/>
    <mergeCell ref="P22:R22"/>
    <mergeCell ref="S22:V22"/>
    <mergeCell ref="P17:R17"/>
    <mergeCell ref="S17:V17"/>
    <mergeCell ref="P18:R18"/>
    <mergeCell ref="S18:V18"/>
    <mergeCell ref="P19:R19"/>
    <mergeCell ref="S19:V19"/>
    <mergeCell ref="P14:R14"/>
    <mergeCell ref="S14:V14"/>
    <mergeCell ref="P15:R15"/>
    <mergeCell ref="S15:V15"/>
    <mergeCell ref="P16:R16"/>
    <mergeCell ref="S16:V16"/>
    <mergeCell ref="O5:V5"/>
    <mergeCell ref="O6:V6"/>
    <mergeCell ref="O8:V10"/>
    <mergeCell ref="O11:V11"/>
    <mergeCell ref="O13:V13"/>
    <mergeCell ref="A1:H1"/>
    <mergeCell ref="A2:H2"/>
    <mergeCell ref="A3:B3"/>
    <mergeCell ref="A4:H4"/>
    <mergeCell ref="O1:V1"/>
  </mergeCells>
  <dataValidations count="4">
    <dataValidation type="list" sqref="C3" xr:uid="{00000000-0002-0000-0000-000034000000}">
      <formula1>"Любая,Танк,Хилер,Саппорт,Мили-DPS,Рейндж/кастер"</formula1>
    </dataValidation>
    <dataValidation type="list" sqref="P2:P3" xr:uid="{00000000-0002-0000-0000-000035000000}">
      <formula1>"Скорость,Универсальный,Безопасность"</formula1>
    </dataValidation>
    <dataValidation type="list" sqref="R2" xr:uid="{00000000-0002-0000-0000-000037000000}">
      <formula1>"Без ограничений,Умеренно,Разнообразно"</formula1>
    </dataValidation>
    <dataValidation type="list" sqref="T2 V2" xr:uid="{00000000-0002-0000-0000-000038000000}">
      <formula1>"1,2,3,4,5,6,7,8,9,10"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ТЕХ_Списки!$AZ$2:$AZ$7</xm:f>
          </x14:formula1>
          <xm:sqref>B3</xm:sqref>
        </x14:dataValidation>
        <x14:dataValidation type="list" xr:uid="{00000000-0002-0000-0000-000001000000}">
          <x14:formula1>
            <xm:f>OFFSET(ТЕХ_Списки!$B$2,MATCH(C6,ТЕХ_Списки!$A$2:$A$71,0)-1,0,COUNTIF(ТЕХ_Списки!$A$2:$A$71,C6),1)</xm:f>
          </x14:formula1>
          <xm:sqref>D6:D30</xm:sqref>
        </x14:dataValidation>
        <x14:dataValidation type="list" xr:uid="{00000000-0002-0000-0000-000002000000}">
          <x14:formula1>
            <xm:f>ТЕХ_Списки!$BB$2:$BB$11</xm:f>
          </x14:formula1>
          <xm:sqref>F6:F30</xm:sqref>
        </x14:dataValidation>
        <x14:dataValidation type="list" xr:uid="{00000000-0002-0000-0000-000033000000}">
          <x14:formula1>
            <xm:f>ТЕХ_Списки!$BA$2:$BA$5</xm:f>
          </x14:formula1>
          <xm:sqref>M6:M50</xm:sqref>
        </x14:dataValidation>
        <x14:dataValidation type="list" xr:uid="{00000000-0002-0000-0000-00003A000000}">
          <x14:formula1>
            <xm:f>'СПРАВОЧНИК ЭФФЕКТОВ'!$B$4:$B$48</xm:f>
          </x14:formula1>
          <xm:sqref>Q26 P25:T25</xm:sqref>
        </x14:dataValidation>
        <x14:dataValidation type="list" xr:uid="{00000000-0002-0000-0000-00003B000000}">
          <x14:formula1>
            <xm:f>ТЕХ_Списки!$AY$2:$AY$22</xm:f>
          </x14:formula1>
          <xm:sqref>C6:C30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opLeftCell="A62" workbookViewId="0">
      <selection activeCell="B61" sqref="B61:H61"/>
    </sheetView>
  </sheetViews>
  <sheetFormatPr defaultRowHeight="14.25"/>
  <cols>
    <col min="1" max="1" width="20" customWidth="1"/>
    <col min="2" max="2" width="34" customWidth="1"/>
    <col min="3" max="3" width="10" customWidth="1"/>
    <col min="4" max="5" width="12" customWidth="1"/>
    <col min="6" max="7" width="14" customWidth="1"/>
    <col min="8" max="8" width="7" customWidth="1"/>
  </cols>
  <sheetData>
    <row r="1" spans="1:8" ht="27.95" customHeight="1">
      <c r="A1" s="113" t="s">
        <v>111</v>
      </c>
      <c r="B1" s="113"/>
      <c r="C1" s="113"/>
      <c r="D1" s="113"/>
      <c r="E1" s="113"/>
      <c r="F1" s="113"/>
      <c r="G1" s="113"/>
      <c r="H1" s="113"/>
    </row>
    <row r="2" spans="1:8" ht="27.95" customHeight="1">
      <c r="A2" s="114" t="s">
        <v>112</v>
      </c>
      <c r="B2" s="114"/>
      <c r="C2" s="114"/>
      <c r="D2" s="114"/>
      <c r="E2" s="114"/>
      <c r="F2" s="114"/>
      <c r="G2" s="114"/>
      <c r="H2" s="114"/>
    </row>
    <row r="4" spans="1:8" ht="15">
      <c r="A4" s="115" t="s">
        <v>113</v>
      </c>
      <c r="B4" s="115"/>
      <c r="C4" s="115"/>
      <c r="E4" s="115" t="s">
        <v>114</v>
      </c>
      <c r="F4" s="115"/>
      <c r="G4" s="115"/>
    </row>
    <row r="5" spans="1:8">
      <c r="A5" s="5" t="s">
        <v>23</v>
      </c>
      <c r="B5" s="1" t="s">
        <v>152</v>
      </c>
      <c r="E5" s="5" t="s">
        <v>23</v>
      </c>
      <c r="F5" s="1" t="s">
        <v>276</v>
      </c>
    </row>
    <row r="6" spans="1:8" ht="24">
      <c r="A6" s="5" t="s">
        <v>24</v>
      </c>
      <c r="B6" s="1" t="s">
        <v>153</v>
      </c>
      <c r="E6" s="5" t="s">
        <v>24</v>
      </c>
      <c r="F6" s="1" t="s">
        <v>277</v>
      </c>
    </row>
    <row r="7" spans="1:8">
      <c r="A7" s="5" t="s">
        <v>25</v>
      </c>
      <c r="B7" s="1" t="str">
        <f>IF(OR(B5="",B6=""),"",IFERROR(INDEX(ТЕХ_Списки!$C$2:$C$71,MATCH(B5&amp;"§"&amp;B6,ТЕХ_Списки!$D$2:$D$71,0)),""))</f>
        <v>Рейндж/кастер</v>
      </c>
      <c r="E7" s="5" t="s">
        <v>25</v>
      </c>
      <c r="F7" s="1" t="str">
        <f>IF(OR(F5="",F6=""),"",IFERROR(INDEX(ТЕХ_Списки!$C$2:$C$71,MATCH(F5&amp;"§"&amp;F6,ТЕХ_Списки!$D$2:$D$71,0)),""))</f>
        <v>Мили-DPS</v>
      </c>
    </row>
    <row r="8" spans="1:8" ht="24">
      <c r="A8" s="5" t="s">
        <v>115</v>
      </c>
      <c r="B8" s="1">
        <f>IF(OR(B5="",B6=""),0,COUNTIFS($C$15:$C$59,0,$D$15:$D$59,"✓"))</f>
        <v>8</v>
      </c>
      <c r="E8" s="5" t="s">
        <v>115</v>
      </c>
      <c r="F8" s="1">
        <f>IF(OR(F5="",F6=""),0,COUNTIFS($C$15:$C$59,0,$E$15:$E$59,"✓"))</f>
        <v>6</v>
      </c>
    </row>
    <row r="9" spans="1:8" ht="24">
      <c r="A9" s="5" t="s">
        <v>116</v>
      </c>
      <c r="B9" s="1">
        <f>IF(OR(B5="",B6=""),0,SUMPRODUCT(--($C$15:$C$59=0),--($D$15:$D$59="✓"),$H$15:$H$59))</f>
        <v>18</v>
      </c>
      <c r="E9" s="5" t="s">
        <v>116</v>
      </c>
      <c r="F9" s="1">
        <f>IF(OR(F5="",F6=""),0,SUMPRODUCT(--($C$15:$C$59=0),--($E$15:$E$59="✓"),$H$15:$H$59))</f>
        <v>10</v>
      </c>
    </row>
    <row r="10" spans="1:8" ht="24">
      <c r="A10" s="5" t="s">
        <v>117</v>
      </c>
      <c r="B10" s="1">
        <f>IF(OR(B5="",B6=""),0,COUNTIF($D$15:$D$59,"✓"))</f>
        <v>8</v>
      </c>
      <c r="E10" s="5" t="s">
        <v>117</v>
      </c>
      <c r="F10" s="1">
        <f>IF(OR(F5="",F6=""),0,COUNTIF($E$15:$E$59,"✓"))</f>
        <v>6</v>
      </c>
    </row>
    <row r="12" spans="1:8" ht="30" customHeight="1">
      <c r="A12" s="116" t="str">
        <f>IF(OR(B5="",B6="",F5="",F6=""),"Выбери оба варианта",IF(B9&gt;F9,"ЛУЧШЕ ВАРИАНТ A: "&amp;B5&amp;" — "&amp;B6,IF(F9&gt;B9,"ЛУЧШЕ ВАРИАНТ B: "&amp;F5&amp;" — "&amp;F6,IF(B8&gt;F8,"ЛУЧШЕ ВАРИАНТ A: "&amp;B5&amp;" — "&amp;B6,IF(F8&gt;B8,"ЛУЧШЕ ВАРИАНТ B: "&amp;F5&amp;" — "&amp;F6,"РАВНОЦЕННО ДЛЯ ТЕКУЩЕГО РЕЙДА")))))</f>
        <v>ЛУЧШЕ ВАРИАНТ A: Felsworn — Infernal</v>
      </c>
      <c r="B12" s="116"/>
      <c r="C12" s="116"/>
      <c r="D12" s="116"/>
      <c r="E12" s="116"/>
      <c r="F12" s="116"/>
      <c r="G12" s="116"/>
      <c r="H12" s="116"/>
    </row>
    <row r="14" spans="1:8">
      <c r="A14" s="2" t="s">
        <v>29</v>
      </c>
      <c r="B14" s="2" t="s">
        <v>30</v>
      </c>
      <c r="C14" s="2" t="s">
        <v>31</v>
      </c>
      <c r="D14" s="2" t="s">
        <v>118</v>
      </c>
      <c r="E14" s="2" t="s">
        <v>119</v>
      </c>
      <c r="F14" s="2" t="s">
        <v>120</v>
      </c>
      <c r="G14" s="2" t="s">
        <v>33</v>
      </c>
      <c r="H14" s="2" t="s">
        <v>34</v>
      </c>
    </row>
    <row r="15" spans="1:8">
      <c r="A15" s="7" t="s">
        <v>36</v>
      </c>
      <c r="B15" s="7" t="s">
        <v>37</v>
      </c>
      <c r="C15" s="6">
        <f>'РЕЙД-КОНСТРУКТОР'!K6</f>
        <v>0</v>
      </c>
      <c r="D15" s="6" t="str">
        <f>IF(OR($B$5="",$B$6=""),"—",IF(IFERROR(INDEX(ТЕХ_Списки!$E$2:$E$71,MATCH($B$5&amp;"§"&amp;$B$6,ТЕХ_Списки!$D$2:$D$71,0)),0)=1,"✓","—"))</f>
        <v>—</v>
      </c>
      <c r="E15" s="6" t="str">
        <f>IF(OR($F$5="",$F$6=""),"—",IF(IFERROR(INDEX(ТЕХ_Списки!$E$2:$E$71,MATCH($F$5&amp;"§"&amp;$F$6,ТЕХ_Списки!$D$2:$D$71,0)),0)=1,"✓","—"))</f>
        <v>—</v>
      </c>
      <c r="F15" s="6" t="str">
        <f t="shared" ref="F15:F59" si="0">IF(D15=E15,"Одинаково",IF(D15="✓","Только A","Только B"))</f>
        <v>Одинаково</v>
      </c>
      <c r="G15" s="1" t="str">
        <f>'РЕЙД-КОНСТРУКТОР'!M6</f>
        <v>Критично</v>
      </c>
      <c r="H15" s="1">
        <f>'РЕЙД-КОНСТРУКТОР'!N6</f>
        <v>3</v>
      </c>
    </row>
    <row r="16" spans="1:8">
      <c r="A16" s="7" t="s">
        <v>36</v>
      </c>
      <c r="B16" s="7" t="s">
        <v>38</v>
      </c>
      <c r="C16" s="6">
        <f>'РЕЙД-КОНСТРУКТОР'!K7</f>
        <v>0</v>
      </c>
      <c r="D16" s="6" t="str">
        <f>IF(OR($B$5="",$B$6=""),"—",IF(IFERROR(INDEX(ТЕХ_Списки!$F$2:$F$71,MATCH($B$5&amp;"§"&amp;$B$6,ТЕХ_Списки!$D$2:$D$71,0)),0)=1,"✓","—"))</f>
        <v>✓</v>
      </c>
      <c r="E16" s="6" t="str">
        <f>IF(OR($F$5="",$F$6=""),"—",IF(IFERROR(INDEX(ТЕХ_Списки!$F$2:$F$71,MATCH($F$5&amp;"§"&amp;$F$6,ТЕХ_Списки!$D$2:$D$71,0)),0)=1,"✓","—"))</f>
        <v>✓</v>
      </c>
      <c r="F16" s="6" t="str">
        <f t="shared" si="0"/>
        <v>Одинаково</v>
      </c>
      <c r="G16" s="1" t="str">
        <f>'РЕЙД-КОНСТРУКТОР'!M7</f>
        <v>Важно</v>
      </c>
      <c r="H16" s="1">
        <f>'РЕЙД-КОНСТРУКТОР'!N7</f>
        <v>2</v>
      </c>
    </row>
    <row r="17" spans="1:8">
      <c r="A17" s="7" t="s">
        <v>36</v>
      </c>
      <c r="B17" s="7" t="s">
        <v>42</v>
      </c>
      <c r="C17" s="6">
        <f>'РЕЙД-КОНСТРУКТОР'!K8</f>
        <v>0</v>
      </c>
      <c r="D17" s="6" t="str">
        <f>IF(OR($B$5="",$B$6=""),"—",IF(IFERROR(INDEX(ТЕХ_Списки!$G$2:$G$71,MATCH($B$5&amp;"§"&amp;$B$6,ТЕХ_Списки!$D$2:$D$71,0)),0)=1,"✓","—"))</f>
        <v>—</v>
      </c>
      <c r="E17" s="6" t="str">
        <f>IF(OR($F$5="",$F$6=""),"—",IF(IFERROR(INDEX(ТЕХ_Списки!$G$2:$G$71,MATCH($F$5&amp;"§"&amp;$F$6,ТЕХ_Списки!$D$2:$D$71,0)),0)=1,"✓","—"))</f>
        <v>—</v>
      </c>
      <c r="F17" s="6" t="str">
        <f t="shared" si="0"/>
        <v>Одинаково</v>
      </c>
      <c r="G17" s="1" t="str">
        <f>'РЕЙД-КОНСТРУКТОР'!M8</f>
        <v>Важно</v>
      </c>
      <c r="H17" s="1">
        <f>'РЕЙД-КОНСТРУКТОР'!N8</f>
        <v>2</v>
      </c>
    </row>
    <row r="18" spans="1:8">
      <c r="A18" s="7" t="s">
        <v>36</v>
      </c>
      <c r="B18" s="7" t="s">
        <v>43</v>
      </c>
      <c r="C18" s="6">
        <f>'РЕЙД-КОНСТРУКТОР'!K9</f>
        <v>0</v>
      </c>
      <c r="D18" s="6" t="str">
        <f>IF(OR($B$5="",$B$6=""),"—",IF(IFERROR(INDEX(ТЕХ_Списки!$H$2:$H$71,MATCH($B$5&amp;"§"&amp;$B$6,ТЕХ_Списки!$D$2:$D$71,0)),0)=1,"✓","—"))</f>
        <v>—</v>
      </c>
      <c r="E18" s="6" t="str">
        <f>IF(OR($F$5="",$F$6=""),"—",IF(IFERROR(INDEX(ТЕХ_Списки!$H$2:$H$71,MATCH($F$5&amp;"§"&amp;$F$6,ТЕХ_Списки!$D$2:$D$71,0)),0)=1,"✓","—"))</f>
        <v>—</v>
      </c>
      <c r="F18" s="6" t="str">
        <f t="shared" si="0"/>
        <v>Одинаково</v>
      </c>
      <c r="G18" s="1" t="str">
        <f>'РЕЙД-КОНСТРУКТОР'!M9</f>
        <v>Важно</v>
      </c>
      <c r="H18" s="1">
        <f>'РЕЙД-КОНСТРУКТОР'!N9</f>
        <v>2</v>
      </c>
    </row>
    <row r="19" spans="1:8">
      <c r="A19" s="7" t="s">
        <v>36</v>
      </c>
      <c r="B19" s="7" t="s">
        <v>44</v>
      </c>
      <c r="C19" s="6">
        <f>'РЕЙД-КОНСТРУКТОР'!K10</f>
        <v>0</v>
      </c>
      <c r="D19" s="6" t="str">
        <f>IF(OR($B$5="",$B$6=""),"—",IF(IFERROR(INDEX(ТЕХ_Списки!$I$2:$I$71,MATCH($B$5&amp;"§"&amp;$B$6,ТЕХ_Списки!$D$2:$D$71,0)),0)=1,"✓","—"))</f>
        <v>—</v>
      </c>
      <c r="E19" s="6" t="str">
        <f>IF(OR($F$5="",$F$6=""),"—",IF(IFERROR(INDEX(ТЕХ_Списки!$I$2:$I$71,MATCH($F$5&amp;"§"&amp;$F$6,ТЕХ_Списки!$D$2:$D$71,0)),0)=1,"✓","—"))</f>
        <v>✓</v>
      </c>
      <c r="F19" s="6" t="str">
        <f t="shared" si="0"/>
        <v>Только B</v>
      </c>
      <c r="G19" s="1" t="str">
        <f>'РЕЙД-КОНСТРУКТОР'!M10</f>
        <v>Важно</v>
      </c>
      <c r="H19" s="1">
        <f>'РЕЙД-КОНСТРУКТОР'!N10</f>
        <v>2</v>
      </c>
    </row>
    <row r="20" spans="1:8">
      <c r="A20" s="7" t="s">
        <v>36</v>
      </c>
      <c r="B20" s="7" t="s">
        <v>45</v>
      </c>
      <c r="C20" s="6">
        <f>'РЕЙД-КОНСТРУКТОР'!K11</f>
        <v>0</v>
      </c>
      <c r="D20" s="6" t="str">
        <f>IF(OR($B$5="",$B$6=""),"—",IF(IFERROR(INDEX(ТЕХ_Списки!$J$2:$J$71,MATCH($B$5&amp;"§"&amp;$B$6,ТЕХ_Списки!$D$2:$D$71,0)),0)=1,"✓","—"))</f>
        <v>✓</v>
      </c>
      <c r="E20" s="6" t="str">
        <f>IF(OR($F$5="",$F$6=""),"—",IF(IFERROR(INDEX(ТЕХ_Списки!$J$2:$J$71,MATCH($F$5&amp;"§"&amp;$F$6,ТЕХ_Списки!$D$2:$D$71,0)),0)=1,"✓","—"))</f>
        <v>—</v>
      </c>
      <c r="F20" s="6" t="str">
        <f t="shared" si="0"/>
        <v>Только A</v>
      </c>
      <c r="G20" s="1" t="str">
        <f>'РЕЙД-КОНСТРУКТОР'!M11</f>
        <v>Важно</v>
      </c>
      <c r="H20" s="1">
        <f>'РЕЙД-КОНСТРУКТОР'!N11</f>
        <v>2</v>
      </c>
    </row>
    <row r="21" spans="1:8">
      <c r="A21" s="7" t="s">
        <v>36</v>
      </c>
      <c r="B21" s="7" t="s">
        <v>46</v>
      </c>
      <c r="C21" s="6">
        <f>'РЕЙД-КОНСТРУКТОР'!K12</f>
        <v>0</v>
      </c>
      <c r="D21" s="6" t="str">
        <f>IF(OR($B$5="",$B$6=""),"—",IF(IFERROR(INDEX(ТЕХ_Списки!$K$2:$K$71,MATCH($B$5&amp;"§"&amp;$B$6,ТЕХ_Списки!$D$2:$D$71,0)),0)=1,"✓","—"))</f>
        <v>—</v>
      </c>
      <c r="E21" s="6" t="str">
        <f>IF(OR($F$5="",$F$6=""),"—",IF(IFERROR(INDEX(ТЕХ_Списки!$K$2:$K$71,MATCH($F$5&amp;"§"&amp;$F$6,ТЕХ_Списки!$D$2:$D$71,0)),0)=1,"✓","—"))</f>
        <v>—</v>
      </c>
      <c r="F21" s="6" t="str">
        <f t="shared" si="0"/>
        <v>Одинаково</v>
      </c>
      <c r="G21" s="1" t="str">
        <f>'РЕЙД-КОНСТРУКТОР'!M12</f>
        <v>Критично</v>
      </c>
      <c r="H21" s="1">
        <f>'РЕЙД-КОНСТРУКТОР'!N12</f>
        <v>3</v>
      </c>
    </row>
    <row r="22" spans="1:8">
      <c r="A22" s="7" t="s">
        <v>36</v>
      </c>
      <c r="B22" s="7" t="s">
        <v>47</v>
      </c>
      <c r="C22" s="6">
        <f>'РЕЙД-КОНСТРУКТОР'!K13</f>
        <v>0</v>
      </c>
      <c r="D22" s="6" t="str">
        <f>IF(OR($B$5="",$B$6=""),"—",IF(IFERROR(INDEX(ТЕХ_Списки!$L$2:$L$71,MATCH($B$5&amp;"§"&amp;$B$6,ТЕХ_Списки!$D$2:$D$71,0)),0)=1,"✓","—"))</f>
        <v>—</v>
      </c>
      <c r="E22" s="6" t="str">
        <f>IF(OR($F$5="",$F$6=""),"—",IF(IFERROR(INDEX(ТЕХ_Списки!$L$2:$L$71,MATCH($F$5&amp;"§"&amp;$F$6,ТЕХ_Списки!$D$2:$D$71,0)),0)=1,"✓","—"))</f>
        <v>✓</v>
      </c>
      <c r="F22" s="6" t="str">
        <f t="shared" si="0"/>
        <v>Только B</v>
      </c>
      <c r="G22" s="1" t="str">
        <f>'РЕЙД-КОНСТРУКТОР'!M13</f>
        <v>Критично</v>
      </c>
      <c r="H22" s="1">
        <f>'РЕЙД-КОНСТРУКТОР'!N13</f>
        <v>3</v>
      </c>
    </row>
    <row r="23" spans="1:8">
      <c r="A23" s="8" t="s">
        <v>49</v>
      </c>
      <c r="B23" s="8" t="s">
        <v>50</v>
      </c>
      <c r="C23" s="6">
        <f>'РЕЙД-КОНСТРУКТОР'!K14</f>
        <v>0</v>
      </c>
      <c r="D23" s="6" t="str">
        <f>IF(OR($B$5="",$B$6=""),"—",IF(IFERROR(INDEX(ТЕХ_Списки!$M$2:$M$71,MATCH($B$5&amp;"§"&amp;$B$6,ТЕХ_Списки!$D$2:$D$71,0)),0)=1,"✓","—"))</f>
        <v>—</v>
      </c>
      <c r="E23" s="6" t="str">
        <f>IF(OR($F$5="",$F$6=""),"—",IF(IFERROR(INDEX(ТЕХ_Списки!$M$2:$M$71,MATCH($F$5&amp;"§"&amp;$F$6,ТЕХ_Списки!$D$2:$D$71,0)),0)=1,"✓","—"))</f>
        <v>—</v>
      </c>
      <c r="F23" s="6" t="str">
        <f t="shared" si="0"/>
        <v>Одинаково</v>
      </c>
      <c r="G23" s="1" t="str">
        <f>'РЕЙД-КОНСТРУКТОР'!M14</f>
        <v>Важно</v>
      </c>
      <c r="H23" s="1">
        <f>'РЕЙД-КОНСТРУКТОР'!N14</f>
        <v>2</v>
      </c>
    </row>
    <row r="24" spans="1:8">
      <c r="A24" s="8" t="s">
        <v>49</v>
      </c>
      <c r="B24" s="8" t="s">
        <v>53</v>
      </c>
      <c r="C24" s="6">
        <f>'РЕЙД-КОНСТРУКТОР'!K15</f>
        <v>0</v>
      </c>
      <c r="D24" s="6" t="str">
        <f>IF(OR($B$5="",$B$6=""),"—",IF(IFERROR(INDEX(ТЕХ_Списки!$N$2:$N$71,MATCH($B$5&amp;"§"&amp;$B$6,ТЕХ_Списки!$D$2:$D$71,0)),0)=1,"✓","—"))</f>
        <v>—</v>
      </c>
      <c r="E24" s="6" t="str">
        <f>IF(OR($F$5="",$F$6=""),"—",IF(IFERROR(INDEX(ТЕХ_Списки!$N$2:$N$71,MATCH($F$5&amp;"§"&amp;$F$6,ТЕХ_Списки!$D$2:$D$71,0)),0)=1,"✓","—"))</f>
        <v>—</v>
      </c>
      <c r="F24" s="6" t="str">
        <f t="shared" si="0"/>
        <v>Одинаково</v>
      </c>
      <c r="G24" s="1" t="str">
        <f>'РЕЙД-КОНСТРУКТОР'!M15</f>
        <v>Важно</v>
      </c>
      <c r="H24" s="1">
        <f>'РЕЙД-КОНСТРУКТОР'!N15</f>
        <v>2</v>
      </c>
    </row>
    <row r="25" spans="1:8">
      <c r="A25" s="8" t="s">
        <v>49</v>
      </c>
      <c r="B25" s="8" t="s">
        <v>54</v>
      </c>
      <c r="C25" s="6">
        <f>'РЕЙД-КОНСТРУКТОР'!K16</f>
        <v>0</v>
      </c>
      <c r="D25" s="6" t="str">
        <f>IF(OR($B$5="",$B$6=""),"—",IF(IFERROR(INDEX(ТЕХ_Списки!$O$2:$O$71,MATCH($B$5&amp;"§"&amp;$B$6,ТЕХ_Списки!$D$2:$D$71,0)),0)=1,"✓","—"))</f>
        <v>—</v>
      </c>
      <c r="E25" s="6" t="str">
        <f>IF(OR($F$5="",$F$6=""),"—",IF(IFERROR(INDEX(ТЕХ_Списки!$O$2:$O$71,MATCH($F$5&amp;"§"&amp;$F$6,ТЕХ_Списки!$D$2:$D$71,0)),0)=1,"✓","—"))</f>
        <v>—</v>
      </c>
      <c r="F25" s="6" t="str">
        <f t="shared" si="0"/>
        <v>Одинаково</v>
      </c>
      <c r="G25" s="1" t="str">
        <f>'РЕЙД-КОНСТРУКТОР'!M16</f>
        <v>Важно</v>
      </c>
      <c r="H25" s="1">
        <f>'РЕЙД-КОНСТРУКТОР'!N16</f>
        <v>2</v>
      </c>
    </row>
    <row r="26" spans="1:8">
      <c r="A26" s="8" t="s">
        <v>49</v>
      </c>
      <c r="B26" s="8" t="s">
        <v>55</v>
      </c>
      <c r="C26" s="6">
        <f>'РЕЙД-КОНСТРУКТОР'!K17</f>
        <v>0</v>
      </c>
      <c r="D26" s="6" t="str">
        <f>IF(OR($B$5="",$B$6=""),"—",IF(IFERROR(INDEX(ТЕХ_Списки!$P$2:$P$71,MATCH($B$5&amp;"§"&amp;$B$6,ТЕХ_Списки!$D$2:$D$71,0)),0)=1,"✓","—"))</f>
        <v>—</v>
      </c>
      <c r="E26" s="6" t="str">
        <f>IF(OR($F$5="",$F$6=""),"—",IF(IFERROR(INDEX(ТЕХ_Списки!$P$2:$P$71,MATCH($F$5&amp;"§"&amp;$F$6,ТЕХ_Списки!$D$2:$D$71,0)),0)=1,"✓","—"))</f>
        <v>—</v>
      </c>
      <c r="F26" s="6" t="str">
        <f t="shared" si="0"/>
        <v>Одинаково</v>
      </c>
      <c r="G26" s="1" t="str">
        <f>'РЕЙД-КОНСТРУКТОР'!M17</f>
        <v>Критично</v>
      </c>
      <c r="H26" s="1">
        <f>'РЕЙД-КОНСТРУКТОР'!N17</f>
        <v>3</v>
      </c>
    </row>
    <row r="27" spans="1:8">
      <c r="A27" s="8" t="s">
        <v>49</v>
      </c>
      <c r="B27" s="8" t="s">
        <v>56</v>
      </c>
      <c r="C27" s="6">
        <f>'РЕЙД-КОНСТРУКТОР'!K18</f>
        <v>0</v>
      </c>
      <c r="D27" s="6" t="str">
        <f>IF(OR($B$5="",$B$6=""),"—",IF(IFERROR(INDEX(ТЕХ_Списки!$Q$2:$Q$71,MATCH($B$5&amp;"§"&amp;$B$6,ТЕХ_Списки!$D$2:$D$71,0)),0)=1,"✓","—"))</f>
        <v>—</v>
      </c>
      <c r="E27" s="6" t="str">
        <f>IF(OR($F$5="",$F$6=""),"—",IF(IFERROR(INDEX(ТЕХ_Списки!$Q$2:$Q$71,MATCH($F$5&amp;"§"&amp;$F$6,ТЕХ_Списки!$D$2:$D$71,0)),0)=1,"✓","—"))</f>
        <v>—</v>
      </c>
      <c r="F27" s="6" t="str">
        <f t="shared" si="0"/>
        <v>Одинаково</v>
      </c>
      <c r="G27" s="1" t="str">
        <f>'РЕЙД-КОНСТРУКТОР'!M18</f>
        <v>Важно</v>
      </c>
      <c r="H27" s="1">
        <f>'РЕЙД-КОНСТРУКТОР'!N18</f>
        <v>2</v>
      </c>
    </row>
    <row r="28" spans="1:8">
      <c r="A28" s="8" t="s">
        <v>49</v>
      </c>
      <c r="B28" s="8" t="s">
        <v>57</v>
      </c>
      <c r="C28" s="6">
        <f>'РЕЙД-КОНСТРУКТОР'!K19</f>
        <v>0</v>
      </c>
      <c r="D28" s="6" t="str">
        <f>IF(OR($B$5="",$B$6=""),"—",IF(IFERROR(INDEX(ТЕХ_Списки!$R$2:$R$71,MATCH($B$5&amp;"§"&amp;$B$6,ТЕХ_Списки!$D$2:$D$71,0)),0)=1,"✓","—"))</f>
        <v>—</v>
      </c>
      <c r="E28" s="6" t="str">
        <f>IF(OR($F$5="",$F$6=""),"—",IF(IFERROR(INDEX(ТЕХ_Списки!$R$2:$R$71,MATCH($F$5&amp;"§"&amp;$F$6,ТЕХ_Списки!$D$2:$D$71,0)),0)=1,"✓","—"))</f>
        <v>—</v>
      </c>
      <c r="F28" s="6" t="str">
        <f t="shared" si="0"/>
        <v>Одинаково</v>
      </c>
      <c r="G28" s="1" t="str">
        <f>'РЕЙД-КОНСТРУКТОР'!M19</f>
        <v>Критично</v>
      </c>
      <c r="H28" s="1">
        <f>'РЕЙД-КОНСТРУКТОР'!N19</f>
        <v>3</v>
      </c>
    </row>
    <row r="29" spans="1:8">
      <c r="A29" s="8" t="s">
        <v>49</v>
      </c>
      <c r="B29" s="8" t="s">
        <v>58</v>
      </c>
      <c r="C29" s="6">
        <f>'РЕЙД-КОНСТРУКТОР'!K20</f>
        <v>0</v>
      </c>
      <c r="D29" s="6" t="str">
        <f>IF(OR($B$5="",$B$6=""),"—",IF(IFERROR(INDEX(ТЕХ_Списки!$S$2:$S$71,MATCH($B$5&amp;"§"&amp;$B$6,ТЕХ_Списки!$D$2:$D$71,0)),0)=1,"✓","—"))</f>
        <v>—</v>
      </c>
      <c r="E29" s="6" t="str">
        <f>IF(OR($F$5="",$F$6=""),"—",IF(IFERROR(INDEX(ТЕХ_Списки!$S$2:$S$71,MATCH($F$5&amp;"§"&amp;$F$6,ТЕХ_Списки!$D$2:$D$71,0)),0)=1,"✓","—"))</f>
        <v>—</v>
      </c>
      <c r="F29" s="6" t="str">
        <f t="shared" si="0"/>
        <v>Одинаково</v>
      </c>
      <c r="G29" s="1" t="str">
        <f>'РЕЙД-КОНСТРУКТОР'!M20</f>
        <v>Опционально</v>
      </c>
      <c r="H29" s="1">
        <f>'РЕЙД-КОНСТРУКТОР'!N20</f>
        <v>1</v>
      </c>
    </row>
    <row r="30" spans="1:8">
      <c r="A30" s="9" t="s">
        <v>59</v>
      </c>
      <c r="B30" s="9" t="s">
        <v>60</v>
      </c>
      <c r="C30" s="6">
        <f>'РЕЙД-КОНСТРУКТОР'!K21</f>
        <v>0</v>
      </c>
      <c r="D30" s="6" t="str">
        <f>IF(OR($B$5="",$B$6=""),"—",IF(IFERROR(INDEX(ТЕХ_Списки!$T$2:$T$71,MATCH($B$5&amp;"§"&amp;$B$6,ТЕХ_Списки!$D$2:$D$71,0)),0)=1,"✓","—"))</f>
        <v>✓</v>
      </c>
      <c r="E30" s="6" t="str">
        <f>IF(OR($F$5="",$F$6=""),"—",IF(IFERROR(INDEX(ТЕХ_Списки!$T$2:$T$71,MATCH($F$5&amp;"§"&amp;$F$6,ТЕХ_Списки!$D$2:$D$71,0)),0)=1,"✓","—"))</f>
        <v>—</v>
      </c>
      <c r="F30" s="6" t="str">
        <f t="shared" si="0"/>
        <v>Только A</v>
      </c>
      <c r="G30" s="1" t="str">
        <f>'РЕЙД-КОНСТРУКТОР'!M21</f>
        <v>Критично</v>
      </c>
      <c r="H30" s="1">
        <f>'РЕЙД-КОНСТРУКТОР'!N21</f>
        <v>3</v>
      </c>
    </row>
    <row r="31" spans="1:8">
      <c r="A31" s="9" t="s">
        <v>59</v>
      </c>
      <c r="B31" s="9" t="s">
        <v>61</v>
      </c>
      <c r="C31" s="6">
        <f>'РЕЙД-КОНСТРУКТОР'!K22</f>
        <v>0</v>
      </c>
      <c r="D31" s="6" t="str">
        <f>IF(OR($B$5="",$B$6=""),"—",IF(IFERROR(INDEX(ТЕХ_Списки!$U$2:$U$71,MATCH($B$5&amp;"§"&amp;$B$6,ТЕХ_Списки!$D$2:$D$71,0)),0)=1,"✓","—"))</f>
        <v>—</v>
      </c>
      <c r="E31" s="6" t="str">
        <f>IF(OR($F$5="",$F$6=""),"—",IF(IFERROR(INDEX(ТЕХ_Списки!$U$2:$U$71,MATCH($F$5&amp;"§"&amp;$F$6,ТЕХ_Списки!$D$2:$D$71,0)),0)=1,"✓","—"))</f>
        <v>—</v>
      </c>
      <c r="F31" s="6" t="str">
        <f t="shared" si="0"/>
        <v>Одинаково</v>
      </c>
      <c r="G31" s="1" t="str">
        <f>'РЕЙД-КОНСТРУКТОР'!M22</f>
        <v>Критично</v>
      </c>
      <c r="H31" s="1">
        <f>'РЕЙД-КОНСТРУКТОР'!N22</f>
        <v>3</v>
      </c>
    </row>
    <row r="32" spans="1:8">
      <c r="A32" s="9" t="s">
        <v>59</v>
      </c>
      <c r="B32" s="9" t="s">
        <v>62</v>
      </c>
      <c r="C32" s="6">
        <f>'РЕЙД-КОНСТРУКТОР'!K23</f>
        <v>0</v>
      </c>
      <c r="D32" s="6" t="str">
        <f>IF(OR($B$5="",$B$6=""),"—",IF(IFERROR(INDEX(ТЕХ_Списки!$V$2:$V$71,MATCH($B$5&amp;"§"&amp;$B$6,ТЕХ_Списки!$D$2:$D$71,0)),0)=1,"✓","—"))</f>
        <v>—</v>
      </c>
      <c r="E32" s="6" t="str">
        <f>IF(OR($F$5="",$F$6=""),"—",IF(IFERROR(INDEX(ТЕХ_Списки!$V$2:$V$71,MATCH($F$5&amp;"§"&amp;$F$6,ТЕХ_Списки!$D$2:$D$71,0)),0)=1,"✓","—"))</f>
        <v>—</v>
      </c>
      <c r="F32" s="6" t="str">
        <f t="shared" si="0"/>
        <v>Одинаково</v>
      </c>
      <c r="G32" s="1" t="str">
        <f>'РЕЙД-КОНСТРУКТОР'!M23</f>
        <v>Опционально</v>
      </c>
      <c r="H32" s="1">
        <f>'РЕЙД-КОНСТРУКТОР'!N23</f>
        <v>1</v>
      </c>
    </row>
    <row r="33" spans="1:8">
      <c r="A33" s="9" t="s">
        <v>59</v>
      </c>
      <c r="B33" s="9" t="s">
        <v>63</v>
      </c>
      <c r="C33" s="6">
        <f>'РЕЙД-КОНСТРУКТОР'!K24</f>
        <v>0</v>
      </c>
      <c r="D33" s="6" t="str">
        <f>IF(OR($B$5="",$B$6=""),"—",IF(IFERROR(INDEX(ТЕХ_Списки!$W$2:$W$71,MATCH($B$5&amp;"§"&amp;$B$6,ТЕХ_Списки!$D$2:$D$71,0)),0)=1,"✓","—"))</f>
        <v>✓</v>
      </c>
      <c r="E33" s="6" t="str">
        <f>IF(OR($F$5="",$F$6=""),"—",IF(IFERROR(INDEX(ТЕХ_Списки!$W$2:$W$71,MATCH($F$5&amp;"§"&amp;$F$6,ТЕХ_Списки!$D$2:$D$71,0)),0)=1,"✓","—"))</f>
        <v>—</v>
      </c>
      <c r="F33" s="6" t="str">
        <f t="shared" si="0"/>
        <v>Только A</v>
      </c>
      <c r="G33" s="1" t="str">
        <f>'РЕЙД-КОНСТРУКТОР'!M24</f>
        <v>Опционально</v>
      </c>
      <c r="H33" s="1">
        <f>'РЕЙД-КОНСТРУКТОР'!N24</f>
        <v>1</v>
      </c>
    </row>
    <row r="34" spans="1:8">
      <c r="A34" s="9" t="s">
        <v>59</v>
      </c>
      <c r="B34" s="9" t="s">
        <v>65</v>
      </c>
      <c r="C34" s="6">
        <f>'РЕЙД-КОНСТРУКТОР'!K25</f>
        <v>0</v>
      </c>
      <c r="D34" s="6" t="str">
        <f>IF(OR($B$5="",$B$6=""),"—",IF(IFERROR(INDEX(ТЕХ_Списки!$X$2:$X$71,MATCH($B$5&amp;"§"&amp;$B$6,ТЕХ_Списки!$D$2:$D$71,0)),0)=1,"✓","—"))</f>
        <v>—</v>
      </c>
      <c r="E34" s="6" t="str">
        <f>IF(OR($F$5="",$F$6=""),"—",IF(IFERROR(INDEX(ТЕХ_Списки!$X$2:$X$71,MATCH($F$5&amp;"§"&amp;$F$6,ТЕХ_Списки!$D$2:$D$71,0)),0)=1,"✓","—"))</f>
        <v>—</v>
      </c>
      <c r="F34" s="6" t="str">
        <f t="shared" si="0"/>
        <v>Одинаково</v>
      </c>
      <c r="G34" s="1" t="str">
        <f>'РЕЙД-КОНСТРУКТОР'!M25</f>
        <v>Опционально</v>
      </c>
      <c r="H34" s="1">
        <f>'РЕЙД-КОНСТРУКТОР'!N25</f>
        <v>1</v>
      </c>
    </row>
    <row r="35" spans="1:8">
      <c r="A35" s="9" t="s">
        <v>59</v>
      </c>
      <c r="B35" s="9" t="s">
        <v>66</v>
      </c>
      <c r="C35" s="6">
        <f>'РЕЙД-КОНСТРУКТОР'!K26</f>
        <v>0</v>
      </c>
      <c r="D35" s="6" t="str">
        <f>IF(OR($B$5="",$B$6=""),"—",IF(IFERROR(INDEX(ТЕХ_Списки!$Y$2:$Y$71,MATCH($B$5&amp;"§"&amp;$B$6,ТЕХ_Списки!$D$2:$D$71,0)),0)=1,"✓","—"))</f>
        <v>—</v>
      </c>
      <c r="E35" s="6" t="str">
        <f>IF(OR($F$5="",$F$6=""),"—",IF(IFERROR(INDEX(ТЕХ_Списки!$Y$2:$Y$71,MATCH($F$5&amp;"§"&amp;$F$6,ТЕХ_Списки!$D$2:$D$71,0)),0)=1,"✓","—"))</f>
        <v>✓</v>
      </c>
      <c r="F35" s="6" t="str">
        <f t="shared" si="0"/>
        <v>Только B</v>
      </c>
      <c r="G35" s="1" t="str">
        <f>'РЕЙД-КОНСТРУКТОР'!M26</f>
        <v>Опционально</v>
      </c>
      <c r="H35" s="1">
        <f>'РЕЙД-КОНСТРУКТОР'!N26</f>
        <v>1</v>
      </c>
    </row>
    <row r="36" spans="1:8">
      <c r="A36" s="9" t="s">
        <v>59</v>
      </c>
      <c r="B36" s="9" t="s">
        <v>68</v>
      </c>
      <c r="C36" s="6">
        <f>'РЕЙД-КОНСТРУКТОР'!K27</f>
        <v>0</v>
      </c>
      <c r="D36" s="6" t="str">
        <f>IF(OR($B$5="",$B$6=""),"—",IF(IFERROR(INDEX(ТЕХ_Списки!$Z$2:$Z$71,MATCH($B$5&amp;"§"&amp;$B$6,ТЕХ_Списки!$D$2:$D$71,0)),0)=1,"✓","—"))</f>
        <v>✓</v>
      </c>
      <c r="E36" s="6" t="str">
        <f>IF(OR($F$5="",$F$6=""),"—",IF(IFERROR(INDEX(ТЕХ_Списки!$Z$2:$Z$71,MATCH($F$5&amp;"§"&amp;$F$6,ТЕХ_Списки!$D$2:$D$71,0)),0)=1,"✓","—"))</f>
        <v>—</v>
      </c>
      <c r="F36" s="6" t="str">
        <f t="shared" si="0"/>
        <v>Только A</v>
      </c>
      <c r="G36" s="1" t="str">
        <f>'РЕЙД-КОНСТРУКТОР'!M27</f>
        <v>Опционально</v>
      </c>
      <c r="H36" s="1">
        <f>'РЕЙД-КОНСТРУКТОР'!N27</f>
        <v>1</v>
      </c>
    </row>
    <row r="37" spans="1:8">
      <c r="A37" s="9" t="s">
        <v>59</v>
      </c>
      <c r="B37" s="9" t="s">
        <v>69</v>
      </c>
      <c r="C37" s="6">
        <f>'РЕЙД-КОНСТРУКТОР'!K28</f>
        <v>0</v>
      </c>
      <c r="D37" s="6" t="str">
        <f>IF(OR($B$5="",$B$6=""),"—",IF(IFERROR(INDEX(ТЕХ_Списки!$AA$2:$AA$71,MATCH($B$5&amp;"§"&amp;$B$6,ТЕХ_Списки!$D$2:$D$71,0)),0)=1,"✓","—"))</f>
        <v>—</v>
      </c>
      <c r="E37" s="6" t="str">
        <f>IF(OR($F$5="",$F$6=""),"—",IF(IFERROR(INDEX(ТЕХ_Списки!$AA$2:$AA$71,MATCH($F$5&amp;"§"&amp;$F$6,ТЕХ_Списки!$D$2:$D$71,0)),0)=1,"✓","—"))</f>
        <v>—</v>
      </c>
      <c r="F37" s="6" t="str">
        <f t="shared" si="0"/>
        <v>Одинаково</v>
      </c>
      <c r="G37" s="1" t="str">
        <f>'РЕЙД-КОНСТРУКТОР'!M28</f>
        <v>Опционально</v>
      </c>
      <c r="H37" s="1">
        <f>'РЕЙД-КОНСТРУКТОР'!N28</f>
        <v>1</v>
      </c>
    </row>
    <row r="38" spans="1:8">
      <c r="A38" s="9" t="s">
        <v>59</v>
      </c>
      <c r="B38" s="9" t="s">
        <v>72</v>
      </c>
      <c r="C38" s="6">
        <f>'РЕЙД-КОНСТРУКТОР'!K29</f>
        <v>0</v>
      </c>
      <c r="D38" s="6" t="str">
        <f>IF(OR($B$5="",$B$6=""),"—",IF(IFERROR(INDEX(ТЕХ_Списки!$AB$2:$AB$71,MATCH($B$5&amp;"§"&amp;$B$6,ТЕХ_Списки!$D$2:$D$71,0)),0)=1,"✓","—"))</f>
        <v>—</v>
      </c>
      <c r="E38" s="6" t="str">
        <f>IF(OR($F$5="",$F$6=""),"—",IF(IFERROR(INDEX(ТЕХ_Списки!$AB$2:$AB$71,MATCH($F$5&amp;"§"&amp;$F$6,ТЕХ_Списки!$D$2:$D$71,0)),0)=1,"✓","—"))</f>
        <v>—</v>
      </c>
      <c r="F38" s="6" t="str">
        <f t="shared" si="0"/>
        <v>Одинаково</v>
      </c>
      <c r="G38" s="1" t="str">
        <f>'РЕЙД-КОНСТРУКТОР'!M29</f>
        <v>Опционально</v>
      </c>
      <c r="H38" s="1">
        <f>'РЕЙД-КОНСТРУКТОР'!N29</f>
        <v>1</v>
      </c>
    </row>
    <row r="39" spans="1:8">
      <c r="A39" s="9" t="s">
        <v>59</v>
      </c>
      <c r="B39" s="9" t="s">
        <v>77</v>
      </c>
      <c r="C39" s="6">
        <f>'РЕЙД-КОНСТРУКТОР'!K30</f>
        <v>0</v>
      </c>
      <c r="D39" s="6" t="str">
        <f>IF(OR($B$5="",$B$6=""),"—",IF(IFERROR(INDEX(ТЕХ_Списки!$AC$2:$AC$71,MATCH($B$5&amp;"§"&amp;$B$6,ТЕХ_Списки!$D$2:$D$71,0)),0)=1,"✓","—"))</f>
        <v>—</v>
      </c>
      <c r="E39" s="6" t="str">
        <f>IF(OR($F$5="",$F$6=""),"—",IF(IFERROR(INDEX(ТЕХ_Списки!$AC$2:$AC$71,MATCH($F$5&amp;"§"&amp;$F$6,ТЕХ_Списки!$D$2:$D$71,0)),0)=1,"✓","—"))</f>
        <v>—</v>
      </c>
      <c r="F39" s="6" t="str">
        <f t="shared" si="0"/>
        <v>Одинаково</v>
      </c>
      <c r="G39" s="1" t="str">
        <f>'РЕЙД-КОНСТРУКТОР'!M30</f>
        <v>Критично</v>
      </c>
      <c r="H39" s="1">
        <f>'РЕЙД-КОНСТРУКТОР'!N30</f>
        <v>3</v>
      </c>
    </row>
    <row r="40" spans="1:8">
      <c r="A40" s="9" t="s">
        <v>59</v>
      </c>
      <c r="B40" s="9" t="s">
        <v>80</v>
      </c>
      <c r="C40" s="6">
        <f>'РЕЙД-КОНСТРУКТОР'!K31</f>
        <v>0</v>
      </c>
      <c r="D40" s="6" t="str">
        <f>IF(OR($B$5="",$B$6=""),"—",IF(IFERROR(INDEX(ТЕХ_Списки!$AD$2:$AD$71,MATCH($B$5&amp;"§"&amp;$B$6,ТЕХ_Списки!$D$2:$D$71,0)),0)=1,"✓","—"))</f>
        <v>—</v>
      </c>
      <c r="E40" s="6" t="str">
        <f>IF(OR($F$5="",$F$6=""),"—",IF(IFERROR(INDEX(ТЕХ_Списки!$AD$2:$AD$71,MATCH($F$5&amp;"§"&amp;$F$6,ТЕХ_Списки!$D$2:$D$71,0)),0)=1,"✓","—"))</f>
        <v>—</v>
      </c>
      <c r="F40" s="6" t="str">
        <f t="shared" si="0"/>
        <v>Одинаково</v>
      </c>
      <c r="G40" s="1" t="str">
        <f>'РЕЙД-КОНСТРУКТОР'!M31</f>
        <v>Опционально</v>
      </c>
      <c r="H40" s="1">
        <f>'РЕЙД-КОНСТРУКТОР'!N31</f>
        <v>1</v>
      </c>
    </row>
    <row r="41" spans="1:8">
      <c r="A41" s="9" t="s">
        <v>59</v>
      </c>
      <c r="B41" s="9" t="s">
        <v>83</v>
      </c>
      <c r="C41" s="6">
        <f>'РЕЙД-КОНСТРУКТОР'!K32</f>
        <v>0</v>
      </c>
      <c r="D41" s="6" t="str">
        <f>IF(OR($B$5="",$B$6=""),"—",IF(IFERROR(INDEX(ТЕХ_Списки!$AE$2:$AE$71,MATCH($B$5&amp;"§"&amp;$B$6,ТЕХ_Списки!$D$2:$D$71,0)),0)=1,"✓","—"))</f>
        <v>—</v>
      </c>
      <c r="E41" s="6" t="str">
        <f>IF(OR($F$5="",$F$6=""),"—",IF(IFERROR(INDEX(ТЕХ_Списки!$AE$2:$AE$71,MATCH($F$5&amp;"§"&amp;$F$6,ТЕХ_Списки!$D$2:$D$71,0)),0)=1,"✓","—"))</f>
        <v>—</v>
      </c>
      <c r="F41" s="6" t="str">
        <f t="shared" si="0"/>
        <v>Одинаково</v>
      </c>
      <c r="G41" s="1" t="str">
        <f>'РЕЙД-КОНСТРУКТОР'!M32</f>
        <v>Опционально</v>
      </c>
      <c r="H41" s="1">
        <f>'РЕЙД-КОНСТРУКТОР'!N32</f>
        <v>1</v>
      </c>
    </row>
    <row r="42" spans="1:8">
      <c r="A42" s="9" t="s">
        <v>59</v>
      </c>
      <c r="B42" s="9" t="s">
        <v>86</v>
      </c>
      <c r="C42" s="6">
        <f>'РЕЙД-КОНСТРУКТОР'!K33</f>
        <v>0</v>
      </c>
      <c r="D42" s="6" t="str">
        <f>IF(OR($B$5="",$B$6=""),"—",IF(IFERROR(INDEX(ТЕХ_Списки!$AF$2:$AF$71,MATCH($B$5&amp;"§"&amp;$B$6,ТЕХ_Списки!$D$2:$D$71,0)),0)=1,"✓","—"))</f>
        <v>—</v>
      </c>
      <c r="E42" s="6" t="str">
        <f>IF(OR($F$5="",$F$6=""),"—",IF(IFERROR(INDEX(ТЕХ_Списки!$AF$2:$AF$71,MATCH($F$5&amp;"§"&amp;$F$6,ТЕХ_Списки!$D$2:$D$71,0)),0)=1,"✓","—"))</f>
        <v>—</v>
      </c>
      <c r="F42" s="6" t="str">
        <f t="shared" si="0"/>
        <v>Одинаково</v>
      </c>
      <c r="G42" s="1" t="str">
        <f>'РЕЙД-КОНСТРУКТОР'!M33</f>
        <v>Опционально</v>
      </c>
      <c r="H42" s="1">
        <f>'РЕЙД-КОНСТРУКТОР'!N33</f>
        <v>1</v>
      </c>
    </row>
    <row r="43" spans="1:8">
      <c r="A43" s="9" t="s">
        <v>59</v>
      </c>
      <c r="B43" s="9" t="s">
        <v>90</v>
      </c>
      <c r="C43" s="6">
        <f>'РЕЙД-КОНСТРУКТОР'!K34</f>
        <v>0</v>
      </c>
      <c r="D43" s="6" t="str">
        <f>IF(OR($B$5="",$B$6=""),"—",IF(IFERROR(INDEX(ТЕХ_Списки!$AG$2:$AG$71,MATCH($B$5&amp;"§"&amp;$B$6,ТЕХ_Списки!$D$2:$D$71,0)),0)=1,"✓","—"))</f>
        <v>—</v>
      </c>
      <c r="E43" s="6" t="str">
        <f>IF(OR($F$5="",$F$6=""),"—",IF(IFERROR(INDEX(ТЕХ_Списки!$AG$2:$AG$71,MATCH($F$5&amp;"§"&amp;$F$6,ТЕХ_Списки!$D$2:$D$71,0)),0)=1,"✓","—"))</f>
        <v>—</v>
      </c>
      <c r="F43" s="6" t="str">
        <f t="shared" si="0"/>
        <v>Одинаково</v>
      </c>
      <c r="G43" s="1" t="str">
        <f>'РЕЙД-КОНСТРУКТОР'!M34</f>
        <v>Опционально</v>
      </c>
      <c r="H43" s="1">
        <f>'РЕЙД-КОНСТРУКТОР'!N34</f>
        <v>1</v>
      </c>
    </row>
    <row r="44" spans="1:8">
      <c r="A44" s="9" t="s">
        <v>59</v>
      </c>
      <c r="B44" s="9" t="s">
        <v>91</v>
      </c>
      <c r="C44" s="6">
        <f>'РЕЙД-КОНСТРУКТОР'!K35</f>
        <v>0</v>
      </c>
      <c r="D44" s="6" t="str">
        <f>IF(OR($B$5="",$B$6=""),"—",IF(IFERROR(INDEX(ТЕХ_Списки!$AH$2:$AH$71,MATCH($B$5&amp;"§"&amp;$B$6,ТЕХ_Списки!$D$2:$D$71,0)),0)=1,"✓","—"))</f>
        <v>—</v>
      </c>
      <c r="E44" s="6" t="str">
        <f>IF(OR($F$5="",$F$6=""),"—",IF(IFERROR(INDEX(ТЕХ_Списки!$AH$2:$AH$71,MATCH($F$5&amp;"§"&amp;$F$6,ТЕХ_Списки!$D$2:$D$71,0)),0)=1,"✓","—"))</f>
        <v>—</v>
      </c>
      <c r="F44" s="6" t="str">
        <f t="shared" si="0"/>
        <v>Одинаково</v>
      </c>
      <c r="G44" s="1" t="str">
        <f>'РЕЙД-КОНСТРУКТОР'!M35</f>
        <v>Критично</v>
      </c>
      <c r="H44" s="1">
        <f>'РЕЙД-КОНСТРУКТОР'!N35</f>
        <v>3</v>
      </c>
    </row>
    <row r="45" spans="1:8">
      <c r="A45" s="9" t="s">
        <v>59</v>
      </c>
      <c r="B45" s="9" t="s">
        <v>92</v>
      </c>
      <c r="C45" s="6">
        <f>'РЕЙД-КОНСТРУКТОР'!K36</f>
        <v>0</v>
      </c>
      <c r="D45" s="6" t="str">
        <f>IF(OR($B$5="",$B$6=""),"—",IF(IFERROR(INDEX(ТЕХ_Списки!$AI$2:$AI$71,MATCH($B$5&amp;"§"&amp;$B$6,ТЕХ_Списки!$D$2:$D$71,0)),0)=1,"✓","—"))</f>
        <v>—</v>
      </c>
      <c r="E45" s="6" t="str">
        <f>IF(OR($F$5="",$F$6=""),"—",IF(IFERROR(INDEX(ТЕХ_Списки!$AI$2:$AI$71,MATCH($F$5&amp;"§"&amp;$F$6,ТЕХ_Списки!$D$2:$D$71,0)),0)=1,"✓","—"))</f>
        <v>—</v>
      </c>
      <c r="F45" s="6" t="str">
        <f t="shared" si="0"/>
        <v>Одинаково</v>
      </c>
      <c r="G45" s="1" t="str">
        <f>'РЕЙД-КОНСТРУКТОР'!M36</f>
        <v>Критично</v>
      </c>
      <c r="H45" s="1">
        <f>'РЕЙД-КОНСТРУКТОР'!N36</f>
        <v>3</v>
      </c>
    </row>
    <row r="46" spans="1:8">
      <c r="A46" s="9" t="s">
        <v>59</v>
      </c>
      <c r="B46" s="9" t="s">
        <v>93</v>
      </c>
      <c r="C46" s="6">
        <f>'РЕЙД-КОНСТРУКТОР'!K37</f>
        <v>0</v>
      </c>
      <c r="D46" s="6" t="str">
        <f>IF(OR($B$5="",$B$6=""),"—",IF(IFERROR(INDEX(ТЕХ_Списки!$AJ$2:$AJ$71,MATCH($B$5&amp;"§"&amp;$B$6,ТЕХ_Списки!$D$2:$D$71,0)),0)=1,"✓","—"))</f>
        <v>—</v>
      </c>
      <c r="E46" s="6" t="str">
        <f>IF(OR($F$5="",$F$6=""),"—",IF(IFERROR(INDEX(ТЕХ_Списки!$AJ$2:$AJ$71,MATCH($F$5&amp;"§"&amp;$F$6,ТЕХ_Списки!$D$2:$D$71,0)),0)=1,"✓","—"))</f>
        <v>—</v>
      </c>
      <c r="F46" s="6" t="str">
        <f t="shared" si="0"/>
        <v>Одинаково</v>
      </c>
      <c r="G46" s="1" t="str">
        <f>'РЕЙД-КОНСТРУКТОР'!M37</f>
        <v>Критично</v>
      </c>
      <c r="H46" s="1">
        <f>'РЕЙД-КОНСТРУКТОР'!N37</f>
        <v>3</v>
      </c>
    </row>
    <row r="47" spans="1:8">
      <c r="A47" s="10" t="s">
        <v>94</v>
      </c>
      <c r="B47" s="10" t="s">
        <v>95</v>
      </c>
      <c r="C47" s="6">
        <f>'РЕЙД-КОНСТРУКТОР'!K38</f>
        <v>0</v>
      </c>
      <c r="D47" s="6" t="str">
        <f>IF(OR($B$5="",$B$6=""),"—",IF(IFERROR(INDEX(ТЕХ_Списки!$AK$2:$AK$71,MATCH($B$5&amp;"§"&amp;$B$6,ТЕХ_Списки!$D$2:$D$71,0)),0)=1,"✓","—"))</f>
        <v>—</v>
      </c>
      <c r="E47" s="6" t="str">
        <f>IF(OR($F$5="",$F$6=""),"—",IF(IFERROR(INDEX(ТЕХ_Списки!$AK$2:$AK$71,MATCH($F$5&amp;"§"&amp;$F$6,ТЕХ_Списки!$D$2:$D$71,0)),0)=1,"✓","—"))</f>
        <v>—</v>
      </c>
      <c r="F47" s="6" t="str">
        <f t="shared" si="0"/>
        <v>Одинаково</v>
      </c>
      <c r="G47" s="1" t="str">
        <f>'РЕЙД-КОНСТРУКТОР'!M38</f>
        <v>Критично</v>
      </c>
      <c r="H47" s="1">
        <f>'РЕЙД-КОНСТРУКТОР'!N38</f>
        <v>3</v>
      </c>
    </row>
    <row r="48" spans="1:8">
      <c r="A48" s="10" t="s">
        <v>94</v>
      </c>
      <c r="B48" s="10" t="s">
        <v>96</v>
      </c>
      <c r="C48" s="6">
        <f>'РЕЙД-КОНСТРУКТОР'!K39</f>
        <v>0</v>
      </c>
      <c r="D48" s="6" t="str">
        <f>IF(OR($B$5="",$B$6=""),"—",IF(IFERROR(INDEX(ТЕХ_Списки!$AL$2:$AL$71,MATCH($B$5&amp;"§"&amp;$B$6,ТЕХ_Списки!$D$2:$D$71,0)),0)=1,"✓","—"))</f>
        <v>—</v>
      </c>
      <c r="E48" s="6" t="str">
        <f>IF(OR($F$5="",$F$6=""),"—",IF(IFERROR(INDEX(ТЕХ_Списки!$AL$2:$AL$71,MATCH($F$5&amp;"§"&amp;$F$6,ТЕХ_Списки!$D$2:$D$71,0)),0)=1,"✓","—"))</f>
        <v>—</v>
      </c>
      <c r="F48" s="6" t="str">
        <f t="shared" si="0"/>
        <v>Одинаково</v>
      </c>
      <c r="G48" s="1" t="str">
        <f>'РЕЙД-КОНСТРУКТОР'!M39</f>
        <v>Опционально</v>
      </c>
      <c r="H48" s="1">
        <f>'РЕЙД-КОНСТРУКТОР'!N39</f>
        <v>1</v>
      </c>
    </row>
    <row r="49" spans="1:8">
      <c r="A49" s="10" t="s">
        <v>94</v>
      </c>
      <c r="B49" s="10" t="s">
        <v>97</v>
      </c>
      <c r="C49" s="6">
        <f>'РЕЙД-КОНСТРУКТОР'!K40</f>
        <v>0</v>
      </c>
      <c r="D49" s="6" t="str">
        <f>IF(OR($B$5="",$B$6=""),"—",IF(IFERROR(INDEX(ТЕХ_Списки!$AM$2:$AM$71,MATCH($B$5&amp;"§"&amp;$B$6,ТЕХ_Списки!$D$2:$D$71,0)),0)=1,"✓","—"))</f>
        <v>—</v>
      </c>
      <c r="E49" s="6" t="str">
        <f>IF(OR($F$5="",$F$6=""),"—",IF(IFERROR(INDEX(ТЕХ_Списки!$AM$2:$AM$71,MATCH($F$5&amp;"§"&amp;$F$6,ТЕХ_Списки!$D$2:$D$71,0)),0)=1,"✓","—"))</f>
        <v>—</v>
      </c>
      <c r="F49" s="6" t="str">
        <f t="shared" si="0"/>
        <v>Одинаково</v>
      </c>
      <c r="G49" s="1" t="str">
        <f>'РЕЙД-КОНСТРУКТОР'!M40</f>
        <v>Критично</v>
      </c>
      <c r="H49" s="1">
        <f>'РЕЙД-КОНСТРУКТОР'!N40</f>
        <v>3</v>
      </c>
    </row>
    <row r="50" spans="1:8">
      <c r="A50" s="11" t="s">
        <v>98</v>
      </c>
      <c r="B50" s="11" t="s">
        <v>99</v>
      </c>
      <c r="C50" s="6">
        <f>'РЕЙД-КОНСТРУКТОР'!K41</f>
        <v>0</v>
      </c>
      <c r="D50" s="6" t="str">
        <f>IF(OR($B$5="",$B$6=""),"—",IF(IFERROR(INDEX(ТЕХ_Списки!$AN$2:$AN$71,MATCH($B$5&amp;"§"&amp;$B$6,ТЕХ_Списки!$D$2:$D$71,0)),0)=1,"✓","—"))</f>
        <v>✓</v>
      </c>
      <c r="E50" s="6" t="str">
        <f>IF(OR($F$5="",$F$6=""),"—",IF(IFERROR(INDEX(ТЕХ_Списки!$AN$2:$AN$71,MATCH($F$5&amp;"§"&amp;$F$6,ТЕХ_Списки!$D$2:$D$71,0)),0)=1,"✓","—"))</f>
        <v>—</v>
      </c>
      <c r="F50" s="6" t="str">
        <f t="shared" si="0"/>
        <v>Только A</v>
      </c>
      <c r="G50" s="1" t="str">
        <f>'РЕЙД-КОНСТРУКТОР'!M41</f>
        <v>Критично</v>
      </c>
      <c r="H50" s="1">
        <f>'РЕЙД-КОНСТРУКТОР'!N41</f>
        <v>3</v>
      </c>
    </row>
    <row r="51" spans="1:8">
      <c r="A51" s="11" t="s">
        <v>98</v>
      </c>
      <c r="B51" s="11" t="s">
        <v>100</v>
      </c>
      <c r="C51" s="6">
        <f>'РЕЙД-КОНСТРУКТОР'!K42</f>
        <v>0</v>
      </c>
      <c r="D51" s="6" t="str">
        <f>IF(OR($B$5="",$B$6=""),"—",IF(IFERROR(INDEX(ТЕХ_Списки!$AO$2:$AO$71,MATCH($B$5&amp;"§"&amp;$B$6,ТЕХ_Списки!$D$2:$D$71,0)),0)=1,"✓","—"))</f>
        <v>—</v>
      </c>
      <c r="E51" s="6" t="str">
        <f>IF(OR($F$5="",$F$6=""),"—",IF(IFERROR(INDEX(ТЕХ_Списки!$AO$2:$AO$71,MATCH($F$5&amp;"§"&amp;$F$6,ТЕХ_Списки!$D$2:$D$71,0)),0)=1,"✓","—"))</f>
        <v>—</v>
      </c>
      <c r="F51" s="6" t="str">
        <f t="shared" si="0"/>
        <v>Одинаково</v>
      </c>
      <c r="G51" s="1" t="str">
        <f>'РЕЙД-КОНСТРУКТОР'!M42</f>
        <v>Критично</v>
      </c>
      <c r="H51" s="1">
        <f>'РЕЙД-КОНСТРУКТОР'!N42</f>
        <v>3</v>
      </c>
    </row>
    <row r="52" spans="1:8">
      <c r="A52" s="11" t="s">
        <v>98</v>
      </c>
      <c r="B52" s="11" t="s">
        <v>101</v>
      </c>
      <c r="C52" s="6">
        <f>'РЕЙД-КОНСТРУКТОР'!K43</f>
        <v>0</v>
      </c>
      <c r="D52" s="6" t="str">
        <f>IF(OR($B$5="",$B$6=""),"—",IF(IFERROR(INDEX(ТЕХ_Списки!$AP$2:$AP$71,MATCH($B$5&amp;"§"&amp;$B$6,ТЕХ_Списки!$D$2:$D$71,0)),0)=1,"✓","—"))</f>
        <v>✓</v>
      </c>
      <c r="E52" s="6" t="str">
        <f>IF(OR($F$5="",$F$6=""),"—",IF(IFERROR(INDEX(ТЕХ_Списки!$AP$2:$AP$71,MATCH($F$5&amp;"§"&amp;$F$6,ТЕХ_Списки!$D$2:$D$71,0)),0)=1,"✓","—"))</f>
        <v>—</v>
      </c>
      <c r="F52" s="6" t="str">
        <f t="shared" si="0"/>
        <v>Только A</v>
      </c>
      <c r="G52" s="1" t="str">
        <f>'РЕЙД-КОНСТРУКТОР'!M43</f>
        <v>Критично</v>
      </c>
      <c r="H52" s="1">
        <f>'РЕЙД-КОНСТРУКТОР'!N43</f>
        <v>3</v>
      </c>
    </row>
    <row r="53" spans="1:8">
      <c r="A53" s="11" t="s">
        <v>98</v>
      </c>
      <c r="B53" s="11" t="s">
        <v>102</v>
      </c>
      <c r="C53" s="6">
        <f>'РЕЙД-КОНСТРУКТОР'!K44</f>
        <v>0</v>
      </c>
      <c r="D53" s="6" t="str">
        <f>IF(OR($B$5="",$B$6=""),"—",IF(IFERROR(INDEX(ТЕХ_Списки!$AQ$2:$AQ$71,MATCH($B$5&amp;"§"&amp;$B$6,ТЕХ_Списки!$D$2:$D$71,0)),0)=1,"✓","—"))</f>
        <v>—</v>
      </c>
      <c r="E53" s="6" t="str">
        <f>IF(OR($F$5="",$F$6=""),"—",IF(IFERROR(INDEX(ТЕХ_Списки!$AQ$2:$AQ$71,MATCH($F$5&amp;"§"&amp;$F$6,ТЕХ_Списки!$D$2:$D$71,0)),0)=1,"✓","—"))</f>
        <v>—</v>
      </c>
      <c r="F53" s="6" t="str">
        <f t="shared" si="0"/>
        <v>Одинаково</v>
      </c>
      <c r="G53" s="1" t="str">
        <f>'РЕЙД-КОНСТРУКТОР'!M44</f>
        <v>Критично</v>
      </c>
      <c r="H53" s="1">
        <f>'РЕЙД-КОНСТРУКТОР'!N44</f>
        <v>3</v>
      </c>
    </row>
    <row r="54" spans="1:8">
      <c r="A54" s="12" t="s">
        <v>104</v>
      </c>
      <c r="B54" s="12" t="s">
        <v>105</v>
      </c>
      <c r="C54" s="6">
        <f>'РЕЙД-КОНСТРУКТОР'!K45</f>
        <v>0</v>
      </c>
      <c r="D54" s="6" t="str">
        <f>IF(OR($B$5="",$B$6=""),"—",IF(IFERROR(INDEX(ТЕХ_Списки!$AR$2:$AR$71,MATCH($B$5&amp;"§"&amp;$B$6,ТЕХ_Списки!$D$2:$D$71,0)),0)=1,"✓","—"))</f>
        <v>—</v>
      </c>
      <c r="E54" s="6" t="str">
        <f>IF(OR($F$5="",$F$6=""),"—",IF(IFERROR(INDEX(ТЕХ_Списки!$AR$2:$AR$71,MATCH($F$5&amp;"§"&amp;$F$6,ТЕХ_Списки!$D$2:$D$71,0)),0)=1,"✓","—"))</f>
        <v>—</v>
      </c>
      <c r="F54" s="6" t="str">
        <f t="shared" si="0"/>
        <v>Одинаково</v>
      </c>
      <c r="G54" s="1" t="str">
        <f>'РЕЙД-КОНСТРУКТОР'!M45</f>
        <v>Критично</v>
      </c>
      <c r="H54" s="1">
        <f>'РЕЙД-КОНСТРУКТОР'!N45</f>
        <v>3</v>
      </c>
    </row>
    <row r="55" spans="1:8">
      <c r="A55" s="12" t="s">
        <v>104</v>
      </c>
      <c r="B55" s="12" t="s">
        <v>106</v>
      </c>
      <c r="C55" s="6">
        <f>'РЕЙД-КОНСТРУКТОР'!K46</f>
        <v>0</v>
      </c>
      <c r="D55" s="6" t="str">
        <f>IF(OR($B$5="",$B$6=""),"—",IF(IFERROR(INDEX(ТЕХ_Списки!$AS$2:$AS$71,MATCH($B$5&amp;"§"&amp;$B$6,ТЕХ_Списки!$D$2:$D$71,0)),0)=1,"✓","—"))</f>
        <v>—</v>
      </c>
      <c r="E55" s="6" t="str">
        <f>IF(OR($F$5="",$F$6=""),"—",IF(IFERROR(INDEX(ТЕХ_Списки!$AS$2:$AS$71,MATCH($F$5&amp;"§"&amp;$F$6,ТЕХ_Списки!$D$2:$D$71,0)),0)=1,"✓","—"))</f>
        <v>—</v>
      </c>
      <c r="F55" s="6" t="str">
        <f t="shared" si="0"/>
        <v>Одинаково</v>
      </c>
      <c r="G55" s="1" t="str">
        <f>'РЕЙД-КОНСТРУКТОР'!M46</f>
        <v>Критично</v>
      </c>
      <c r="H55" s="1">
        <f>'РЕЙД-КОНСТРУКТОР'!N46</f>
        <v>3</v>
      </c>
    </row>
    <row r="56" spans="1:8">
      <c r="A56" s="12" t="s">
        <v>104</v>
      </c>
      <c r="B56" s="12" t="s">
        <v>107</v>
      </c>
      <c r="C56" s="6">
        <f>'РЕЙД-КОНСТРУКТОР'!K47</f>
        <v>0</v>
      </c>
      <c r="D56" s="6" t="str">
        <f>IF(OR($B$5="",$B$6=""),"—",IF(IFERROR(INDEX(ТЕХ_Списки!$AT$2:$AT$71,MATCH($B$5&amp;"§"&amp;$B$6,ТЕХ_Списки!$D$2:$D$71,0)),0)=1,"✓","—"))</f>
        <v>—</v>
      </c>
      <c r="E56" s="6" t="str">
        <f>IF(OR($F$5="",$F$6=""),"—",IF(IFERROR(INDEX(ТЕХ_Списки!$AT$2:$AT$71,MATCH($F$5&amp;"§"&amp;$F$6,ТЕХ_Списки!$D$2:$D$71,0)),0)=1,"✓","—"))</f>
        <v>✓</v>
      </c>
      <c r="F56" s="6" t="str">
        <f t="shared" si="0"/>
        <v>Только B</v>
      </c>
      <c r="G56" s="1" t="str">
        <f>'РЕЙД-КОНСТРУКТОР'!M47</f>
        <v>Опционально</v>
      </c>
      <c r="H56" s="1">
        <f>'РЕЙД-КОНСТРУКТОР'!N47</f>
        <v>1</v>
      </c>
    </row>
    <row r="57" spans="1:8">
      <c r="A57" s="12" t="s">
        <v>104</v>
      </c>
      <c r="B57" s="12" t="s">
        <v>108</v>
      </c>
      <c r="C57" s="6">
        <f>'РЕЙД-КОНСТРУКТОР'!K48</f>
        <v>0</v>
      </c>
      <c r="D57" s="6" t="str">
        <f>IF(OR($B$5="",$B$6=""),"—",IF(IFERROR(INDEX(ТЕХ_Списки!$AU$2:$AU$71,MATCH($B$5&amp;"§"&amp;$B$6,ТЕХ_Списки!$D$2:$D$71,0)),0)=1,"✓","—"))</f>
        <v>—</v>
      </c>
      <c r="E57" s="6" t="str">
        <f>IF(OR($F$5="",$F$6=""),"—",IF(IFERROR(INDEX(ТЕХ_Списки!$AU$2:$AU$71,MATCH($F$5&amp;"§"&amp;$F$6,ТЕХ_Списки!$D$2:$D$71,0)),0)=1,"✓","—"))</f>
        <v>✓</v>
      </c>
      <c r="F57" s="6" t="str">
        <f t="shared" si="0"/>
        <v>Только B</v>
      </c>
      <c r="G57" s="1" t="str">
        <f>'РЕЙД-КОНСТРУКТОР'!M48</f>
        <v>Опционально</v>
      </c>
      <c r="H57" s="1">
        <f>'РЕЙД-КОНСТРУКТОР'!N48</f>
        <v>1</v>
      </c>
    </row>
    <row r="58" spans="1:8">
      <c r="A58" s="12" t="s">
        <v>104</v>
      </c>
      <c r="B58" s="12" t="s">
        <v>109</v>
      </c>
      <c r="C58" s="6">
        <f>'РЕЙД-КОНСТРУКТОР'!K49</f>
        <v>0</v>
      </c>
      <c r="D58" s="6" t="str">
        <f>IF(OR($B$5="",$B$6=""),"—",IF(IFERROR(INDEX(ТЕХ_Списки!$AV$2:$AV$71,MATCH($B$5&amp;"§"&amp;$B$6,ТЕХ_Списки!$D$2:$D$71,0)),0)=1,"✓","—"))</f>
        <v>—</v>
      </c>
      <c r="E58" s="6" t="str">
        <f>IF(OR($F$5="",$F$6=""),"—",IF(IFERROR(INDEX(ТЕХ_Списки!$AV$2:$AV$71,MATCH($F$5&amp;"§"&amp;$F$6,ТЕХ_Списки!$D$2:$D$71,0)),0)=1,"✓","—"))</f>
        <v>—</v>
      </c>
      <c r="F58" s="6" t="str">
        <f t="shared" si="0"/>
        <v>Одинаково</v>
      </c>
      <c r="G58" s="1" t="str">
        <f>'РЕЙД-КОНСТРУКТОР'!M49</f>
        <v>Опционально</v>
      </c>
      <c r="H58" s="1">
        <f>'РЕЙД-КОНСТРУКТОР'!N49</f>
        <v>1</v>
      </c>
    </row>
    <row r="59" spans="1:8">
      <c r="A59" s="12" t="s">
        <v>104</v>
      </c>
      <c r="B59" s="12" t="s">
        <v>110</v>
      </c>
      <c r="C59" s="6">
        <f>'РЕЙД-КОНСТРУКТОР'!K50</f>
        <v>0</v>
      </c>
      <c r="D59" s="6" t="str">
        <f>IF(OR($B$5="",$B$6=""),"—",IF(IFERROR(INDEX(ТЕХ_Списки!$AW$2:$AW$71,MATCH($B$5&amp;"§"&amp;$B$6,ТЕХ_Списки!$D$2:$D$71,0)),0)=1,"✓","—"))</f>
        <v>✓</v>
      </c>
      <c r="E59" s="6" t="str">
        <f>IF(OR($F$5="",$F$6=""),"—",IF(IFERROR(INDEX(ТЕХ_Списки!$AW$2:$AW$71,MATCH($F$5&amp;"§"&amp;$F$6,ТЕХ_Списки!$D$2:$D$71,0)),0)=1,"✓","—"))</f>
        <v>—</v>
      </c>
      <c r="F59" s="6" t="str">
        <f t="shared" si="0"/>
        <v>Только A</v>
      </c>
      <c r="G59" s="1" t="str">
        <f>'РЕЙД-КОНСТРУКТОР'!M50</f>
        <v>Критично</v>
      </c>
      <c r="H59" s="1">
        <f>'РЕЙД-КОНСТРУКТОР'!N50</f>
        <v>3</v>
      </c>
    </row>
    <row r="61" spans="1:8" ht="33.950000000000003" customHeight="1">
      <c r="A61" s="5" t="s">
        <v>121</v>
      </c>
      <c r="B61" s="117" t="e">
        <f ca="1">IF(B8=0,"Ничего нового",_xludf.TEXTJOIN(", ",TRUE,IF(AND($C$15=0,$D$15="✓"),$B$15,""),IF(AND($C$16=0,$D$16="✓"),$B$16,""),IF(AND($C$17=0,$D$17="✓"),$B$17,""),IF(AND($C$18=0,$D$18="✓"),$B$18,""),IF(AND($C$19=0,$D$19="✓"),$B$19,""),IF(AND($C$20=0,$D$20="✓"),$B$20,""),IF(AND($C$21=0,$D$21="✓"),$B$21,""),IF(AND($C$22=0,$D$22="✓"),$B$22,""),IF(AND($C$23=0,$D$23="✓"),$B$23,""),IF(AND($C$24=0,$D$24="✓"),$B$24,""),IF(AND($C$25=0,$D$25="✓"),$B$25,""),IF(AND($C$26=0,$D$26="✓"),$B$26,""),IF(AND($C$27=0,$D$27="✓"),$B$27,""),IF(AND($C$28=0,$D$28="✓"),$B$28,""),IF(AND($C$29=0,$D$29="✓"),$B$29,""),IF(AND($C$30=0,$D$30="✓"),$B$30,""),IF(AND($C$31=0,$D$31="✓"),$B$31,""),IF(AND($C$32=0,$D$32="✓"),$B$32,""),IF(AND($C$33=0,$D$33="✓"),$B$33,""),IF(AND($C$34=0,$D$34="✓"),$B$34,""),IF(AND($C$35=0,$D$35="✓"),$B$35,""),IF(AND($C$36=0,$D$36="✓"),$B$36,""),IF(AND($C$37=0,$D$37="✓"),$B$37,""),IF(AND($C$38=0,$D$38="✓"),$B$38,""),IF(AND($C$39=0,$D$39="✓"),$B$39,""),IF(AND($C$40=0,$D$40="✓"),$B$40,""),IF(AND($C$41=0,$D$41="✓"),$B$41,""),IF(AND($C$42=0,$D$42="✓"),$B$42,""),IF(AND($C$43=0,$D$43="✓"),$B$43,""),IF(AND($C$44=0,$D$44="✓"),$B$44,""),IF(AND($C$45=0,$D$45="✓"),$B$45,""),IF(AND($C$46=0,$D$46="✓"),$B$46,""),IF(AND($C$47=0,$D$47="✓"),$B$47,""),IF(AND($C$48=0,$D$48="✓"),$B$48,""),IF(AND($C$49=0,$D$49="✓"),$B$49,""),IF(AND($C$50=0,$D$50="✓"),$B$50,""),IF(AND($C$51=0,$D$51="✓"),$B$51,""),IF(AND($C$52=0,$D$52="✓"),$B$52,""),IF(AND($C$53=0,$D$53="✓"),$B$53,""),IF(AND($C$54=0,$D$54="✓"),$B$54,""),IF(AND($C$55=0,$D$55="✓"),$B$55,""),IF(AND($C$56=0,$D$56="✓"),$B$56,""),IF(AND($C$57=0,$D$57="✓"),$B$57,""),IF(AND($C$58=0,$D$58="✓"),$B$58,""),IF(AND($C$59=0,$D$59="✓"),$B$59,"")))</f>
        <v>#NAME?</v>
      </c>
      <c r="C61" s="117"/>
      <c r="D61" s="117"/>
      <c r="E61" s="117"/>
      <c r="F61" s="117"/>
      <c r="G61" s="117"/>
      <c r="H61" s="117"/>
    </row>
    <row r="62" spans="1:8" ht="33.950000000000003" customHeight="1">
      <c r="A62" s="5" t="s">
        <v>122</v>
      </c>
      <c r="B62" s="117" t="e">
        <f ca="1">IF(F8=0,"Ничего нового",_xludf.TEXTJOIN(", ",TRUE,IF(AND($C$15=0,$E$15="✓"),$B$15,""),IF(AND($C$16=0,$E$16="✓"),$B$16,""),IF(AND($C$17=0,$E$17="✓"),$B$17,""),IF(AND($C$18=0,$E$18="✓"),$B$18,""),IF(AND($C$19=0,$E$19="✓"),$B$19,""),IF(AND($C$20=0,$E$20="✓"),$B$20,""),IF(AND($C$21=0,$E$21="✓"),$B$21,""),IF(AND($C$22=0,$E$22="✓"),$B$22,""),IF(AND($C$23=0,$E$23="✓"),$B$23,""),IF(AND($C$24=0,$E$24="✓"),$B$24,""),IF(AND($C$25=0,$E$25="✓"),$B$25,""),IF(AND($C$26=0,$E$26="✓"),$B$26,""),IF(AND($C$27=0,$E$27="✓"),$B$27,""),IF(AND($C$28=0,$E$28="✓"),$B$28,""),IF(AND($C$29=0,$E$29="✓"),$B$29,""),IF(AND($C$30=0,$E$30="✓"),$B$30,""),IF(AND($C$31=0,$E$31="✓"),$B$31,""),IF(AND($C$32=0,$E$32="✓"),$B$32,""),IF(AND($C$33=0,$E$33="✓"),$B$33,""),IF(AND($C$34=0,$E$34="✓"),$B$34,""),IF(AND($C$35=0,$E$35="✓"),$B$35,""),IF(AND($C$36=0,$E$36="✓"),$B$36,""),IF(AND($C$37=0,$E$37="✓"),$B$37,""),IF(AND($C$38=0,$E$38="✓"),$B$38,""),IF(AND($C$39=0,$E$39="✓"),$B$39,""),IF(AND($C$40=0,$E$40="✓"),$B$40,""),IF(AND($C$41=0,$E$41="✓"),$B$41,""),IF(AND($C$42=0,$E$42="✓"),$B$42,""),IF(AND($C$43=0,$E$43="✓"),$B$43,""),IF(AND($C$44=0,$E$44="✓"),$B$44,""),IF(AND($C$45=0,$E$45="✓"),$B$45,""),IF(AND($C$46=0,$E$46="✓"),$B$46,""),IF(AND($C$47=0,$E$47="✓"),$B$47,""),IF(AND($C$48=0,$E$48="✓"),$B$48,""),IF(AND($C$49=0,$E$49="✓"),$B$49,""),IF(AND($C$50=0,$E$50="✓"),$B$50,""),IF(AND($C$51=0,$E$51="✓"),$B$51,""),IF(AND($C$52=0,$E$52="✓"),$B$52,""),IF(AND($C$53=0,$E$53="✓"),$B$53,""),IF(AND($C$54=0,$E$54="✓"),$B$54,""),IF(AND($C$55=0,$E$55="✓"),$B$55,""),IF(AND($C$56=0,$E$56="✓"),$B$56,""),IF(AND($C$57=0,$E$57="✓"),$B$57,""),IF(AND($C$58=0,$E$58="✓"),$B$58,""),IF(AND($C$59=0,$E$59="✓"),$B$59,"")))</f>
        <v>#NAME?</v>
      </c>
      <c r="C62" s="117"/>
      <c r="D62" s="117"/>
      <c r="E62" s="117"/>
      <c r="F62" s="117"/>
      <c r="G62" s="117"/>
      <c r="H62" s="117"/>
    </row>
  </sheetData>
  <mergeCells count="7">
    <mergeCell ref="B61:H61"/>
    <mergeCell ref="B62:H62"/>
    <mergeCell ref="A1:H1"/>
    <mergeCell ref="A2:H2"/>
    <mergeCell ref="A4:C4"/>
    <mergeCell ref="E4:G4"/>
    <mergeCell ref="A12:H1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xr:uid="{00000000-0002-0000-0100-000000000000}">
          <x14:formula1>
            <xm:f>ТЕХ_Списки!$AY$2:$AY$22</xm:f>
          </x14:formula1>
          <xm:sqref>B5 F5</xm:sqref>
        </x14:dataValidation>
        <x14:dataValidation type="list" xr:uid="{00000000-0002-0000-0100-000002000000}">
          <x14:formula1>
            <xm:f>OFFSET(ТЕХ_Списки!$B$2,MATCH(B5,ТЕХ_Списки!$A$2:$A$71,0)-1,0,COUNTIF(ТЕХ_Списки!$A$2:$A$71,B5),1)</xm:f>
          </x14:formula1>
          <xm:sqref>B6 F6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opLeftCell="I15" workbookViewId="0">
      <selection activeCell="N33" sqref="M33:N33"/>
    </sheetView>
  </sheetViews>
  <sheetFormatPr defaultRowHeight="14.25"/>
  <cols>
    <col min="1" max="1" width="18" customWidth="1"/>
    <col min="2" max="2" width="22" customWidth="1"/>
    <col min="3" max="3" width="17" customWidth="1"/>
    <col min="4" max="4" width="10" customWidth="1"/>
    <col min="5" max="10" width="11" customWidth="1"/>
    <col min="11" max="12" width="45" customWidth="1"/>
    <col min="13" max="13" width="12" customWidth="1"/>
    <col min="14" max="14" width="10" customWidth="1"/>
    <col min="15" max="15" width="72" customWidth="1"/>
    <col min="16" max="16" width="28" customWidth="1"/>
  </cols>
  <sheetData>
    <row r="1" spans="1:16" ht="27.95" customHeight="1">
      <c r="A1" s="118" t="s">
        <v>123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</row>
    <row r="2" spans="1:16" ht="27.95" customHeight="1">
      <c r="A2" s="119" t="s">
        <v>124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6" ht="25.5">
      <c r="A3" s="2" t="s">
        <v>23</v>
      </c>
      <c r="B3" s="2" t="s">
        <v>24</v>
      </c>
      <c r="C3" s="2" t="s">
        <v>25</v>
      </c>
      <c r="D3" s="2" t="s">
        <v>117</v>
      </c>
      <c r="E3" s="2" t="s">
        <v>36</v>
      </c>
      <c r="F3" s="2" t="s">
        <v>49</v>
      </c>
      <c r="G3" s="2" t="s">
        <v>59</v>
      </c>
      <c r="H3" s="2" t="s">
        <v>94</v>
      </c>
      <c r="I3" s="2" t="s">
        <v>98</v>
      </c>
      <c r="J3" s="2" t="s">
        <v>104</v>
      </c>
      <c r="K3" s="2" t="s">
        <v>125</v>
      </c>
      <c r="L3" s="2" t="s">
        <v>126</v>
      </c>
      <c r="M3" s="2" t="s">
        <v>115</v>
      </c>
      <c r="N3" s="2" t="s">
        <v>127</v>
      </c>
      <c r="O3" s="2" t="s">
        <v>128</v>
      </c>
      <c r="P3" s="2" t="s">
        <v>129</v>
      </c>
    </row>
    <row r="4" spans="1:16" ht="25.5">
      <c r="A4" s="13" t="s">
        <v>130</v>
      </c>
      <c r="B4" s="13" t="s">
        <v>131</v>
      </c>
      <c r="C4" s="13" t="s">
        <v>84</v>
      </c>
      <c r="D4" s="13">
        <v>7</v>
      </c>
      <c r="E4" s="13">
        <v>3</v>
      </c>
      <c r="F4" s="13">
        <v>0</v>
      </c>
      <c r="G4" s="13">
        <v>3</v>
      </c>
      <c r="H4" s="13">
        <v>0</v>
      </c>
      <c r="I4" s="13">
        <v>1</v>
      </c>
      <c r="J4" s="13">
        <v>0</v>
      </c>
      <c r="K4" s="13" t="s">
        <v>132</v>
      </c>
      <c r="L4" s="13" t="s">
        <v>102</v>
      </c>
      <c r="M4" s="13">
        <f>ТЕХ_Расчет!F50</f>
        <v>7</v>
      </c>
      <c r="N4" s="13">
        <f>ТЕХ_Расчет!G50</f>
        <v>16</v>
      </c>
      <c r="O4" s="13" t="e">
        <f ca="1">ТЕХ_Расчет!K50</f>
        <v>#NAME?</v>
      </c>
      <c r="P4" s="13" t="s">
        <v>133</v>
      </c>
    </row>
    <row r="5" spans="1:16" ht="25.5">
      <c r="A5" s="13" t="s">
        <v>130</v>
      </c>
      <c r="B5" s="13" t="s">
        <v>134</v>
      </c>
      <c r="C5" s="13" t="s">
        <v>135</v>
      </c>
      <c r="D5" s="13">
        <v>8</v>
      </c>
      <c r="E5" s="13">
        <v>4</v>
      </c>
      <c r="F5" s="13">
        <v>0</v>
      </c>
      <c r="G5" s="13">
        <v>1</v>
      </c>
      <c r="H5" s="13">
        <v>3</v>
      </c>
      <c r="I5" s="13">
        <v>0</v>
      </c>
      <c r="J5" s="13">
        <v>0</v>
      </c>
      <c r="K5" s="13" t="s">
        <v>136</v>
      </c>
      <c r="L5" s="13" t="s">
        <v>137</v>
      </c>
      <c r="M5" s="13">
        <f>ТЕХ_Расчет!F51</f>
        <v>8</v>
      </c>
      <c r="N5" s="13">
        <f>ТЕХ_Расчет!G51</f>
        <v>17</v>
      </c>
      <c r="O5" s="13" t="e">
        <f ca="1">ТЕХ_Расчет!K51</f>
        <v>#NAME?</v>
      </c>
      <c r="P5" s="13" t="s">
        <v>133</v>
      </c>
    </row>
    <row r="6" spans="1:16" ht="25.5">
      <c r="A6" s="13" t="s">
        <v>130</v>
      </c>
      <c r="B6" s="13" t="s">
        <v>138</v>
      </c>
      <c r="C6" s="13" t="s">
        <v>139</v>
      </c>
      <c r="D6" s="13">
        <v>8</v>
      </c>
      <c r="E6" s="13">
        <v>4</v>
      </c>
      <c r="F6" s="13">
        <v>0</v>
      </c>
      <c r="G6" s="13">
        <v>2</v>
      </c>
      <c r="H6" s="13">
        <v>1</v>
      </c>
      <c r="I6" s="13">
        <v>0</v>
      </c>
      <c r="J6" s="13">
        <v>1</v>
      </c>
      <c r="K6" s="13" t="s">
        <v>140</v>
      </c>
      <c r="L6" s="13" t="s">
        <v>141</v>
      </c>
      <c r="M6" s="13">
        <f>ТЕХ_Расчет!F52</f>
        <v>8</v>
      </c>
      <c r="N6" s="13">
        <f>ТЕХ_Расчет!G52</f>
        <v>15</v>
      </c>
      <c r="O6" s="13" t="e">
        <f ca="1">ТЕХ_Расчет!K52</f>
        <v>#NAME?</v>
      </c>
      <c r="P6" s="13" t="s">
        <v>133</v>
      </c>
    </row>
    <row r="7" spans="1:16" ht="38.25">
      <c r="A7" s="13" t="s">
        <v>142</v>
      </c>
      <c r="B7" s="13" t="s">
        <v>143</v>
      </c>
      <c r="C7" s="13" t="s">
        <v>139</v>
      </c>
      <c r="D7" s="13">
        <v>10</v>
      </c>
      <c r="E7" s="13">
        <v>2</v>
      </c>
      <c r="F7" s="13">
        <v>4</v>
      </c>
      <c r="G7" s="13">
        <v>2</v>
      </c>
      <c r="H7" s="13">
        <v>0</v>
      </c>
      <c r="I7" s="13">
        <v>1</v>
      </c>
      <c r="J7" s="13">
        <v>1</v>
      </c>
      <c r="K7" s="13" t="s">
        <v>144</v>
      </c>
      <c r="L7" s="13" t="s">
        <v>145</v>
      </c>
      <c r="M7" s="13">
        <f>ТЕХ_Расчет!F53</f>
        <v>10</v>
      </c>
      <c r="N7" s="13">
        <f>ТЕХ_Расчет!G53</f>
        <v>21</v>
      </c>
      <c r="O7" s="13" t="e">
        <f ca="1">ТЕХ_Расчет!K53</f>
        <v>#NAME?</v>
      </c>
      <c r="P7" s="13" t="s">
        <v>133</v>
      </c>
    </row>
    <row r="8" spans="1:16" ht="38.25">
      <c r="A8" s="13" t="s">
        <v>142</v>
      </c>
      <c r="B8" s="13" t="s">
        <v>146</v>
      </c>
      <c r="C8" s="13" t="s">
        <v>139</v>
      </c>
      <c r="D8" s="13">
        <v>10</v>
      </c>
      <c r="E8" s="13">
        <v>0</v>
      </c>
      <c r="F8" s="13">
        <v>4</v>
      </c>
      <c r="G8" s="13">
        <v>3</v>
      </c>
      <c r="H8" s="13">
        <v>0</v>
      </c>
      <c r="I8" s="13">
        <v>1</v>
      </c>
      <c r="J8" s="13">
        <v>2</v>
      </c>
      <c r="K8" s="13" t="s">
        <v>147</v>
      </c>
      <c r="L8" s="13" t="s">
        <v>148</v>
      </c>
      <c r="M8" s="13">
        <f>ТЕХ_Расчет!F54</f>
        <v>10</v>
      </c>
      <c r="N8" s="13">
        <f>ТЕХ_Расчет!G54</f>
        <v>21</v>
      </c>
      <c r="O8" s="13" t="e">
        <f ca="1">ТЕХ_Расчет!K54</f>
        <v>#NAME?</v>
      </c>
      <c r="P8" s="13" t="s">
        <v>133</v>
      </c>
    </row>
    <row r="9" spans="1:16" ht="38.25">
      <c r="A9" s="13" t="s">
        <v>142</v>
      </c>
      <c r="B9" s="13" t="s">
        <v>149</v>
      </c>
      <c r="C9" s="13" t="s">
        <v>81</v>
      </c>
      <c r="D9" s="13">
        <v>10</v>
      </c>
      <c r="E9" s="13">
        <v>0</v>
      </c>
      <c r="F9" s="13">
        <v>5</v>
      </c>
      <c r="G9" s="13">
        <v>2</v>
      </c>
      <c r="H9" s="13">
        <v>0</v>
      </c>
      <c r="I9" s="13">
        <v>1</v>
      </c>
      <c r="J9" s="13">
        <v>2</v>
      </c>
      <c r="K9" s="13" t="s">
        <v>150</v>
      </c>
      <c r="L9" s="13" t="s">
        <v>151</v>
      </c>
      <c r="M9" s="13">
        <f>ТЕХ_Расчет!F55</f>
        <v>10</v>
      </c>
      <c r="N9" s="13">
        <f>ТЕХ_Расчет!G55</f>
        <v>21</v>
      </c>
      <c r="O9" s="13" t="e">
        <f ca="1">ТЕХ_Расчет!K55</f>
        <v>#NAME?</v>
      </c>
      <c r="P9" s="13" t="s">
        <v>133</v>
      </c>
    </row>
    <row r="10" spans="1:16" ht="25.5">
      <c r="A10" s="13" t="s">
        <v>152</v>
      </c>
      <c r="B10" s="13" t="s">
        <v>153</v>
      </c>
      <c r="C10" s="13" t="s">
        <v>139</v>
      </c>
      <c r="D10" s="13">
        <v>8</v>
      </c>
      <c r="E10" s="13">
        <v>2</v>
      </c>
      <c r="F10" s="13">
        <v>0</v>
      </c>
      <c r="G10" s="13">
        <v>3</v>
      </c>
      <c r="H10" s="13">
        <v>0</v>
      </c>
      <c r="I10" s="13">
        <v>2</v>
      </c>
      <c r="J10" s="13">
        <v>1</v>
      </c>
      <c r="K10" s="13" t="s">
        <v>154</v>
      </c>
      <c r="L10" s="13" t="s">
        <v>155</v>
      </c>
      <c r="M10" s="13">
        <f>ТЕХ_Расчет!F56</f>
        <v>8</v>
      </c>
      <c r="N10" s="13">
        <f>ТЕХ_Расчет!G56</f>
        <v>18</v>
      </c>
      <c r="O10" s="13" t="e">
        <f ca="1">ТЕХ_Расчет!K56</f>
        <v>#NAME?</v>
      </c>
      <c r="P10" s="13" t="s">
        <v>133</v>
      </c>
    </row>
    <row r="11" spans="1:16" ht="38.25">
      <c r="A11" s="13" t="s">
        <v>152</v>
      </c>
      <c r="B11" s="13" t="s">
        <v>156</v>
      </c>
      <c r="C11" s="13" t="s">
        <v>78</v>
      </c>
      <c r="D11" s="13">
        <v>11</v>
      </c>
      <c r="E11" s="13">
        <v>3</v>
      </c>
      <c r="F11" s="13">
        <v>0</v>
      </c>
      <c r="G11" s="13">
        <v>4</v>
      </c>
      <c r="H11" s="13">
        <v>1</v>
      </c>
      <c r="I11" s="13">
        <v>0</v>
      </c>
      <c r="J11" s="13">
        <v>3</v>
      </c>
      <c r="K11" s="13" t="s">
        <v>157</v>
      </c>
      <c r="L11" s="13" t="s">
        <v>158</v>
      </c>
      <c r="M11" s="13">
        <f>ТЕХ_Расчет!F57</f>
        <v>11</v>
      </c>
      <c r="N11" s="13">
        <f>ТЕХ_Расчет!G57</f>
        <v>27</v>
      </c>
      <c r="O11" s="13" t="e">
        <f ca="1">ТЕХ_Расчет!K57</f>
        <v>#NAME?</v>
      </c>
      <c r="P11" s="13" t="s">
        <v>133</v>
      </c>
    </row>
    <row r="12" spans="1:16" ht="38.25">
      <c r="A12" s="13" t="s">
        <v>152</v>
      </c>
      <c r="B12" s="13" t="s">
        <v>159</v>
      </c>
      <c r="C12" s="13" t="s">
        <v>135</v>
      </c>
      <c r="D12" s="13">
        <v>10</v>
      </c>
      <c r="E12" s="13">
        <v>3</v>
      </c>
      <c r="F12" s="13">
        <v>0</v>
      </c>
      <c r="G12" s="13">
        <v>3</v>
      </c>
      <c r="H12" s="13">
        <v>1</v>
      </c>
      <c r="I12" s="13">
        <v>0</v>
      </c>
      <c r="J12" s="13">
        <v>3</v>
      </c>
      <c r="K12" s="13" t="s">
        <v>160</v>
      </c>
      <c r="L12" s="13" t="s">
        <v>161</v>
      </c>
      <c r="M12" s="13">
        <f>ТЕХ_Расчет!F58</f>
        <v>10</v>
      </c>
      <c r="N12" s="13">
        <f>ТЕХ_Расчет!G58</f>
        <v>20</v>
      </c>
      <c r="O12" s="13" t="e">
        <f ca="1">ТЕХ_Расчет!K58</f>
        <v>#NAME?</v>
      </c>
      <c r="P12" s="13" t="s">
        <v>133</v>
      </c>
    </row>
    <row r="13" spans="1:16" ht="38.25">
      <c r="A13" s="13" t="s">
        <v>162</v>
      </c>
      <c r="B13" s="13" t="s">
        <v>163</v>
      </c>
      <c r="C13" s="13" t="s">
        <v>135</v>
      </c>
      <c r="D13" s="13">
        <v>7</v>
      </c>
      <c r="E13" s="13">
        <v>3</v>
      </c>
      <c r="F13" s="13">
        <v>1</v>
      </c>
      <c r="G13" s="13">
        <v>1</v>
      </c>
      <c r="H13" s="13">
        <v>0</v>
      </c>
      <c r="I13" s="13">
        <v>0</v>
      </c>
      <c r="J13" s="13">
        <v>2</v>
      </c>
      <c r="K13" s="13" t="s">
        <v>164</v>
      </c>
      <c r="L13" s="13" t="s">
        <v>165</v>
      </c>
      <c r="M13" s="13">
        <f>ТЕХ_Расчет!F59</f>
        <v>7</v>
      </c>
      <c r="N13" s="13">
        <f>ТЕХ_Расчет!G59</f>
        <v>14</v>
      </c>
      <c r="O13" s="13" t="e">
        <f ca="1">ТЕХ_Расчет!K59</f>
        <v>#NAME?</v>
      </c>
      <c r="P13" s="13" t="s">
        <v>133</v>
      </c>
    </row>
    <row r="14" spans="1:16" ht="38.25">
      <c r="A14" s="13" t="s">
        <v>162</v>
      </c>
      <c r="B14" s="13" t="s">
        <v>166</v>
      </c>
      <c r="C14" s="13" t="s">
        <v>139</v>
      </c>
      <c r="D14" s="13">
        <v>7</v>
      </c>
      <c r="E14" s="13">
        <v>3</v>
      </c>
      <c r="F14" s="13">
        <v>2</v>
      </c>
      <c r="G14" s="13">
        <v>1</v>
      </c>
      <c r="H14" s="13">
        <v>0</v>
      </c>
      <c r="I14" s="13">
        <v>0</v>
      </c>
      <c r="J14" s="13">
        <v>1</v>
      </c>
      <c r="K14" s="13" t="s">
        <v>167</v>
      </c>
      <c r="L14" s="13" t="s">
        <v>109</v>
      </c>
      <c r="M14" s="13">
        <f>ТЕХ_Расчет!F60</f>
        <v>7</v>
      </c>
      <c r="N14" s="13">
        <f>ТЕХ_Расчет!G60</f>
        <v>14</v>
      </c>
      <c r="O14" s="13" t="e">
        <f ca="1">ТЕХ_Расчет!K60</f>
        <v>#NAME?</v>
      </c>
      <c r="P14" s="13" t="s">
        <v>133</v>
      </c>
    </row>
    <row r="15" spans="1:16" ht="38.25">
      <c r="A15" s="13" t="s">
        <v>162</v>
      </c>
      <c r="B15" s="13" t="s">
        <v>168</v>
      </c>
      <c r="C15" s="13" t="s">
        <v>78</v>
      </c>
      <c r="D15" s="13">
        <v>8</v>
      </c>
      <c r="E15" s="13">
        <v>2</v>
      </c>
      <c r="F15" s="13">
        <v>2</v>
      </c>
      <c r="G15" s="13">
        <v>2</v>
      </c>
      <c r="H15" s="13">
        <v>0</v>
      </c>
      <c r="I15" s="13">
        <v>0</v>
      </c>
      <c r="J15" s="13">
        <v>2</v>
      </c>
      <c r="K15" s="13" t="s">
        <v>169</v>
      </c>
      <c r="L15" s="13" t="s">
        <v>170</v>
      </c>
      <c r="M15" s="13">
        <f>ТЕХ_Расчет!F61</f>
        <v>8</v>
      </c>
      <c r="N15" s="13">
        <f>ТЕХ_Расчет!G61</f>
        <v>17</v>
      </c>
      <c r="O15" s="13" t="e">
        <f ca="1">ТЕХ_Расчет!K61</f>
        <v>#NAME?</v>
      </c>
      <c r="P15" s="13" t="s">
        <v>133</v>
      </c>
    </row>
    <row r="16" spans="1:16" ht="25.5">
      <c r="A16" s="13" t="s">
        <v>162</v>
      </c>
      <c r="B16" s="13" t="s">
        <v>171</v>
      </c>
      <c r="C16" s="13" t="s">
        <v>139</v>
      </c>
      <c r="D16" s="13">
        <v>8</v>
      </c>
      <c r="E16" s="13">
        <v>2</v>
      </c>
      <c r="F16" s="13">
        <v>1</v>
      </c>
      <c r="G16" s="13">
        <v>2</v>
      </c>
      <c r="H16" s="13">
        <v>1</v>
      </c>
      <c r="I16" s="13">
        <v>0</v>
      </c>
      <c r="J16" s="13">
        <v>2</v>
      </c>
      <c r="K16" s="13" t="s">
        <v>172</v>
      </c>
      <c r="L16" s="13" t="s">
        <v>173</v>
      </c>
      <c r="M16" s="13">
        <f>ТЕХ_Расчет!F62</f>
        <v>8</v>
      </c>
      <c r="N16" s="13">
        <f>ТЕХ_Расчет!G62</f>
        <v>15</v>
      </c>
      <c r="O16" s="13" t="e">
        <f ca="1">ТЕХ_Расчет!K62</f>
        <v>#NAME?</v>
      </c>
      <c r="P16" s="13" t="s">
        <v>133</v>
      </c>
    </row>
    <row r="17" spans="1:16" ht="25.5">
      <c r="A17" s="13" t="s">
        <v>174</v>
      </c>
      <c r="B17" s="13" t="s">
        <v>175</v>
      </c>
      <c r="C17" s="13" t="s">
        <v>139</v>
      </c>
      <c r="D17" s="13">
        <v>8</v>
      </c>
      <c r="E17" s="13">
        <v>0</v>
      </c>
      <c r="F17" s="13">
        <v>2</v>
      </c>
      <c r="G17" s="13">
        <v>4</v>
      </c>
      <c r="H17" s="13">
        <v>0</v>
      </c>
      <c r="I17" s="13">
        <v>1</v>
      </c>
      <c r="J17" s="13">
        <v>1</v>
      </c>
      <c r="K17" s="13" t="s">
        <v>176</v>
      </c>
      <c r="L17" s="13" t="s">
        <v>177</v>
      </c>
      <c r="M17" s="13">
        <f>ТЕХ_Расчет!F63</f>
        <v>8</v>
      </c>
      <c r="N17" s="13">
        <f>ТЕХ_Расчет!G63</f>
        <v>16</v>
      </c>
      <c r="O17" s="13" t="e">
        <f ca="1">ТЕХ_Расчет!K63</f>
        <v>#NAME?</v>
      </c>
      <c r="P17" s="13" t="s">
        <v>133</v>
      </c>
    </row>
    <row r="18" spans="1:16" ht="25.5">
      <c r="A18" s="13" t="s">
        <v>174</v>
      </c>
      <c r="B18" s="13" t="s">
        <v>178</v>
      </c>
      <c r="C18" s="13" t="s">
        <v>139</v>
      </c>
      <c r="D18" s="13">
        <v>7</v>
      </c>
      <c r="E18" s="13">
        <v>0</v>
      </c>
      <c r="F18" s="13">
        <v>2</v>
      </c>
      <c r="G18" s="13">
        <v>4</v>
      </c>
      <c r="H18" s="13">
        <v>0</v>
      </c>
      <c r="I18" s="13">
        <v>1</v>
      </c>
      <c r="J18" s="13">
        <v>0</v>
      </c>
      <c r="K18" s="13" t="s">
        <v>179</v>
      </c>
      <c r="L18" s="13" t="s">
        <v>100</v>
      </c>
      <c r="M18" s="13">
        <f>ТЕХ_Расчет!F64</f>
        <v>7</v>
      </c>
      <c r="N18" s="13">
        <f>ТЕХ_Расчет!G64</f>
        <v>13</v>
      </c>
      <c r="O18" s="13" t="e">
        <f ca="1">ТЕХ_Расчет!K64</f>
        <v>#NAME?</v>
      </c>
      <c r="P18" s="13" t="s">
        <v>133</v>
      </c>
    </row>
    <row r="19" spans="1:16" ht="38.25">
      <c r="A19" s="13" t="s">
        <v>174</v>
      </c>
      <c r="B19" s="13" t="s">
        <v>180</v>
      </c>
      <c r="C19" s="13" t="s">
        <v>84</v>
      </c>
      <c r="D19" s="13">
        <v>7</v>
      </c>
      <c r="E19" s="13">
        <v>0</v>
      </c>
      <c r="F19" s="13">
        <v>2</v>
      </c>
      <c r="G19" s="13">
        <v>5</v>
      </c>
      <c r="H19" s="13">
        <v>0</v>
      </c>
      <c r="I19" s="13">
        <v>0</v>
      </c>
      <c r="J19" s="13">
        <v>0</v>
      </c>
      <c r="K19" s="13" t="s">
        <v>181</v>
      </c>
      <c r="L19" s="13" t="s">
        <v>182</v>
      </c>
      <c r="M19" s="13">
        <f>ТЕХ_Расчет!F65</f>
        <v>7</v>
      </c>
      <c r="N19" s="13">
        <f>ТЕХ_Расчет!G65</f>
        <v>13</v>
      </c>
      <c r="O19" s="13" t="e">
        <f ca="1">ТЕХ_Расчет!K65</f>
        <v>#NAME?</v>
      </c>
      <c r="P19" s="13" t="s">
        <v>133</v>
      </c>
    </row>
    <row r="20" spans="1:16" ht="25.5">
      <c r="A20" s="13" t="s">
        <v>183</v>
      </c>
      <c r="B20" s="13" t="s">
        <v>184</v>
      </c>
      <c r="C20" s="13" t="s">
        <v>81</v>
      </c>
      <c r="D20" s="13">
        <v>7</v>
      </c>
      <c r="E20" s="13">
        <v>1</v>
      </c>
      <c r="F20" s="13">
        <v>3</v>
      </c>
      <c r="G20" s="13">
        <v>3</v>
      </c>
      <c r="H20" s="13">
        <v>0</v>
      </c>
      <c r="I20" s="13">
        <v>0</v>
      </c>
      <c r="J20" s="13">
        <v>0</v>
      </c>
      <c r="K20" s="13" t="s">
        <v>185</v>
      </c>
      <c r="L20" s="13" t="s">
        <v>182</v>
      </c>
      <c r="M20" s="13">
        <f>ТЕХ_Расчет!F66</f>
        <v>7</v>
      </c>
      <c r="N20" s="13">
        <f>ТЕХ_Расчет!G66</f>
        <v>15</v>
      </c>
      <c r="O20" s="13" t="e">
        <f ca="1">ТЕХ_Расчет!K66</f>
        <v>#NAME?</v>
      </c>
      <c r="P20" s="13" t="s">
        <v>133</v>
      </c>
    </row>
    <row r="21" spans="1:16" ht="25.5">
      <c r="A21" s="13" t="s">
        <v>183</v>
      </c>
      <c r="B21" s="13" t="s">
        <v>186</v>
      </c>
      <c r="C21" s="13" t="s">
        <v>78</v>
      </c>
      <c r="D21" s="13">
        <v>8</v>
      </c>
      <c r="E21" s="13">
        <v>1</v>
      </c>
      <c r="F21" s="13">
        <v>2</v>
      </c>
      <c r="G21" s="13">
        <v>2</v>
      </c>
      <c r="H21" s="13">
        <v>0</v>
      </c>
      <c r="I21" s="13">
        <v>0</v>
      </c>
      <c r="J21" s="13">
        <v>3</v>
      </c>
      <c r="K21" s="13" t="s">
        <v>187</v>
      </c>
      <c r="L21" s="13" t="s">
        <v>188</v>
      </c>
      <c r="M21" s="13">
        <f>ТЕХ_Расчет!F67</f>
        <v>8</v>
      </c>
      <c r="N21" s="13">
        <f>ТЕХ_Расчет!G67</f>
        <v>16</v>
      </c>
      <c r="O21" s="13" t="e">
        <f ca="1">ТЕХ_Расчет!K67</f>
        <v>#NAME?</v>
      </c>
      <c r="P21" s="13" t="s">
        <v>133</v>
      </c>
    </row>
    <row r="22" spans="1:16" ht="25.5">
      <c r="A22" s="13" t="s">
        <v>183</v>
      </c>
      <c r="B22" s="13" t="s">
        <v>189</v>
      </c>
      <c r="C22" s="13" t="s">
        <v>139</v>
      </c>
      <c r="D22" s="13">
        <v>9</v>
      </c>
      <c r="E22" s="13">
        <v>1</v>
      </c>
      <c r="F22" s="13">
        <v>4</v>
      </c>
      <c r="G22" s="13">
        <v>2</v>
      </c>
      <c r="H22" s="13">
        <v>0</v>
      </c>
      <c r="I22" s="13">
        <v>1</v>
      </c>
      <c r="J22" s="13">
        <v>1</v>
      </c>
      <c r="K22" s="13" t="s">
        <v>190</v>
      </c>
      <c r="L22" s="13" t="s">
        <v>191</v>
      </c>
      <c r="M22" s="13">
        <f>ТЕХ_Расчет!F68</f>
        <v>9</v>
      </c>
      <c r="N22" s="13">
        <f>ТЕХ_Расчет!G68</f>
        <v>18</v>
      </c>
      <c r="O22" s="13" t="e">
        <f ca="1">ТЕХ_Расчет!K68</f>
        <v>#NAME?</v>
      </c>
      <c r="P22" s="13" t="s">
        <v>133</v>
      </c>
    </row>
    <row r="23" spans="1:16" ht="25.5">
      <c r="A23" s="13" t="s">
        <v>183</v>
      </c>
      <c r="B23" s="13" t="s">
        <v>192</v>
      </c>
      <c r="C23" s="13" t="s">
        <v>135</v>
      </c>
      <c r="D23" s="13">
        <v>8</v>
      </c>
      <c r="E23" s="13">
        <v>1</v>
      </c>
      <c r="F23" s="13">
        <v>2</v>
      </c>
      <c r="G23" s="13">
        <v>2</v>
      </c>
      <c r="H23" s="13">
        <v>0</v>
      </c>
      <c r="I23" s="13">
        <v>1</v>
      </c>
      <c r="J23" s="13">
        <v>2</v>
      </c>
      <c r="K23" s="13" t="s">
        <v>187</v>
      </c>
      <c r="L23" s="13" t="s">
        <v>193</v>
      </c>
      <c r="M23" s="13">
        <f>ТЕХ_Расчет!F69</f>
        <v>8</v>
      </c>
      <c r="N23" s="13">
        <f>ТЕХ_Расчет!G69</f>
        <v>16</v>
      </c>
      <c r="O23" s="13" t="e">
        <f ca="1">ТЕХ_Расчет!K69</f>
        <v>#NAME?</v>
      </c>
      <c r="P23" s="13" t="s">
        <v>133</v>
      </c>
    </row>
    <row r="24" spans="1:16" ht="38.25">
      <c r="A24" s="13" t="s">
        <v>194</v>
      </c>
      <c r="B24" s="13" t="s">
        <v>195</v>
      </c>
      <c r="C24" s="13" t="s">
        <v>135</v>
      </c>
      <c r="D24" s="13">
        <v>12</v>
      </c>
      <c r="E24" s="13">
        <v>3</v>
      </c>
      <c r="F24" s="13">
        <v>1</v>
      </c>
      <c r="G24" s="13">
        <v>6</v>
      </c>
      <c r="H24" s="13">
        <v>0</v>
      </c>
      <c r="I24" s="13">
        <v>1</v>
      </c>
      <c r="J24" s="13">
        <v>1</v>
      </c>
      <c r="K24" s="13" t="s">
        <v>196</v>
      </c>
      <c r="L24" s="13" t="s">
        <v>197</v>
      </c>
      <c r="M24" s="13">
        <f>ТЕХ_Расчет!F70</f>
        <v>12</v>
      </c>
      <c r="N24" s="13">
        <f>ТЕХ_Расчет!G70</f>
        <v>21</v>
      </c>
      <c r="O24" s="13" t="e">
        <f ca="1">ТЕХ_Расчет!K70</f>
        <v>#NAME?</v>
      </c>
      <c r="P24" s="13" t="s">
        <v>133</v>
      </c>
    </row>
    <row r="25" spans="1:16" ht="38.25">
      <c r="A25" s="13" t="s">
        <v>194</v>
      </c>
      <c r="B25" s="13" t="s">
        <v>198</v>
      </c>
      <c r="C25" s="13" t="s">
        <v>135</v>
      </c>
      <c r="D25" s="13">
        <v>12</v>
      </c>
      <c r="E25" s="13">
        <v>2</v>
      </c>
      <c r="F25" s="13">
        <v>1</v>
      </c>
      <c r="G25" s="13">
        <v>6</v>
      </c>
      <c r="H25" s="13">
        <v>2</v>
      </c>
      <c r="I25" s="13">
        <v>0</v>
      </c>
      <c r="J25" s="13">
        <v>1</v>
      </c>
      <c r="K25" s="13" t="s">
        <v>199</v>
      </c>
      <c r="L25" s="13" t="s">
        <v>200</v>
      </c>
      <c r="M25" s="13">
        <f>ТЕХ_Расчет!F71</f>
        <v>12</v>
      </c>
      <c r="N25" s="13">
        <f>ТЕХ_Расчет!G71</f>
        <v>21</v>
      </c>
      <c r="O25" s="13" t="e">
        <f ca="1">ТЕХ_Расчет!K71</f>
        <v>#NAME?</v>
      </c>
      <c r="P25" s="13" t="s">
        <v>133</v>
      </c>
    </row>
    <row r="26" spans="1:16" ht="38.25">
      <c r="A26" s="13" t="s">
        <v>194</v>
      </c>
      <c r="B26" s="13" t="s">
        <v>201</v>
      </c>
      <c r="C26" s="13" t="s">
        <v>78</v>
      </c>
      <c r="D26" s="13">
        <v>12</v>
      </c>
      <c r="E26" s="13">
        <v>2</v>
      </c>
      <c r="F26" s="13">
        <v>1</v>
      </c>
      <c r="G26" s="13">
        <v>5</v>
      </c>
      <c r="H26" s="13">
        <v>1</v>
      </c>
      <c r="I26" s="13">
        <v>1</v>
      </c>
      <c r="J26" s="13">
        <v>2</v>
      </c>
      <c r="K26" s="13" t="s">
        <v>202</v>
      </c>
      <c r="L26" s="13" t="s">
        <v>203</v>
      </c>
      <c r="M26" s="13">
        <f>ТЕХ_Расчет!F72</f>
        <v>12</v>
      </c>
      <c r="N26" s="13">
        <f>ТЕХ_Расчет!G72</f>
        <v>23</v>
      </c>
      <c r="O26" s="13" t="e">
        <f ca="1">ТЕХ_Расчет!K72</f>
        <v>#NAME?</v>
      </c>
      <c r="P26" s="13" t="s">
        <v>133</v>
      </c>
    </row>
    <row r="27" spans="1:16" ht="25.5">
      <c r="A27" s="13" t="s">
        <v>204</v>
      </c>
      <c r="B27" s="13" t="s">
        <v>205</v>
      </c>
      <c r="C27" s="13" t="s">
        <v>78</v>
      </c>
      <c r="D27" s="13">
        <v>6</v>
      </c>
      <c r="E27" s="13">
        <v>1</v>
      </c>
      <c r="F27" s="13">
        <v>0</v>
      </c>
      <c r="G27" s="13">
        <v>2</v>
      </c>
      <c r="H27" s="13">
        <v>1</v>
      </c>
      <c r="I27" s="13">
        <v>0</v>
      </c>
      <c r="J27" s="13">
        <v>2</v>
      </c>
      <c r="K27" s="13" t="s">
        <v>206</v>
      </c>
      <c r="L27" s="13" t="s">
        <v>207</v>
      </c>
      <c r="M27" s="13">
        <f>ТЕХ_Расчет!F73</f>
        <v>6</v>
      </c>
      <c r="N27" s="13">
        <f>ТЕХ_Расчет!G73</f>
        <v>15</v>
      </c>
      <c r="O27" s="13" t="e">
        <f ca="1">ТЕХ_Расчет!K73</f>
        <v>#NAME?</v>
      </c>
      <c r="P27" s="13" t="s">
        <v>133</v>
      </c>
    </row>
    <row r="28" spans="1:16">
      <c r="A28" s="13" t="s">
        <v>204</v>
      </c>
      <c r="B28" s="13" t="s">
        <v>208</v>
      </c>
      <c r="C28" s="13" t="s">
        <v>135</v>
      </c>
      <c r="D28" s="13">
        <v>6</v>
      </c>
      <c r="E28" s="13">
        <v>2</v>
      </c>
      <c r="F28" s="13">
        <v>0</v>
      </c>
      <c r="G28" s="13">
        <v>1</v>
      </c>
      <c r="H28" s="13">
        <v>2</v>
      </c>
      <c r="I28" s="13">
        <v>0</v>
      </c>
      <c r="J28" s="13">
        <v>1</v>
      </c>
      <c r="K28" s="13" t="s">
        <v>209</v>
      </c>
      <c r="L28" s="13" t="s">
        <v>200</v>
      </c>
      <c r="M28" s="13">
        <f>ТЕХ_Расчет!F74</f>
        <v>6</v>
      </c>
      <c r="N28" s="13">
        <f>ТЕХ_Расчет!G74</f>
        <v>13</v>
      </c>
      <c r="O28" s="13" t="e">
        <f ca="1">ТЕХ_Расчет!K74</f>
        <v>#NAME?</v>
      </c>
      <c r="P28" s="13" t="s">
        <v>133</v>
      </c>
    </row>
    <row r="29" spans="1:16">
      <c r="A29" s="13" t="s">
        <v>204</v>
      </c>
      <c r="B29" s="13" t="s">
        <v>210</v>
      </c>
      <c r="C29" s="13" t="s">
        <v>84</v>
      </c>
      <c r="D29" s="13">
        <v>6</v>
      </c>
      <c r="E29" s="13">
        <v>1</v>
      </c>
      <c r="F29" s="13">
        <v>0</v>
      </c>
      <c r="G29" s="13">
        <v>3</v>
      </c>
      <c r="H29" s="13">
        <v>1</v>
      </c>
      <c r="I29" s="13">
        <v>1</v>
      </c>
      <c r="J29" s="13">
        <v>0</v>
      </c>
      <c r="K29" s="13" t="s">
        <v>211</v>
      </c>
      <c r="L29" s="13" t="s">
        <v>212</v>
      </c>
      <c r="M29" s="13">
        <f>ТЕХ_Расчет!F75</f>
        <v>6</v>
      </c>
      <c r="N29" s="13">
        <f>ТЕХ_Расчет!G75</f>
        <v>15</v>
      </c>
      <c r="O29" s="13" t="e">
        <f ca="1">ТЕХ_Расчет!K75</f>
        <v>#NAME?</v>
      </c>
      <c r="P29" s="13" t="s">
        <v>133</v>
      </c>
    </row>
    <row r="30" spans="1:16" ht="25.5">
      <c r="A30" s="13" t="s">
        <v>213</v>
      </c>
      <c r="B30" s="13" t="s">
        <v>214</v>
      </c>
      <c r="C30" s="13" t="s">
        <v>81</v>
      </c>
      <c r="D30" s="13">
        <v>5</v>
      </c>
      <c r="E30" s="13">
        <v>0</v>
      </c>
      <c r="F30" s="13">
        <v>2</v>
      </c>
      <c r="G30" s="13">
        <v>2</v>
      </c>
      <c r="H30" s="13">
        <v>0</v>
      </c>
      <c r="I30" s="13">
        <v>1</v>
      </c>
      <c r="J30" s="13">
        <v>0</v>
      </c>
      <c r="K30" s="13" t="s">
        <v>215</v>
      </c>
      <c r="L30" s="13" t="s">
        <v>102</v>
      </c>
      <c r="M30" s="13">
        <f>ТЕХ_Расчет!F76</f>
        <v>5</v>
      </c>
      <c r="N30" s="13">
        <f>ТЕХ_Расчет!G76</f>
        <v>10</v>
      </c>
      <c r="O30" s="13" t="e">
        <f ca="1">ТЕХ_Расчет!K76</f>
        <v>#NAME?</v>
      </c>
      <c r="P30" s="13" t="s">
        <v>133</v>
      </c>
    </row>
    <row r="31" spans="1:16" ht="25.5">
      <c r="A31" s="13" t="s">
        <v>213</v>
      </c>
      <c r="B31" s="13" t="s">
        <v>216</v>
      </c>
      <c r="C31" s="13" t="s">
        <v>135</v>
      </c>
      <c r="D31" s="13">
        <v>6</v>
      </c>
      <c r="E31" s="13">
        <v>0</v>
      </c>
      <c r="F31" s="13">
        <v>2</v>
      </c>
      <c r="G31" s="13">
        <v>2</v>
      </c>
      <c r="H31" s="13">
        <v>0</v>
      </c>
      <c r="I31" s="13">
        <v>1</v>
      </c>
      <c r="J31" s="13">
        <v>1</v>
      </c>
      <c r="K31" s="13" t="s">
        <v>215</v>
      </c>
      <c r="L31" s="13" t="s">
        <v>217</v>
      </c>
      <c r="M31" s="13">
        <f>ТЕХ_Расчет!F77</f>
        <v>6</v>
      </c>
      <c r="N31" s="13">
        <f>ТЕХ_Расчет!G77</f>
        <v>11</v>
      </c>
      <c r="O31" s="13" t="e">
        <f ca="1">ТЕХ_Расчет!K77</f>
        <v>#NAME?</v>
      </c>
      <c r="P31" s="13" t="s">
        <v>133</v>
      </c>
    </row>
    <row r="32" spans="1:16" ht="25.5">
      <c r="A32" s="13" t="s">
        <v>213</v>
      </c>
      <c r="B32" s="13" t="s">
        <v>218</v>
      </c>
      <c r="C32" s="13" t="s">
        <v>139</v>
      </c>
      <c r="D32" s="13">
        <v>6</v>
      </c>
      <c r="E32" s="13">
        <v>1</v>
      </c>
      <c r="F32" s="13">
        <v>2</v>
      </c>
      <c r="G32" s="13">
        <v>1</v>
      </c>
      <c r="H32" s="13">
        <v>0</v>
      </c>
      <c r="I32" s="13">
        <v>2</v>
      </c>
      <c r="J32" s="13">
        <v>0</v>
      </c>
      <c r="K32" s="13" t="s">
        <v>219</v>
      </c>
      <c r="L32" s="13" t="s">
        <v>220</v>
      </c>
      <c r="M32" s="13">
        <f>ТЕХ_Расчет!F78</f>
        <v>6</v>
      </c>
      <c r="N32" s="13">
        <f>ТЕХ_Расчет!G78</f>
        <v>13</v>
      </c>
      <c r="O32" s="13" t="e">
        <f ca="1">ТЕХ_Расчет!K78</f>
        <v>#NAME?</v>
      </c>
      <c r="P32" s="13" t="s">
        <v>133</v>
      </c>
    </row>
    <row r="33" spans="1:16" ht="25.5">
      <c r="A33" s="13" t="s">
        <v>213</v>
      </c>
      <c r="B33" s="13" t="s">
        <v>221</v>
      </c>
      <c r="C33" s="13" t="s">
        <v>78</v>
      </c>
      <c r="D33" s="13">
        <v>8</v>
      </c>
      <c r="E33" s="13">
        <v>0</v>
      </c>
      <c r="F33" s="13">
        <v>2</v>
      </c>
      <c r="G33" s="13">
        <v>2</v>
      </c>
      <c r="H33" s="13">
        <v>0</v>
      </c>
      <c r="I33" s="13">
        <v>2</v>
      </c>
      <c r="J33" s="13">
        <v>2</v>
      </c>
      <c r="K33" s="13" t="s">
        <v>222</v>
      </c>
      <c r="L33" s="13" t="s">
        <v>223</v>
      </c>
      <c r="M33" s="13">
        <f>ТЕХ_Расчет!F79</f>
        <v>8</v>
      </c>
      <c r="N33" s="13">
        <f>ТЕХ_Расчет!G79</f>
        <v>17</v>
      </c>
      <c r="O33" s="13" t="e">
        <f ca="1">ТЕХ_Расчет!K79</f>
        <v>#NAME?</v>
      </c>
      <c r="P33" s="13" t="s">
        <v>133</v>
      </c>
    </row>
    <row r="34" spans="1:16" ht="25.5">
      <c r="A34" s="13" t="s">
        <v>224</v>
      </c>
      <c r="B34" s="13" t="s">
        <v>225</v>
      </c>
      <c r="C34" s="13" t="s">
        <v>81</v>
      </c>
      <c r="D34" s="13">
        <v>7</v>
      </c>
      <c r="E34" s="13">
        <v>2</v>
      </c>
      <c r="F34" s="13">
        <v>3</v>
      </c>
      <c r="G34" s="13">
        <v>1</v>
      </c>
      <c r="H34" s="13">
        <v>0</v>
      </c>
      <c r="I34" s="13">
        <v>1</v>
      </c>
      <c r="J34" s="13">
        <v>0</v>
      </c>
      <c r="K34" s="13" t="s">
        <v>226</v>
      </c>
      <c r="L34" s="13" t="s">
        <v>102</v>
      </c>
      <c r="M34" s="13">
        <f>ТЕХ_Расчет!F80</f>
        <v>7</v>
      </c>
      <c r="N34" s="13">
        <f>ТЕХ_Расчет!G80</f>
        <v>16</v>
      </c>
      <c r="O34" s="13" t="e">
        <f ca="1">ТЕХ_Расчет!K80</f>
        <v>#NAME?</v>
      </c>
      <c r="P34" s="13" t="s">
        <v>133</v>
      </c>
    </row>
    <row r="35" spans="1:16" ht="38.25">
      <c r="A35" s="13" t="s">
        <v>224</v>
      </c>
      <c r="B35" s="13" t="s">
        <v>227</v>
      </c>
      <c r="C35" s="13" t="s">
        <v>135</v>
      </c>
      <c r="D35" s="13">
        <v>8</v>
      </c>
      <c r="E35" s="13">
        <v>2</v>
      </c>
      <c r="F35" s="13">
        <v>2</v>
      </c>
      <c r="G35" s="13">
        <v>2</v>
      </c>
      <c r="H35" s="13">
        <v>0</v>
      </c>
      <c r="I35" s="13">
        <v>1</v>
      </c>
      <c r="J35" s="13">
        <v>1</v>
      </c>
      <c r="K35" s="13" t="s">
        <v>228</v>
      </c>
      <c r="L35" s="13" t="s">
        <v>229</v>
      </c>
      <c r="M35" s="13">
        <f>ТЕХ_Расчет!F81</f>
        <v>8</v>
      </c>
      <c r="N35" s="13">
        <f>ТЕХ_Расчет!G81</f>
        <v>19</v>
      </c>
      <c r="O35" s="13" t="e">
        <f ca="1">ТЕХ_Расчет!K81</f>
        <v>#NAME?</v>
      </c>
      <c r="P35" s="13" t="s">
        <v>133</v>
      </c>
    </row>
    <row r="36" spans="1:16" ht="25.5">
      <c r="A36" s="13" t="s">
        <v>224</v>
      </c>
      <c r="B36" s="13" t="s">
        <v>230</v>
      </c>
      <c r="C36" s="13" t="s">
        <v>139</v>
      </c>
      <c r="D36" s="13">
        <v>9</v>
      </c>
      <c r="E36" s="13">
        <v>2</v>
      </c>
      <c r="F36" s="13">
        <v>3</v>
      </c>
      <c r="G36" s="13">
        <v>1</v>
      </c>
      <c r="H36" s="13">
        <v>0</v>
      </c>
      <c r="I36" s="13">
        <v>2</v>
      </c>
      <c r="J36" s="13">
        <v>1</v>
      </c>
      <c r="K36" s="13" t="s">
        <v>231</v>
      </c>
      <c r="L36" s="13" t="s">
        <v>232</v>
      </c>
      <c r="M36" s="13">
        <f>ТЕХ_Расчет!F82</f>
        <v>9</v>
      </c>
      <c r="N36" s="13">
        <f>ТЕХ_Расчет!G82</f>
        <v>20</v>
      </c>
      <c r="O36" s="13" t="e">
        <f ca="1">ТЕХ_Расчет!K82</f>
        <v>#NAME?</v>
      </c>
      <c r="P36" s="13" t="s">
        <v>133</v>
      </c>
    </row>
    <row r="37" spans="1:16" ht="38.25">
      <c r="A37" s="13" t="s">
        <v>224</v>
      </c>
      <c r="B37" s="13" t="s">
        <v>233</v>
      </c>
      <c r="C37" s="13" t="s">
        <v>78</v>
      </c>
      <c r="D37" s="13">
        <v>10</v>
      </c>
      <c r="E37" s="13">
        <v>2</v>
      </c>
      <c r="F37" s="13">
        <v>2</v>
      </c>
      <c r="G37" s="13">
        <v>3</v>
      </c>
      <c r="H37" s="13">
        <v>0</v>
      </c>
      <c r="I37" s="13">
        <v>0</v>
      </c>
      <c r="J37" s="13">
        <v>3</v>
      </c>
      <c r="K37" s="13" t="s">
        <v>234</v>
      </c>
      <c r="L37" s="13" t="s">
        <v>235</v>
      </c>
      <c r="M37" s="13">
        <f>ТЕХ_Расчет!F83</f>
        <v>10</v>
      </c>
      <c r="N37" s="13">
        <f>ТЕХ_Расчет!G83</f>
        <v>21</v>
      </c>
      <c r="O37" s="13" t="e">
        <f ca="1">ТЕХ_Расчет!K83</f>
        <v>#NAME?</v>
      </c>
      <c r="P37" s="13" t="s">
        <v>133</v>
      </c>
    </row>
    <row r="38" spans="1:16">
      <c r="A38" s="13" t="s">
        <v>236</v>
      </c>
      <c r="B38" s="13" t="s">
        <v>237</v>
      </c>
      <c r="C38" s="13" t="s">
        <v>135</v>
      </c>
      <c r="D38" s="13">
        <v>4</v>
      </c>
      <c r="E38" s="13">
        <v>3</v>
      </c>
      <c r="F38" s="13">
        <v>0</v>
      </c>
      <c r="G38" s="13">
        <v>0</v>
      </c>
      <c r="H38" s="13">
        <v>1</v>
      </c>
      <c r="I38" s="13">
        <v>0</v>
      </c>
      <c r="J38" s="13">
        <v>0</v>
      </c>
      <c r="K38" s="13" t="s">
        <v>238</v>
      </c>
      <c r="L38" s="13" t="s">
        <v>97</v>
      </c>
      <c r="M38" s="13">
        <f>ТЕХ_Расчет!F84</f>
        <v>4</v>
      </c>
      <c r="N38" s="13">
        <f>ТЕХ_Расчет!G84</f>
        <v>11</v>
      </c>
      <c r="O38" s="13" t="e">
        <f ca="1">ТЕХ_Расчет!K84</f>
        <v>#NAME?</v>
      </c>
      <c r="P38" s="13" t="s">
        <v>133</v>
      </c>
    </row>
    <row r="39" spans="1:16">
      <c r="A39" s="13" t="s">
        <v>236</v>
      </c>
      <c r="B39" s="13" t="s">
        <v>239</v>
      </c>
      <c r="C39" s="13" t="s">
        <v>135</v>
      </c>
      <c r="D39" s="13">
        <v>4</v>
      </c>
      <c r="E39" s="13">
        <v>2</v>
      </c>
      <c r="F39" s="13">
        <v>0</v>
      </c>
      <c r="G39" s="13">
        <v>1</v>
      </c>
      <c r="H39" s="13">
        <v>0</v>
      </c>
      <c r="I39" s="13">
        <v>0</v>
      </c>
      <c r="J39" s="13">
        <v>1</v>
      </c>
      <c r="K39" s="13" t="s">
        <v>240</v>
      </c>
      <c r="L39" s="13" t="s">
        <v>105</v>
      </c>
      <c r="M39" s="13">
        <f>ТЕХ_Расчет!F85</f>
        <v>4</v>
      </c>
      <c r="N39" s="13">
        <f>ТЕХ_Расчет!G85</f>
        <v>11</v>
      </c>
      <c r="O39" s="13" t="e">
        <f ca="1">ТЕХ_Расчет!K85</f>
        <v>#NAME?</v>
      </c>
      <c r="P39" s="13" t="s">
        <v>133</v>
      </c>
    </row>
    <row r="40" spans="1:16" ht="25.5">
      <c r="A40" s="13" t="s">
        <v>236</v>
      </c>
      <c r="B40" s="13" t="s">
        <v>241</v>
      </c>
      <c r="C40" s="13" t="s">
        <v>78</v>
      </c>
      <c r="D40" s="13">
        <v>7</v>
      </c>
      <c r="E40" s="13">
        <v>3</v>
      </c>
      <c r="F40" s="13">
        <v>0</v>
      </c>
      <c r="G40" s="13">
        <v>2</v>
      </c>
      <c r="H40" s="13">
        <v>0</v>
      </c>
      <c r="I40" s="13">
        <v>0</v>
      </c>
      <c r="J40" s="13">
        <v>2</v>
      </c>
      <c r="K40" s="13" t="s">
        <v>242</v>
      </c>
      <c r="L40" s="13" t="s">
        <v>243</v>
      </c>
      <c r="M40" s="13">
        <f>ТЕХ_Расчет!F86</f>
        <v>7</v>
      </c>
      <c r="N40" s="13">
        <f>ТЕХ_Расчет!G86</f>
        <v>14</v>
      </c>
      <c r="O40" s="13" t="e">
        <f ca="1">ТЕХ_Расчет!K86</f>
        <v>#NAME?</v>
      </c>
      <c r="P40" s="13" t="s">
        <v>133</v>
      </c>
    </row>
    <row r="41" spans="1:16" ht="38.25">
      <c r="A41" s="13" t="s">
        <v>244</v>
      </c>
      <c r="B41" s="13" t="s">
        <v>245</v>
      </c>
      <c r="C41" s="13" t="s">
        <v>135</v>
      </c>
      <c r="D41" s="13">
        <v>9</v>
      </c>
      <c r="E41" s="13">
        <v>3</v>
      </c>
      <c r="F41" s="13">
        <v>1</v>
      </c>
      <c r="G41" s="13">
        <v>3</v>
      </c>
      <c r="H41" s="13">
        <v>2</v>
      </c>
      <c r="I41" s="13">
        <v>0</v>
      </c>
      <c r="J41" s="13">
        <v>0</v>
      </c>
      <c r="K41" s="13" t="s">
        <v>246</v>
      </c>
      <c r="L41" s="13" t="s">
        <v>247</v>
      </c>
      <c r="M41" s="13">
        <f>ТЕХ_Расчет!F87</f>
        <v>9</v>
      </c>
      <c r="N41" s="13">
        <f>ТЕХ_Расчет!G87</f>
        <v>16</v>
      </c>
      <c r="O41" s="13" t="e">
        <f ca="1">ТЕХ_Расчет!K87</f>
        <v>#NAME?</v>
      </c>
      <c r="P41" s="13" t="s">
        <v>133</v>
      </c>
    </row>
    <row r="42" spans="1:16" ht="38.25">
      <c r="A42" s="13" t="s">
        <v>244</v>
      </c>
      <c r="B42" s="13" t="s">
        <v>248</v>
      </c>
      <c r="C42" s="13" t="s">
        <v>78</v>
      </c>
      <c r="D42" s="13">
        <v>10</v>
      </c>
      <c r="E42" s="13">
        <v>2</v>
      </c>
      <c r="F42" s="13">
        <v>2</v>
      </c>
      <c r="G42" s="13">
        <v>3</v>
      </c>
      <c r="H42" s="13">
        <v>1</v>
      </c>
      <c r="I42" s="13">
        <v>0</v>
      </c>
      <c r="J42" s="13">
        <v>2</v>
      </c>
      <c r="K42" s="13" t="s">
        <v>249</v>
      </c>
      <c r="L42" s="13" t="s">
        <v>250</v>
      </c>
      <c r="M42" s="13">
        <f>ТЕХ_Расчет!F88</f>
        <v>10</v>
      </c>
      <c r="N42" s="13">
        <f>ТЕХ_Расчет!G88</f>
        <v>19</v>
      </c>
      <c r="O42" s="13" t="e">
        <f ca="1">ТЕХ_Расчет!K88</f>
        <v>#NAME?</v>
      </c>
      <c r="P42" s="13" t="s">
        <v>133</v>
      </c>
    </row>
    <row r="43" spans="1:16" ht="38.25">
      <c r="A43" s="13" t="s">
        <v>244</v>
      </c>
      <c r="B43" s="13" t="s">
        <v>251</v>
      </c>
      <c r="C43" s="13" t="s">
        <v>139</v>
      </c>
      <c r="D43" s="13">
        <v>10</v>
      </c>
      <c r="E43" s="13">
        <v>2</v>
      </c>
      <c r="F43" s="13">
        <v>2</v>
      </c>
      <c r="G43" s="13">
        <v>3</v>
      </c>
      <c r="H43" s="13">
        <v>0</v>
      </c>
      <c r="I43" s="13">
        <v>2</v>
      </c>
      <c r="J43" s="13">
        <v>1</v>
      </c>
      <c r="K43" s="13" t="s">
        <v>252</v>
      </c>
      <c r="L43" s="13" t="s">
        <v>253</v>
      </c>
      <c r="M43" s="13">
        <f>ТЕХ_Расчет!F89</f>
        <v>10</v>
      </c>
      <c r="N43" s="13">
        <f>ТЕХ_Расчет!G89</f>
        <v>19</v>
      </c>
      <c r="O43" s="13" t="e">
        <f ca="1">ТЕХ_Расчет!K89</f>
        <v>#NAME?</v>
      </c>
      <c r="P43" s="13" t="s">
        <v>133</v>
      </c>
    </row>
    <row r="44" spans="1:16" ht="38.25">
      <c r="A44" s="13" t="s">
        <v>244</v>
      </c>
      <c r="B44" s="13" t="s">
        <v>254</v>
      </c>
      <c r="C44" s="13" t="s">
        <v>84</v>
      </c>
      <c r="D44" s="13">
        <v>10</v>
      </c>
      <c r="E44" s="13">
        <v>2</v>
      </c>
      <c r="F44" s="13">
        <v>1</v>
      </c>
      <c r="G44" s="13">
        <v>6</v>
      </c>
      <c r="H44" s="13">
        <v>1</v>
      </c>
      <c r="I44" s="13">
        <v>0</v>
      </c>
      <c r="J44" s="13">
        <v>0</v>
      </c>
      <c r="K44" s="13" t="s">
        <v>255</v>
      </c>
      <c r="L44" s="13" t="s">
        <v>97</v>
      </c>
      <c r="M44" s="13">
        <f>ТЕХ_Расчет!F90</f>
        <v>10</v>
      </c>
      <c r="N44" s="13">
        <f>ТЕХ_Расчет!G90</f>
        <v>19</v>
      </c>
      <c r="O44" s="13" t="e">
        <f ca="1">ТЕХ_Расчет!K90</f>
        <v>#NAME?</v>
      </c>
      <c r="P44" s="13" t="s">
        <v>133</v>
      </c>
    </row>
    <row r="45" spans="1:16" ht="25.5">
      <c r="A45" s="13" t="s">
        <v>256</v>
      </c>
      <c r="B45" s="13" t="s">
        <v>257</v>
      </c>
      <c r="C45" s="13" t="s">
        <v>139</v>
      </c>
      <c r="D45" s="13">
        <v>6</v>
      </c>
      <c r="E45" s="13">
        <v>1</v>
      </c>
      <c r="F45" s="13">
        <v>1</v>
      </c>
      <c r="G45" s="13">
        <v>1</v>
      </c>
      <c r="H45" s="13">
        <v>1</v>
      </c>
      <c r="I45" s="13">
        <v>1</v>
      </c>
      <c r="J45" s="13">
        <v>1</v>
      </c>
      <c r="K45" s="13" t="s">
        <v>258</v>
      </c>
      <c r="L45" s="13" t="s">
        <v>259</v>
      </c>
      <c r="M45" s="13">
        <f>ТЕХ_Расчет!F91</f>
        <v>6</v>
      </c>
      <c r="N45" s="13">
        <f>ТЕХ_Расчет!G91</f>
        <v>13</v>
      </c>
      <c r="O45" s="13" t="e">
        <f ca="1">ТЕХ_Расчет!K91</f>
        <v>#NAME?</v>
      </c>
      <c r="P45" s="13" t="s">
        <v>133</v>
      </c>
    </row>
    <row r="46" spans="1:16">
      <c r="A46" s="13" t="s">
        <v>256</v>
      </c>
      <c r="B46" s="13" t="s">
        <v>260</v>
      </c>
      <c r="C46" s="13" t="s">
        <v>84</v>
      </c>
      <c r="D46" s="13">
        <v>5</v>
      </c>
      <c r="E46" s="13">
        <v>1</v>
      </c>
      <c r="F46" s="13">
        <v>0</v>
      </c>
      <c r="G46" s="13">
        <v>3</v>
      </c>
      <c r="H46" s="13">
        <v>1</v>
      </c>
      <c r="I46" s="13">
        <v>0</v>
      </c>
      <c r="J46" s="13">
        <v>0</v>
      </c>
      <c r="K46" s="13" t="s">
        <v>261</v>
      </c>
      <c r="L46" s="13" t="s">
        <v>96</v>
      </c>
      <c r="M46" s="13">
        <f>ТЕХ_Расчет!F92</f>
        <v>5</v>
      </c>
      <c r="N46" s="13">
        <f>ТЕХ_Расчет!G92</f>
        <v>10</v>
      </c>
      <c r="O46" s="13" t="e">
        <f ca="1">ТЕХ_Расчет!K92</f>
        <v>#NAME?</v>
      </c>
      <c r="P46" s="13" t="s">
        <v>133</v>
      </c>
    </row>
    <row r="47" spans="1:16" ht="25.5">
      <c r="A47" s="13" t="s">
        <v>256</v>
      </c>
      <c r="B47" s="13" t="s">
        <v>262</v>
      </c>
      <c r="C47" s="13" t="s">
        <v>135</v>
      </c>
      <c r="D47" s="13">
        <v>6</v>
      </c>
      <c r="E47" s="13">
        <v>1</v>
      </c>
      <c r="F47" s="13">
        <v>1</v>
      </c>
      <c r="G47" s="13">
        <v>2</v>
      </c>
      <c r="H47" s="13">
        <v>1</v>
      </c>
      <c r="I47" s="13">
        <v>0</v>
      </c>
      <c r="J47" s="13">
        <v>1</v>
      </c>
      <c r="K47" s="13" t="s">
        <v>263</v>
      </c>
      <c r="L47" s="13" t="s">
        <v>141</v>
      </c>
      <c r="M47" s="13">
        <f>ТЕХ_Расчет!F93</f>
        <v>6</v>
      </c>
      <c r="N47" s="13">
        <f>ТЕХ_Расчет!G93</f>
        <v>11</v>
      </c>
      <c r="O47" s="13" t="e">
        <f ca="1">ТЕХ_Расчет!K93</f>
        <v>#NAME?</v>
      </c>
      <c r="P47" s="13" t="s">
        <v>133</v>
      </c>
    </row>
    <row r="48" spans="1:16" ht="25.5">
      <c r="A48" s="13" t="s">
        <v>256</v>
      </c>
      <c r="B48" s="13" t="s">
        <v>264</v>
      </c>
      <c r="C48" s="13" t="s">
        <v>78</v>
      </c>
      <c r="D48" s="13">
        <v>7</v>
      </c>
      <c r="E48" s="13">
        <v>2</v>
      </c>
      <c r="F48" s="13">
        <v>0</v>
      </c>
      <c r="G48" s="13">
        <v>2</v>
      </c>
      <c r="H48" s="13">
        <v>1</v>
      </c>
      <c r="I48" s="13">
        <v>0</v>
      </c>
      <c r="J48" s="13">
        <v>2</v>
      </c>
      <c r="K48" s="13" t="s">
        <v>265</v>
      </c>
      <c r="L48" s="13" t="s">
        <v>266</v>
      </c>
      <c r="M48" s="13">
        <f>ТЕХ_Расчет!F94</f>
        <v>7</v>
      </c>
      <c r="N48" s="13">
        <f>ТЕХ_Расчет!G94</f>
        <v>12</v>
      </c>
      <c r="O48" s="13" t="e">
        <f ca="1">ТЕХ_Расчет!K94</f>
        <v>#NAME?</v>
      </c>
      <c r="P48" s="13" t="s">
        <v>133</v>
      </c>
    </row>
    <row r="49" spans="1:16" ht="25.5">
      <c r="A49" s="13" t="s">
        <v>267</v>
      </c>
      <c r="B49" s="13" t="s">
        <v>268</v>
      </c>
      <c r="C49" s="13" t="s">
        <v>81</v>
      </c>
      <c r="D49" s="13">
        <v>7</v>
      </c>
      <c r="E49" s="13">
        <v>0</v>
      </c>
      <c r="F49" s="13">
        <v>4</v>
      </c>
      <c r="G49" s="13">
        <v>2</v>
      </c>
      <c r="H49" s="13">
        <v>0</v>
      </c>
      <c r="I49" s="13">
        <v>0</v>
      </c>
      <c r="J49" s="13">
        <v>1</v>
      </c>
      <c r="K49" s="13" t="s">
        <v>269</v>
      </c>
      <c r="L49" s="13" t="s">
        <v>108</v>
      </c>
      <c r="M49" s="13">
        <f>ТЕХ_Расчет!F95</f>
        <v>7</v>
      </c>
      <c r="N49" s="13">
        <f>ТЕХ_Расчет!G95</f>
        <v>11</v>
      </c>
      <c r="O49" s="13" t="e">
        <f ca="1">ТЕХ_Расчет!K95</f>
        <v>#NAME?</v>
      </c>
      <c r="P49" s="13" t="s">
        <v>133</v>
      </c>
    </row>
    <row r="50" spans="1:16" ht="25.5">
      <c r="A50" s="13" t="s">
        <v>267</v>
      </c>
      <c r="B50" s="13" t="s">
        <v>270</v>
      </c>
      <c r="C50" s="13" t="s">
        <v>139</v>
      </c>
      <c r="D50" s="13">
        <v>8</v>
      </c>
      <c r="E50" s="13">
        <v>0</v>
      </c>
      <c r="F50" s="13">
        <v>4</v>
      </c>
      <c r="G50" s="13">
        <v>2</v>
      </c>
      <c r="H50" s="13">
        <v>0</v>
      </c>
      <c r="I50" s="13">
        <v>1</v>
      </c>
      <c r="J50" s="13">
        <v>1</v>
      </c>
      <c r="K50" s="13" t="s">
        <v>271</v>
      </c>
      <c r="L50" s="13" t="s">
        <v>272</v>
      </c>
      <c r="M50" s="13">
        <f>ТЕХ_Расчет!F96</f>
        <v>8</v>
      </c>
      <c r="N50" s="13">
        <f>ТЕХ_Расчет!G96</f>
        <v>14</v>
      </c>
      <c r="O50" s="13" t="e">
        <f ca="1">ТЕХ_Расчет!K96</f>
        <v>#NAME?</v>
      </c>
      <c r="P50" s="13" t="s">
        <v>133</v>
      </c>
    </row>
    <row r="51" spans="1:16" ht="25.5">
      <c r="A51" s="13" t="s">
        <v>267</v>
      </c>
      <c r="B51" s="13" t="s">
        <v>273</v>
      </c>
      <c r="C51" s="13" t="s">
        <v>139</v>
      </c>
      <c r="D51" s="13">
        <v>8</v>
      </c>
      <c r="E51" s="13">
        <v>0</v>
      </c>
      <c r="F51" s="13">
        <v>3</v>
      </c>
      <c r="G51" s="13">
        <v>3</v>
      </c>
      <c r="H51" s="13">
        <v>0</v>
      </c>
      <c r="I51" s="13">
        <v>1</v>
      </c>
      <c r="J51" s="13">
        <v>1</v>
      </c>
      <c r="K51" s="13" t="s">
        <v>274</v>
      </c>
      <c r="L51" s="13" t="s">
        <v>275</v>
      </c>
      <c r="M51" s="13">
        <f>ТЕХ_Расчет!F97</f>
        <v>8</v>
      </c>
      <c r="N51" s="13">
        <f>ТЕХ_Расчет!G97</f>
        <v>14</v>
      </c>
      <c r="O51" s="13" t="e">
        <f ca="1">ТЕХ_Расчет!K97</f>
        <v>#NAME?</v>
      </c>
      <c r="P51" s="13" t="s">
        <v>133</v>
      </c>
    </row>
    <row r="52" spans="1:16" ht="25.5">
      <c r="A52" s="13" t="s">
        <v>276</v>
      </c>
      <c r="B52" s="13" t="s">
        <v>277</v>
      </c>
      <c r="C52" s="13" t="s">
        <v>135</v>
      </c>
      <c r="D52" s="13">
        <v>6</v>
      </c>
      <c r="E52" s="13">
        <v>3</v>
      </c>
      <c r="F52" s="13">
        <v>0</v>
      </c>
      <c r="G52" s="13">
        <v>1</v>
      </c>
      <c r="H52" s="13">
        <v>0</v>
      </c>
      <c r="I52" s="13">
        <v>0</v>
      </c>
      <c r="J52" s="13">
        <v>2</v>
      </c>
      <c r="K52" s="13" t="s">
        <v>278</v>
      </c>
      <c r="L52" s="13" t="s">
        <v>279</v>
      </c>
      <c r="M52" s="13">
        <f>ТЕХ_Расчет!F98</f>
        <v>6</v>
      </c>
      <c r="N52" s="13">
        <f>ТЕХ_Расчет!G98</f>
        <v>10</v>
      </c>
      <c r="O52" s="13" t="e">
        <f ca="1">ТЕХ_Расчет!K98</f>
        <v>#NAME?</v>
      </c>
      <c r="P52" s="13" t="s">
        <v>133</v>
      </c>
    </row>
    <row r="53" spans="1:16" ht="25.5">
      <c r="A53" s="13" t="s">
        <v>276</v>
      </c>
      <c r="B53" s="13" t="s">
        <v>280</v>
      </c>
      <c r="C53" s="13" t="s">
        <v>139</v>
      </c>
      <c r="D53" s="13">
        <v>7</v>
      </c>
      <c r="E53" s="13">
        <v>3</v>
      </c>
      <c r="F53" s="13">
        <v>0</v>
      </c>
      <c r="G53" s="13">
        <v>1</v>
      </c>
      <c r="H53" s="13">
        <v>2</v>
      </c>
      <c r="I53" s="13">
        <v>0</v>
      </c>
      <c r="J53" s="13">
        <v>1</v>
      </c>
      <c r="K53" s="13" t="s">
        <v>278</v>
      </c>
      <c r="L53" s="13" t="s">
        <v>281</v>
      </c>
      <c r="M53" s="13">
        <f>ТЕХ_Расчет!F99</f>
        <v>7</v>
      </c>
      <c r="N53" s="13">
        <f>ТЕХ_Расчет!G99</f>
        <v>13</v>
      </c>
      <c r="O53" s="13" t="e">
        <f ca="1">ТЕХ_Расчет!K99</f>
        <v>#NAME?</v>
      </c>
      <c r="P53" s="13" t="s">
        <v>133</v>
      </c>
    </row>
    <row r="54" spans="1:16" ht="25.5">
      <c r="A54" s="13" t="s">
        <v>276</v>
      </c>
      <c r="B54" s="13" t="s">
        <v>282</v>
      </c>
      <c r="C54" s="13" t="s">
        <v>84</v>
      </c>
      <c r="D54" s="13">
        <v>8</v>
      </c>
      <c r="E54" s="13">
        <v>3</v>
      </c>
      <c r="F54" s="13">
        <v>0</v>
      </c>
      <c r="G54" s="13">
        <v>3</v>
      </c>
      <c r="H54" s="13">
        <v>0</v>
      </c>
      <c r="I54" s="13">
        <v>0</v>
      </c>
      <c r="J54" s="13">
        <v>2</v>
      </c>
      <c r="K54" s="13" t="s">
        <v>283</v>
      </c>
      <c r="L54" s="13" t="s">
        <v>284</v>
      </c>
      <c r="M54" s="13">
        <f>ТЕХ_Расчет!F100</f>
        <v>8</v>
      </c>
      <c r="N54" s="13">
        <f>ТЕХ_Расчет!G100</f>
        <v>18</v>
      </c>
      <c r="O54" s="13" t="e">
        <f ca="1">ТЕХ_Расчет!K100</f>
        <v>#NAME?</v>
      </c>
      <c r="P54" s="13" t="s">
        <v>133</v>
      </c>
    </row>
    <row r="55" spans="1:16">
      <c r="A55" s="13" t="s">
        <v>285</v>
      </c>
      <c r="B55" s="13" t="s">
        <v>286</v>
      </c>
      <c r="C55" s="13" t="s">
        <v>135</v>
      </c>
      <c r="D55" s="13">
        <v>6</v>
      </c>
      <c r="E55" s="13">
        <v>2</v>
      </c>
      <c r="F55" s="13">
        <v>0</v>
      </c>
      <c r="G55" s="13">
        <v>1</v>
      </c>
      <c r="H55" s="13">
        <v>0</v>
      </c>
      <c r="I55" s="13">
        <v>1</v>
      </c>
      <c r="J55" s="13">
        <v>2</v>
      </c>
      <c r="K55" s="13" t="s">
        <v>287</v>
      </c>
      <c r="L55" s="13" t="s">
        <v>288</v>
      </c>
      <c r="M55" s="13">
        <f>ТЕХ_Расчет!F101</f>
        <v>6</v>
      </c>
      <c r="N55" s="13">
        <f>ТЕХ_Расчет!G101</f>
        <v>12</v>
      </c>
      <c r="O55" s="13" t="e">
        <f ca="1">ТЕХ_Расчет!K101</f>
        <v>#NAME?</v>
      </c>
      <c r="P55" s="13" t="s">
        <v>133</v>
      </c>
    </row>
    <row r="56" spans="1:16" ht="25.5">
      <c r="A56" s="13" t="s">
        <v>285</v>
      </c>
      <c r="B56" s="13" t="s">
        <v>289</v>
      </c>
      <c r="C56" s="13" t="s">
        <v>135</v>
      </c>
      <c r="D56" s="13">
        <v>7</v>
      </c>
      <c r="E56" s="13">
        <v>2</v>
      </c>
      <c r="F56" s="13">
        <v>0</v>
      </c>
      <c r="G56" s="13">
        <v>2</v>
      </c>
      <c r="H56" s="13">
        <v>0</v>
      </c>
      <c r="I56" s="13">
        <v>0</v>
      </c>
      <c r="J56" s="13">
        <v>3</v>
      </c>
      <c r="K56" s="13" t="s">
        <v>290</v>
      </c>
      <c r="L56" s="13" t="s">
        <v>291</v>
      </c>
      <c r="M56" s="13">
        <f>ТЕХ_Расчет!F102</f>
        <v>7</v>
      </c>
      <c r="N56" s="13">
        <f>ТЕХ_Расчет!G102</f>
        <v>13</v>
      </c>
      <c r="O56" s="13" t="e">
        <f ca="1">ТЕХ_Расчет!K102</f>
        <v>#NAME?</v>
      </c>
      <c r="P56" s="13" t="s">
        <v>133</v>
      </c>
    </row>
    <row r="57" spans="1:16" ht="25.5">
      <c r="A57" s="13" t="s">
        <v>285</v>
      </c>
      <c r="B57" s="13" t="s">
        <v>292</v>
      </c>
      <c r="C57" s="13" t="s">
        <v>78</v>
      </c>
      <c r="D57" s="13">
        <v>8</v>
      </c>
      <c r="E57" s="13">
        <v>2</v>
      </c>
      <c r="F57" s="13">
        <v>0</v>
      </c>
      <c r="G57" s="13">
        <v>3</v>
      </c>
      <c r="H57" s="13">
        <v>1</v>
      </c>
      <c r="I57" s="13">
        <v>0</v>
      </c>
      <c r="J57" s="13">
        <v>2</v>
      </c>
      <c r="K57" s="13" t="s">
        <v>293</v>
      </c>
      <c r="L57" s="13" t="s">
        <v>250</v>
      </c>
      <c r="M57" s="13">
        <f>ТЕХ_Расчет!F103</f>
        <v>8</v>
      </c>
      <c r="N57" s="13">
        <f>ТЕХ_Расчет!G103</f>
        <v>18</v>
      </c>
      <c r="O57" s="13" t="e">
        <f ca="1">ТЕХ_Расчет!K103</f>
        <v>#NAME?</v>
      </c>
      <c r="P57" s="13" t="s">
        <v>133</v>
      </c>
    </row>
    <row r="58" spans="1:16" ht="38.25">
      <c r="A58" s="13" t="s">
        <v>294</v>
      </c>
      <c r="B58" s="13" t="s">
        <v>295</v>
      </c>
      <c r="C58" s="13" t="s">
        <v>139</v>
      </c>
      <c r="D58" s="13">
        <v>11</v>
      </c>
      <c r="E58" s="13">
        <v>2</v>
      </c>
      <c r="F58" s="13">
        <v>2</v>
      </c>
      <c r="G58" s="13">
        <v>5</v>
      </c>
      <c r="H58" s="13">
        <v>0</v>
      </c>
      <c r="I58" s="13">
        <v>1</v>
      </c>
      <c r="J58" s="13">
        <v>1</v>
      </c>
      <c r="K58" s="13" t="s">
        <v>296</v>
      </c>
      <c r="L58" s="13" t="s">
        <v>297</v>
      </c>
      <c r="M58" s="13">
        <f>ТЕХ_Расчет!F104</f>
        <v>11</v>
      </c>
      <c r="N58" s="13">
        <f>ТЕХ_Расчет!G104</f>
        <v>18</v>
      </c>
      <c r="O58" s="13" t="e">
        <f ca="1">ТЕХ_Расчет!K104</f>
        <v>#NAME?</v>
      </c>
      <c r="P58" s="13" t="s">
        <v>133</v>
      </c>
    </row>
    <row r="59" spans="1:16" ht="51">
      <c r="A59" s="13" t="s">
        <v>294</v>
      </c>
      <c r="B59" s="13" t="s">
        <v>298</v>
      </c>
      <c r="C59" s="13" t="s">
        <v>135</v>
      </c>
      <c r="D59" s="13">
        <v>11</v>
      </c>
      <c r="E59" s="13">
        <v>2</v>
      </c>
      <c r="F59" s="13">
        <v>2</v>
      </c>
      <c r="G59" s="13">
        <v>6</v>
      </c>
      <c r="H59" s="13">
        <v>0</v>
      </c>
      <c r="I59" s="13">
        <v>0</v>
      </c>
      <c r="J59" s="13">
        <v>1</v>
      </c>
      <c r="K59" s="13" t="s">
        <v>299</v>
      </c>
      <c r="L59" s="13" t="s">
        <v>108</v>
      </c>
      <c r="M59" s="13">
        <f>ТЕХ_Расчет!F105</f>
        <v>11</v>
      </c>
      <c r="N59" s="13">
        <f>ТЕХ_Расчет!G105</f>
        <v>18</v>
      </c>
      <c r="O59" s="13" t="e">
        <f ca="1">ТЕХ_Расчет!K105</f>
        <v>#NAME?</v>
      </c>
      <c r="P59" s="13" t="s">
        <v>133</v>
      </c>
    </row>
    <row r="60" spans="1:16" ht="51">
      <c r="A60" s="13" t="s">
        <v>294</v>
      </c>
      <c r="B60" s="13" t="s">
        <v>300</v>
      </c>
      <c r="C60" s="13" t="s">
        <v>135</v>
      </c>
      <c r="D60" s="13">
        <v>12</v>
      </c>
      <c r="E60" s="13">
        <v>3</v>
      </c>
      <c r="F60" s="13">
        <v>2</v>
      </c>
      <c r="G60" s="13">
        <v>5</v>
      </c>
      <c r="H60" s="13">
        <v>0</v>
      </c>
      <c r="I60" s="13">
        <v>0</v>
      </c>
      <c r="J60" s="13">
        <v>2</v>
      </c>
      <c r="K60" s="13" t="s">
        <v>301</v>
      </c>
      <c r="L60" s="13" t="s">
        <v>302</v>
      </c>
      <c r="M60" s="13">
        <f>ТЕХ_Расчет!F106</f>
        <v>12</v>
      </c>
      <c r="N60" s="13">
        <f>ТЕХ_Расчет!G106</f>
        <v>21</v>
      </c>
      <c r="O60" s="13" t="e">
        <f ca="1">ТЕХ_Расчет!K106</f>
        <v>#NAME?</v>
      </c>
      <c r="P60" s="13" t="s">
        <v>133</v>
      </c>
    </row>
    <row r="61" spans="1:16" ht="38.25">
      <c r="A61" s="13" t="s">
        <v>303</v>
      </c>
      <c r="B61" s="13" t="s">
        <v>304</v>
      </c>
      <c r="C61" s="13" t="s">
        <v>81</v>
      </c>
      <c r="D61" s="13">
        <v>7</v>
      </c>
      <c r="E61" s="13">
        <v>0</v>
      </c>
      <c r="F61" s="13">
        <v>4</v>
      </c>
      <c r="G61" s="13">
        <v>3</v>
      </c>
      <c r="H61" s="13">
        <v>0</v>
      </c>
      <c r="I61" s="13">
        <v>0</v>
      </c>
      <c r="J61" s="13">
        <v>0</v>
      </c>
      <c r="K61" s="13" t="s">
        <v>305</v>
      </c>
      <c r="L61" s="13" t="s">
        <v>182</v>
      </c>
      <c r="M61" s="13">
        <f>ТЕХ_Расчет!F107</f>
        <v>7</v>
      </c>
      <c r="N61" s="13">
        <f>ТЕХ_Расчет!G107</f>
        <v>13</v>
      </c>
      <c r="O61" s="13" t="e">
        <f ca="1">ТЕХ_Расчет!K107</f>
        <v>#NAME?</v>
      </c>
      <c r="P61" s="13" t="s">
        <v>133</v>
      </c>
    </row>
    <row r="62" spans="1:16" ht="25.5">
      <c r="A62" s="13" t="s">
        <v>303</v>
      </c>
      <c r="B62" s="13" t="s">
        <v>306</v>
      </c>
      <c r="C62" s="13" t="s">
        <v>139</v>
      </c>
      <c r="D62" s="13">
        <v>9</v>
      </c>
      <c r="E62" s="13">
        <v>0</v>
      </c>
      <c r="F62" s="13">
        <v>3</v>
      </c>
      <c r="G62" s="13">
        <v>3</v>
      </c>
      <c r="H62" s="13">
        <v>0</v>
      </c>
      <c r="I62" s="13">
        <v>2</v>
      </c>
      <c r="J62" s="13">
        <v>1</v>
      </c>
      <c r="K62" s="13" t="s">
        <v>307</v>
      </c>
      <c r="L62" s="13" t="s">
        <v>308</v>
      </c>
      <c r="M62" s="13">
        <f>ТЕХ_Расчет!F108</f>
        <v>9</v>
      </c>
      <c r="N62" s="13">
        <f>ТЕХ_Расчет!G108</f>
        <v>17</v>
      </c>
      <c r="O62" s="13" t="e">
        <f ca="1">ТЕХ_Расчет!K108</f>
        <v>#NAME?</v>
      </c>
      <c r="P62" s="13" t="s">
        <v>133</v>
      </c>
    </row>
    <row r="63" spans="1:16" ht="25.5">
      <c r="A63" s="13" t="s">
        <v>303</v>
      </c>
      <c r="B63" s="13" t="s">
        <v>309</v>
      </c>
      <c r="C63" s="13" t="s">
        <v>139</v>
      </c>
      <c r="D63" s="13">
        <v>9</v>
      </c>
      <c r="E63" s="13">
        <v>0</v>
      </c>
      <c r="F63" s="13">
        <v>4</v>
      </c>
      <c r="G63" s="13">
        <v>3</v>
      </c>
      <c r="H63" s="13">
        <v>0</v>
      </c>
      <c r="I63" s="13">
        <v>0</v>
      </c>
      <c r="J63" s="13">
        <v>2</v>
      </c>
      <c r="K63" s="13" t="s">
        <v>310</v>
      </c>
      <c r="L63" s="13" t="s">
        <v>311</v>
      </c>
      <c r="M63" s="13">
        <f>ТЕХ_Расчет!F109</f>
        <v>9</v>
      </c>
      <c r="N63" s="13">
        <f>ТЕХ_Расчет!G109</f>
        <v>17</v>
      </c>
      <c r="O63" s="13" t="e">
        <f ca="1">ТЕХ_Расчет!K109</f>
        <v>#NAME?</v>
      </c>
      <c r="P63" s="13" t="s">
        <v>133</v>
      </c>
    </row>
    <row r="64" spans="1:16" ht="25.5">
      <c r="A64" s="13" t="s">
        <v>312</v>
      </c>
      <c r="B64" s="13" t="s">
        <v>313</v>
      </c>
      <c r="C64" s="13" t="s">
        <v>139</v>
      </c>
      <c r="D64" s="13">
        <v>8</v>
      </c>
      <c r="E64" s="13">
        <v>1</v>
      </c>
      <c r="F64" s="13">
        <v>1</v>
      </c>
      <c r="G64" s="13">
        <v>2</v>
      </c>
      <c r="H64" s="13">
        <v>1</v>
      </c>
      <c r="I64" s="13">
        <v>0</v>
      </c>
      <c r="J64" s="13">
        <v>3</v>
      </c>
      <c r="K64" s="13" t="s">
        <v>314</v>
      </c>
      <c r="L64" s="13" t="s">
        <v>315</v>
      </c>
      <c r="M64" s="13">
        <f>ТЕХ_Расчет!F110</f>
        <v>8</v>
      </c>
      <c r="N64" s="13">
        <f>ТЕХ_Расчет!G110</f>
        <v>18</v>
      </c>
      <c r="O64" s="13" t="e">
        <f ca="1">ТЕХ_Расчет!K110</f>
        <v>#NAME?</v>
      </c>
      <c r="P64" s="13" t="s">
        <v>133</v>
      </c>
    </row>
    <row r="65" spans="1:16" ht="25.5">
      <c r="A65" s="13" t="s">
        <v>312</v>
      </c>
      <c r="B65" s="13" t="s">
        <v>316</v>
      </c>
      <c r="C65" s="13" t="s">
        <v>139</v>
      </c>
      <c r="D65" s="13">
        <v>9</v>
      </c>
      <c r="E65" s="13">
        <v>1</v>
      </c>
      <c r="F65" s="13">
        <v>2</v>
      </c>
      <c r="G65" s="13">
        <v>1</v>
      </c>
      <c r="H65" s="13">
        <v>1</v>
      </c>
      <c r="I65" s="13">
        <v>1</v>
      </c>
      <c r="J65" s="13">
        <v>3</v>
      </c>
      <c r="K65" s="13" t="s">
        <v>317</v>
      </c>
      <c r="L65" s="13" t="s">
        <v>318</v>
      </c>
      <c r="M65" s="13">
        <f>ТЕХ_Расчет!F111</f>
        <v>9</v>
      </c>
      <c r="N65" s="13">
        <f>ТЕХ_Расчет!G111</f>
        <v>21</v>
      </c>
      <c r="O65" s="13" t="e">
        <f ca="1">ТЕХ_Расчет!K111</f>
        <v>#NAME?</v>
      </c>
      <c r="P65" s="13" t="s">
        <v>133</v>
      </c>
    </row>
    <row r="66" spans="1:16" ht="25.5">
      <c r="A66" s="13" t="s">
        <v>312</v>
      </c>
      <c r="B66" s="13" t="s">
        <v>319</v>
      </c>
      <c r="C66" s="13" t="s">
        <v>139</v>
      </c>
      <c r="D66" s="13">
        <v>9</v>
      </c>
      <c r="E66" s="13">
        <v>1</v>
      </c>
      <c r="F66" s="13">
        <v>1</v>
      </c>
      <c r="G66" s="13">
        <v>2</v>
      </c>
      <c r="H66" s="13">
        <v>1</v>
      </c>
      <c r="I66" s="13">
        <v>1</v>
      </c>
      <c r="J66" s="13">
        <v>3</v>
      </c>
      <c r="K66" s="13" t="s">
        <v>320</v>
      </c>
      <c r="L66" s="13" t="s">
        <v>321</v>
      </c>
      <c r="M66" s="13">
        <f>ТЕХ_Расчет!F112</f>
        <v>9</v>
      </c>
      <c r="N66" s="13">
        <f>ТЕХ_Расчет!G112</f>
        <v>21</v>
      </c>
      <c r="O66" s="13" t="e">
        <f ca="1">ТЕХ_Расчет!K112</f>
        <v>#NAME?</v>
      </c>
      <c r="P66" s="13" t="s">
        <v>133</v>
      </c>
    </row>
    <row r="67" spans="1:16" ht="25.5">
      <c r="A67" s="13" t="s">
        <v>322</v>
      </c>
      <c r="B67" s="13" t="s">
        <v>323</v>
      </c>
      <c r="C67" s="13" t="s">
        <v>135</v>
      </c>
      <c r="D67" s="13">
        <v>7</v>
      </c>
      <c r="E67" s="13">
        <v>2</v>
      </c>
      <c r="F67" s="13">
        <v>1</v>
      </c>
      <c r="G67" s="13">
        <v>1</v>
      </c>
      <c r="H67" s="13">
        <v>0</v>
      </c>
      <c r="I67" s="13">
        <v>2</v>
      </c>
      <c r="J67" s="13">
        <v>1</v>
      </c>
      <c r="K67" s="13" t="s">
        <v>324</v>
      </c>
      <c r="L67" s="13" t="s">
        <v>325</v>
      </c>
      <c r="M67" s="13">
        <f>ТЕХ_Расчет!F113</f>
        <v>7</v>
      </c>
      <c r="N67" s="13">
        <f>ТЕХ_Расчет!G113</f>
        <v>14</v>
      </c>
      <c r="O67" s="13" t="e">
        <f ca="1">ТЕХ_Расчет!K113</f>
        <v>#NAME?</v>
      </c>
      <c r="P67" s="13" t="s">
        <v>133</v>
      </c>
    </row>
    <row r="68" spans="1:16" ht="25.5">
      <c r="A68" s="13" t="s">
        <v>322</v>
      </c>
      <c r="B68" s="13" t="s">
        <v>326</v>
      </c>
      <c r="C68" s="13" t="s">
        <v>81</v>
      </c>
      <c r="D68" s="13">
        <v>7</v>
      </c>
      <c r="E68" s="13">
        <v>2</v>
      </c>
      <c r="F68" s="13">
        <v>2</v>
      </c>
      <c r="G68" s="13">
        <v>2</v>
      </c>
      <c r="H68" s="13">
        <v>0</v>
      </c>
      <c r="I68" s="13">
        <v>0</v>
      </c>
      <c r="J68" s="13">
        <v>1</v>
      </c>
      <c r="K68" s="13" t="s">
        <v>327</v>
      </c>
      <c r="L68" s="13" t="s">
        <v>109</v>
      </c>
      <c r="M68" s="13">
        <f>ТЕХ_Расчет!F114</f>
        <v>7</v>
      </c>
      <c r="N68" s="13">
        <f>ТЕХ_Расчет!G114</f>
        <v>12</v>
      </c>
      <c r="O68" s="13" t="e">
        <f ca="1">ТЕХ_Расчет!K114</f>
        <v>#NAME?</v>
      </c>
      <c r="P68" s="13" t="s">
        <v>133</v>
      </c>
    </row>
    <row r="69" spans="1:16" ht="25.5">
      <c r="A69" s="13" t="s">
        <v>322</v>
      </c>
      <c r="B69" s="13" t="s">
        <v>328</v>
      </c>
      <c r="C69" s="13" t="s">
        <v>78</v>
      </c>
      <c r="D69" s="13">
        <v>8</v>
      </c>
      <c r="E69" s="13">
        <v>2</v>
      </c>
      <c r="F69" s="13">
        <v>1</v>
      </c>
      <c r="G69" s="13">
        <v>2</v>
      </c>
      <c r="H69" s="13">
        <v>0</v>
      </c>
      <c r="I69" s="13">
        <v>0</v>
      </c>
      <c r="J69" s="13">
        <v>3</v>
      </c>
      <c r="K69" s="13" t="s">
        <v>329</v>
      </c>
      <c r="L69" s="13" t="s">
        <v>330</v>
      </c>
      <c r="M69" s="13">
        <f>ТЕХ_Расчет!F115</f>
        <v>8</v>
      </c>
      <c r="N69" s="13">
        <f>ТЕХ_Расчет!G115</f>
        <v>15</v>
      </c>
      <c r="O69" s="13" t="e">
        <f ca="1">ТЕХ_Расчет!K115</f>
        <v>#NAME?</v>
      </c>
      <c r="P69" s="13" t="s">
        <v>133</v>
      </c>
    </row>
    <row r="70" spans="1:16" ht="25.5">
      <c r="A70" s="13" t="s">
        <v>322</v>
      </c>
      <c r="B70" s="13" t="s">
        <v>331</v>
      </c>
      <c r="C70" s="13" t="s">
        <v>139</v>
      </c>
      <c r="D70" s="13">
        <v>8</v>
      </c>
      <c r="E70" s="13">
        <v>2</v>
      </c>
      <c r="F70" s="13">
        <v>2</v>
      </c>
      <c r="G70" s="13">
        <v>1</v>
      </c>
      <c r="H70" s="13">
        <v>0</v>
      </c>
      <c r="I70" s="13">
        <v>1</v>
      </c>
      <c r="J70" s="13">
        <v>2</v>
      </c>
      <c r="K70" s="13" t="s">
        <v>332</v>
      </c>
      <c r="L70" s="13" t="s">
        <v>333</v>
      </c>
      <c r="M70" s="13">
        <f>ТЕХ_Расчет!F116</f>
        <v>8</v>
      </c>
      <c r="N70" s="13">
        <f>ТЕХ_Расчет!G116</f>
        <v>15</v>
      </c>
      <c r="O70" s="13" t="e">
        <f ca="1">ТЕХ_Расчет!K116</f>
        <v>#NAME?</v>
      </c>
      <c r="P70" s="13" t="s">
        <v>133</v>
      </c>
    </row>
    <row r="71" spans="1:16" ht="25.5">
      <c r="A71" s="13" t="s">
        <v>334</v>
      </c>
      <c r="B71" s="13" t="s">
        <v>335</v>
      </c>
      <c r="C71" s="13" t="s">
        <v>139</v>
      </c>
      <c r="D71" s="13">
        <v>7</v>
      </c>
      <c r="E71" s="13">
        <v>2</v>
      </c>
      <c r="F71" s="13">
        <v>2</v>
      </c>
      <c r="G71" s="13">
        <v>2</v>
      </c>
      <c r="H71" s="13">
        <v>0</v>
      </c>
      <c r="I71" s="13">
        <v>0</v>
      </c>
      <c r="J71" s="13">
        <v>1</v>
      </c>
      <c r="K71" s="13" t="s">
        <v>336</v>
      </c>
      <c r="L71" s="13" t="s">
        <v>105</v>
      </c>
      <c r="M71" s="13">
        <f>ТЕХ_Расчет!F117</f>
        <v>7</v>
      </c>
      <c r="N71" s="13">
        <f>ТЕХ_Расчет!G117</f>
        <v>13</v>
      </c>
      <c r="O71" s="13" t="e">
        <f ca="1">ТЕХ_Расчет!K117</f>
        <v>#NAME?</v>
      </c>
      <c r="P71" s="13" t="s">
        <v>133</v>
      </c>
    </row>
    <row r="72" spans="1:16" ht="25.5">
      <c r="A72" s="13" t="s">
        <v>334</v>
      </c>
      <c r="B72" s="13" t="s">
        <v>337</v>
      </c>
      <c r="C72" s="13" t="s">
        <v>139</v>
      </c>
      <c r="D72" s="13">
        <v>7</v>
      </c>
      <c r="E72" s="13">
        <v>2</v>
      </c>
      <c r="F72" s="13">
        <v>2</v>
      </c>
      <c r="G72" s="13">
        <v>2</v>
      </c>
      <c r="H72" s="13">
        <v>1</v>
      </c>
      <c r="I72" s="13">
        <v>0</v>
      </c>
      <c r="J72" s="13">
        <v>0</v>
      </c>
      <c r="K72" s="13" t="s">
        <v>338</v>
      </c>
      <c r="L72" s="13" t="s">
        <v>97</v>
      </c>
      <c r="M72" s="13">
        <f>ТЕХ_Расчет!F118</f>
        <v>7</v>
      </c>
      <c r="N72" s="13">
        <f>ТЕХ_Расчет!G118</f>
        <v>13</v>
      </c>
      <c r="O72" s="13" t="e">
        <f ca="1">ТЕХ_Расчет!K118</f>
        <v>#NAME?</v>
      </c>
      <c r="P72" s="13" t="s">
        <v>133</v>
      </c>
    </row>
    <row r="73" spans="1:16" ht="38.25">
      <c r="A73" s="13" t="s">
        <v>334</v>
      </c>
      <c r="B73" s="13" t="s">
        <v>339</v>
      </c>
      <c r="C73" s="13" t="s">
        <v>81</v>
      </c>
      <c r="D73" s="13">
        <v>8</v>
      </c>
      <c r="E73" s="13">
        <v>1</v>
      </c>
      <c r="F73" s="13">
        <v>3</v>
      </c>
      <c r="G73" s="13">
        <v>4</v>
      </c>
      <c r="H73" s="13">
        <v>0</v>
      </c>
      <c r="I73" s="13">
        <v>0</v>
      </c>
      <c r="J73" s="13">
        <v>0</v>
      </c>
      <c r="K73" s="13" t="s">
        <v>340</v>
      </c>
      <c r="L73" s="13" t="s">
        <v>182</v>
      </c>
      <c r="M73" s="13">
        <f>ТЕХ_Расчет!F119</f>
        <v>8</v>
      </c>
      <c r="N73" s="13">
        <f>ТЕХ_Расчет!G119</f>
        <v>14</v>
      </c>
      <c r="O73" s="13" t="e">
        <f ca="1">ТЕХ_Расчет!K119</f>
        <v>#NAME?</v>
      </c>
      <c r="P73" s="13" t="s">
        <v>133</v>
      </c>
    </row>
  </sheetData>
  <mergeCells count="2">
    <mergeCell ref="A1:P1"/>
    <mergeCell ref="A2:P2"/>
  </mergeCells>
  <conditionalFormatting sqref="A4:P73">
    <cfRule type="expression" dxfId="13" priority="3">
      <formula>$C4="Танк"</formula>
    </cfRule>
    <cfRule type="expression" dxfId="12" priority="4">
      <formula>$C4="Хилер"</formula>
    </cfRule>
    <cfRule type="expression" dxfId="11" priority="5">
      <formula>$C4="Мили-DPS"</formula>
    </cfRule>
    <cfRule type="expression" dxfId="10" priority="6">
      <formula>$C4="Рейндж/кастер"</formula>
    </cfRule>
    <cfRule type="expression" dxfId="9" priority="7">
      <formula>$C4="Саппорт"</formula>
    </cfRule>
  </conditionalFormatting>
  <conditionalFormatting sqref="M4:M73">
    <cfRule type="dataBar" priority="1">
      <dataBar>
        <cfvo type="min"/>
        <cfvo type="max"/>
        <color rgb="FF7C3AED"/>
      </dataBar>
    </cfRule>
    <cfRule type="dataBar" priority="8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{7C6127EC-BDE7-1C34-5C2B-8302C95C8BEB}</x14:id>
        </ext>
      </extLst>
    </cfRule>
  </conditionalFormatting>
  <conditionalFormatting sqref="N4:N73">
    <cfRule type="dataBar" priority="2">
      <dataBar>
        <cfvo type="min"/>
        <cfvo type="max"/>
        <color rgb="FF2563EB"/>
      </dataBar>
    </cfRule>
    <cfRule type="dataBar" priority="9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{0C311577-5464-BFF8-1B79-97D79BA574F2}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6127EC-BDE7-1C34-5C2B-8302C95C8BEB}">
            <x14:dataBar>
              <x14:cfvo type="min"/>
              <x14:cfvo type="max"/>
              <x14:negativeFillColor auto="1"/>
              <x14:axisColor auto="1"/>
            </x14:dataBar>
          </x14:cfRule>
          <xm:sqref>M4:M73</xm:sqref>
        </x14:conditionalFormatting>
        <x14:conditionalFormatting xmlns:xm="http://schemas.microsoft.com/office/excel/2006/main">
          <x14:cfRule type="dataBar" id="{0C311577-5464-BFF8-1B79-97D79BA574F2}">
            <x14:dataBar>
              <x14:cfvo type="min"/>
              <x14:cfvo type="max"/>
              <x14:negativeFillColor auto="1"/>
              <x14:axisColor auto="1"/>
            </x14:dataBar>
          </x14:cfRule>
          <xm:sqref>N4:N73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zoomScale="85" zoomScaleNormal="85" workbookViewId="0">
      <selection activeCell="A7" sqref="A7:XFD46"/>
    </sheetView>
  </sheetViews>
  <sheetFormatPr defaultRowHeight="14.25"/>
  <cols>
    <col min="1" max="1" width="20" customWidth="1"/>
    <col min="2" max="2" width="31" customWidth="1"/>
    <col min="3" max="3" width="15" customWidth="1"/>
    <col min="4" max="4" width="10" customWidth="1"/>
    <col min="5" max="5" width="15" customWidth="1"/>
    <col min="6" max="7" width="13" customWidth="1"/>
    <col min="8" max="8" width="23" customWidth="1"/>
    <col min="9" max="9" width="81.625" customWidth="1"/>
    <col min="10" max="10" width="28" customWidth="1"/>
    <col min="11" max="11" width="34" customWidth="1"/>
    <col min="12" max="12" width="48" customWidth="1"/>
    <col min="13" max="13" width="8" customWidth="1"/>
  </cols>
  <sheetData>
    <row r="1" spans="1:13" ht="27.95" customHeight="1">
      <c r="A1" s="118" t="s">
        <v>341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3" ht="33.950000000000003" customHeight="1">
      <c r="A2" s="120" t="s">
        <v>342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86"/>
      <c r="M2" s="86"/>
    </row>
    <row r="3" spans="1:13" ht="27.95" customHeight="1">
      <c r="A3" s="87" t="s">
        <v>29</v>
      </c>
      <c r="B3" s="87" t="s">
        <v>30</v>
      </c>
      <c r="C3" s="87" t="s">
        <v>33</v>
      </c>
      <c r="D3" s="87" t="s">
        <v>31</v>
      </c>
      <c r="E3" s="87" t="s">
        <v>32</v>
      </c>
      <c r="F3" s="87" t="s">
        <v>343</v>
      </c>
      <c r="G3" s="87" t="s">
        <v>344</v>
      </c>
      <c r="H3" s="87" t="s">
        <v>345</v>
      </c>
      <c r="I3" s="87" t="s">
        <v>346</v>
      </c>
      <c r="J3" s="87" t="s">
        <v>347</v>
      </c>
      <c r="K3" s="87" t="s">
        <v>129</v>
      </c>
      <c r="L3" s="88" t="s">
        <v>348</v>
      </c>
      <c r="M3" s="88" t="s">
        <v>34</v>
      </c>
    </row>
    <row r="4" spans="1:13" ht="30" hidden="1" customHeight="1">
      <c r="A4" s="16" t="s">
        <v>36</v>
      </c>
      <c r="B4" s="16" t="s">
        <v>37</v>
      </c>
      <c r="C4" s="85" t="s">
        <v>13</v>
      </c>
      <c r="D4" s="13">
        <f>'РЕЙД-КОНСТРУКТОР'!K6</f>
        <v>0</v>
      </c>
      <c r="E4" s="13" t="str">
        <f t="shared" ref="E4:E48" si="0">IF(D4=0,"НЕ ХВАТАЕТ",IF(D4=1,"ЕСТЬ","ЕСТЬ ЗАПАС"))</f>
        <v>НЕ ХВАТАЕТ</v>
      </c>
      <c r="F4" s="13">
        <v>14</v>
      </c>
      <c r="G4" s="13">
        <v>4</v>
      </c>
      <c r="H4" s="13" t="s">
        <v>349</v>
      </c>
      <c r="I4" s="13" t="s">
        <v>350</v>
      </c>
      <c r="J4" s="13" t="s">
        <v>351</v>
      </c>
      <c r="K4" s="13" t="s">
        <v>133</v>
      </c>
      <c r="L4" s="14" t="s">
        <v>352</v>
      </c>
      <c r="M4" s="89">
        <f t="shared" ref="M4:M48" si="1">IF(C4="Критично",3,IF(C4="Важно",2,IF(C4="Опционально",1,0)))</f>
        <v>3</v>
      </c>
    </row>
    <row r="5" spans="1:13" ht="30" hidden="1" customHeight="1">
      <c r="A5" s="16" t="s">
        <v>36</v>
      </c>
      <c r="B5" s="16" t="s">
        <v>38</v>
      </c>
      <c r="C5" s="85" t="s">
        <v>353</v>
      </c>
      <c r="D5" s="13">
        <f>'РЕЙД-КОНСТРУКТОР'!K7</f>
        <v>0</v>
      </c>
      <c r="E5" s="13" t="str">
        <f t="shared" si="0"/>
        <v>НЕ ХВАТАЕТ</v>
      </c>
      <c r="F5" s="13">
        <v>18</v>
      </c>
      <c r="G5" s="13">
        <v>5</v>
      </c>
      <c r="H5" s="13" t="s">
        <v>354</v>
      </c>
      <c r="I5" s="13" t="s">
        <v>355</v>
      </c>
      <c r="J5" s="13" t="s">
        <v>356</v>
      </c>
      <c r="K5" s="13" t="s">
        <v>133</v>
      </c>
      <c r="L5" s="14" t="s">
        <v>357</v>
      </c>
      <c r="M5" s="89">
        <f t="shared" si="1"/>
        <v>2</v>
      </c>
    </row>
    <row r="6" spans="1:13" ht="30" hidden="1" customHeight="1">
      <c r="A6" s="16" t="s">
        <v>36</v>
      </c>
      <c r="B6" s="16" t="s">
        <v>42</v>
      </c>
      <c r="C6" s="85" t="s">
        <v>353</v>
      </c>
      <c r="D6" s="13">
        <f>'РЕЙД-КОНСТРУКТОР'!K8</f>
        <v>0</v>
      </c>
      <c r="E6" s="13" t="str">
        <f t="shared" si="0"/>
        <v>НЕ ХВАТАЕТ</v>
      </c>
      <c r="F6" s="13">
        <v>13</v>
      </c>
      <c r="G6" s="13">
        <v>4</v>
      </c>
      <c r="H6" s="13" t="s">
        <v>358</v>
      </c>
      <c r="I6" s="13" t="s">
        <v>359</v>
      </c>
      <c r="J6" s="13" t="s">
        <v>360</v>
      </c>
      <c r="K6" s="13" t="s">
        <v>133</v>
      </c>
      <c r="L6" s="14" t="s">
        <v>361</v>
      </c>
      <c r="M6" s="89">
        <f t="shared" si="1"/>
        <v>2</v>
      </c>
    </row>
    <row r="7" spans="1:13" ht="38.25">
      <c r="A7" s="16" t="s">
        <v>36</v>
      </c>
      <c r="B7" s="16" t="s">
        <v>43</v>
      </c>
      <c r="C7" s="85" t="s">
        <v>353</v>
      </c>
      <c r="D7" s="13">
        <f>'РЕЙД-КОНСТРУКТОР'!K9</f>
        <v>0</v>
      </c>
      <c r="E7" s="13" t="str">
        <f t="shared" si="0"/>
        <v>НЕ ХВАТАЕТ</v>
      </c>
      <c r="F7" s="13">
        <v>12</v>
      </c>
      <c r="G7" s="13">
        <v>4</v>
      </c>
      <c r="H7" s="13" t="s">
        <v>358</v>
      </c>
      <c r="I7" s="13" t="s">
        <v>362</v>
      </c>
      <c r="J7" s="13" t="s">
        <v>363</v>
      </c>
      <c r="K7" s="13" t="s">
        <v>133</v>
      </c>
      <c r="L7" s="14" t="s">
        <v>364</v>
      </c>
      <c r="M7" s="89">
        <f t="shared" si="1"/>
        <v>2</v>
      </c>
    </row>
    <row r="8" spans="1:13" ht="63.75">
      <c r="A8" s="16" t="s">
        <v>36</v>
      </c>
      <c r="B8" s="16" t="s">
        <v>44</v>
      </c>
      <c r="C8" s="85" t="s">
        <v>353</v>
      </c>
      <c r="D8" s="13">
        <f>'РЕЙД-КОНСТРУКТОР'!K10</f>
        <v>0</v>
      </c>
      <c r="E8" s="13" t="str">
        <f t="shared" si="0"/>
        <v>НЕ ХВАТАЕТ</v>
      </c>
      <c r="F8" s="13">
        <v>20</v>
      </c>
      <c r="G8" s="13">
        <v>6</v>
      </c>
      <c r="H8" s="13" t="s">
        <v>354</v>
      </c>
      <c r="I8" s="13" t="s">
        <v>365</v>
      </c>
      <c r="J8" s="13" t="s">
        <v>366</v>
      </c>
      <c r="K8" s="13" t="s">
        <v>133</v>
      </c>
      <c r="L8" s="14" t="s">
        <v>367</v>
      </c>
      <c r="M8" s="89">
        <f t="shared" si="1"/>
        <v>2</v>
      </c>
    </row>
    <row r="9" spans="1:13" ht="51">
      <c r="A9" s="16" t="s">
        <v>36</v>
      </c>
      <c r="B9" s="16" t="s">
        <v>45</v>
      </c>
      <c r="C9" s="85" t="s">
        <v>353</v>
      </c>
      <c r="D9" s="13">
        <f>'РЕЙД-КОНСТРУКТОР'!K11</f>
        <v>0</v>
      </c>
      <c r="E9" s="13" t="str">
        <f t="shared" si="0"/>
        <v>НЕ ХВАТАЕТ</v>
      </c>
      <c r="F9" s="13">
        <v>17</v>
      </c>
      <c r="G9" s="13">
        <v>5</v>
      </c>
      <c r="H9" s="13" t="s">
        <v>354</v>
      </c>
      <c r="I9" s="13" t="s">
        <v>368</v>
      </c>
      <c r="J9" s="13" t="s">
        <v>369</v>
      </c>
      <c r="K9" s="13" t="s">
        <v>133</v>
      </c>
      <c r="L9" s="14" t="s">
        <v>370</v>
      </c>
      <c r="M9" s="89">
        <f t="shared" si="1"/>
        <v>2</v>
      </c>
    </row>
    <row r="10" spans="1:13" ht="42.75">
      <c r="A10" s="16" t="s">
        <v>36</v>
      </c>
      <c r="B10" s="16" t="s">
        <v>46</v>
      </c>
      <c r="C10" s="85" t="s">
        <v>13</v>
      </c>
      <c r="D10" s="13">
        <f>'РЕЙД-КОНСТРУКТОР'!K12</f>
        <v>0</v>
      </c>
      <c r="E10" s="13" t="str">
        <f t="shared" si="0"/>
        <v>НЕ ХВАТАЕТ</v>
      </c>
      <c r="F10" s="13">
        <v>10</v>
      </c>
      <c r="G10" s="13">
        <v>9</v>
      </c>
      <c r="H10" s="13" t="s">
        <v>371</v>
      </c>
      <c r="I10" s="13" t="s">
        <v>372</v>
      </c>
      <c r="J10" s="13" t="s">
        <v>373</v>
      </c>
      <c r="K10" s="13" t="s">
        <v>133</v>
      </c>
      <c r="L10" s="14" t="s">
        <v>374</v>
      </c>
      <c r="M10" s="89">
        <f t="shared" si="1"/>
        <v>3</v>
      </c>
    </row>
    <row r="11" spans="1:13" ht="42.75">
      <c r="A11" s="16" t="s">
        <v>36</v>
      </c>
      <c r="B11" s="16" t="s">
        <v>47</v>
      </c>
      <c r="C11" s="85" t="s">
        <v>13</v>
      </c>
      <c r="D11" s="13">
        <f>'РЕЙД-КОНСТРУКТОР'!K13</f>
        <v>0</v>
      </c>
      <c r="E11" s="13" t="str">
        <f t="shared" si="0"/>
        <v>НЕ ХВАТАЕТ</v>
      </c>
      <c r="F11" s="13">
        <v>11</v>
      </c>
      <c r="G11" s="13">
        <v>8</v>
      </c>
      <c r="H11" s="13" t="s">
        <v>358</v>
      </c>
      <c r="I11" s="13" t="s">
        <v>375</v>
      </c>
      <c r="J11" s="13" t="s">
        <v>376</v>
      </c>
      <c r="K11" s="13" t="s">
        <v>133</v>
      </c>
      <c r="L11" s="14" t="s">
        <v>377</v>
      </c>
      <c r="M11" s="89">
        <f t="shared" si="1"/>
        <v>3</v>
      </c>
    </row>
    <row r="12" spans="1:13" ht="76.5">
      <c r="A12" s="17" t="s">
        <v>49</v>
      </c>
      <c r="B12" s="17" t="s">
        <v>50</v>
      </c>
      <c r="C12" s="85" t="s">
        <v>353</v>
      </c>
      <c r="D12" s="13">
        <f>'РЕЙД-КОНСТРУКТОР'!K14</f>
        <v>0</v>
      </c>
      <c r="E12" s="13" t="str">
        <f t="shared" si="0"/>
        <v>НЕ ХВАТАЕТ</v>
      </c>
      <c r="F12" s="13">
        <v>23</v>
      </c>
      <c r="G12" s="13">
        <v>7</v>
      </c>
      <c r="H12" s="13" t="s">
        <v>354</v>
      </c>
      <c r="I12" s="13" t="s">
        <v>378</v>
      </c>
      <c r="J12" s="13" t="s">
        <v>379</v>
      </c>
      <c r="K12" s="13" t="s">
        <v>133</v>
      </c>
      <c r="L12" s="14" t="s">
        <v>380</v>
      </c>
      <c r="M12" s="89">
        <f t="shared" si="1"/>
        <v>2</v>
      </c>
    </row>
    <row r="13" spans="1:13" ht="76.5">
      <c r="A13" s="17" t="s">
        <v>49</v>
      </c>
      <c r="B13" s="17" t="s">
        <v>53</v>
      </c>
      <c r="C13" s="85" t="s">
        <v>353</v>
      </c>
      <c r="D13" s="13">
        <f>'РЕЙД-КОНСТРУКТОР'!K15</f>
        <v>0</v>
      </c>
      <c r="E13" s="13" t="str">
        <f t="shared" si="0"/>
        <v>НЕ ХВАТАЕТ</v>
      </c>
      <c r="F13" s="13">
        <v>21</v>
      </c>
      <c r="G13" s="13">
        <v>6</v>
      </c>
      <c r="H13" s="13" t="s">
        <v>354</v>
      </c>
      <c r="I13" s="13" t="s">
        <v>381</v>
      </c>
      <c r="J13" s="13" t="s">
        <v>382</v>
      </c>
      <c r="K13" s="13" t="s">
        <v>133</v>
      </c>
      <c r="L13" s="14" t="s">
        <v>383</v>
      </c>
      <c r="M13" s="89">
        <f t="shared" si="1"/>
        <v>2</v>
      </c>
    </row>
    <row r="14" spans="1:13" ht="28.5">
      <c r="A14" s="17" t="s">
        <v>49</v>
      </c>
      <c r="B14" s="17" t="s">
        <v>54</v>
      </c>
      <c r="C14" s="85" t="s">
        <v>353</v>
      </c>
      <c r="D14" s="13">
        <f>'РЕЙД-КОНСТРУКТОР'!K16</f>
        <v>0</v>
      </c>
      <c r="E14" s="13" t="str">
        <f t="shared" si="0"/>
        <v>НЕ ХВАТАЕТ</v>
      </c>
      <c r="F14" s="13">
        <v>8</v>
      </c>
      <c r="G14" s="13">
        <v>3</v>
      </c>
      <c r="H14" s="13" t="s">
        <v>349</v>
      </c>
      <c r="I14" s="13" t="s">
        <v>384</v>
      </c>
      <c r="J14" s="13" t="s">
        <v>385</v>
      </c>
      <c r="K14" s="13" t="s">
        <v>133</v>
      </c>
      <c r="L14" s="14" t="s">
        <v>386</v>
      </c>
      <c r="M14" s="89">
        <f t="shared" si="1"/>
        <v>2</v>
      </c>
    </row>
    <row r="15" spans="1:13" ht="51">
      <c r="A15" s="17" t="s">
        <v>49</v>
      </c>
      <c r="B15" s="17" t="s">
        <v>55</v>
      </c>
      <c r="C15" s="85" t="s">
        <v>13</v>
      </c>
      <c r="D15" s="13">
        <f>'РЕЙД-КОНСТРУКТОР'!K17</f>
        <v>0</v>
      </c>
      <c r="E15" s="13" t="str">
        <f t="shared" si="0"/>
        <v>НЕ ХВАТАЕТ</v>
      </c>
      <c r="F15" s="13">
        <v>14</v>
      </c>
      <c r="G15" s="13">
        <v>11</v>
      </c>
      <c r="H15" s="13" t="s">
        <v>387</v>
      </c>
      <c r="I15" s="13" t="s">
        <v>388</v>
      </c>
      <c r="J15" s="13" t="s">
        <v>389</v>
      </c>
      <c r="K15" s="13" t="s">
        <v>133</v>
      </c>
      <c r="L15" s="14" t="s">
        <v>390</v>
      </c>
      <c r="M15" s="89">
        <f t="shared" si="1"/>
        <v>3</v>
      </c>
    </row>
    <row r="16" spans="1:13" ht="63.75">
      <c r="A16" s="17" t="s">
        <v>49</v>
      </c>
      <c r="B16" s="17" t="s">
        <v>56</v>
      </c>
      <c r="C16" s="85" t="s">
        <v>353</v>
      </c>
      <c r="D16" s="13">
        <f>'РЕЙД-КОНСТРУКТОР'!K18</f>
        <v>0</v>
      </c>
      <c r="E16" s="13" t="str">
        <f t="shared" si="0"/>
        <v>НЕ ХВАТАЕТ</v>
      </c>
      <c r="F16" s="13">
        <v>17</v>
      </c>
      <c r="G16" s="13">
        <v>5</v>
      </c>
      <c r="H16" s="13" t="s">
        <v>354</v>
      </c>
      <c r="I16" s="13" t="s">
        <v>391</v>
      </c>
      <c r="J16" s="13" t="s">
        <v>392</v>
      </c>
      <c r="K16" s="13" t="s">
        <v>133</v>
      </c>
      <c r="L16" s="14" t="s">
        <v>393</v>
      </c>
      <c r="M16" s="89">
        <f t="shared" si="1"/>
        <v>2</v>
      </c>
    </row>
    <row r="17" spans="1:13" ht="42.75">
      <c r="A17" s="17" t="s">
        <v>49</v>
      </c>
      <c r="B17" s="17" t="s">
        <v>57</v>
      </c>
      <c r="C17" s="85" t="s">
        <v>13</v>
      </c>
      <c r="D17" s="13">
        <f>'РЕЙД-КОНСТРУКТОР'!K19</f>
        <v>0</v>
      </c>
      <c r="E17" s="13" t="str">
        <f t="shared" si="0"/>
        <v>НЕ ХВАТАЕТ</v>
      </c>
      <c r="F17" s="13">
        <v>11</v>
      </c>
      <c r="G17" s="13">
        <v>9</v>
      </c>
      <c r="H17" s="13" t="s">
        <v>349</v>
      </c>
      <c r="I17" s="13" t="s">
        <v>394</v>
      </c>
      <c r="J17" s="13" t="s">
        <v>57</v>
      </c>
      <c r="K17" s="13" t="s">
        <v>133</v>
      </c>
      <c r="L17" s="14" t="s">
        <v>395</v>
      </c>
      <c r="M17" s="89">
        <f t="shared" si="1"/>
        <v>3</v>
      </c>
    </row>
    <row r="18" spans="1:13" ht="51">
      <c r="A18" s="17" t="s">
        <v>49</v>
      </c>
      <c r="B18" s="17" t="s">
        <v>58</v>
      </c>
      <c r="C18" s="85" t="s">
        <v>396</v>
      </c>
      <c r="D18" s="13">
        <f>'РЕЙД-КОНСТРУКТОР'!K20</f>
        <v>0</v>
      </c>
      <c r="E18" s="13" t="str">
        <f t="shared" si="0"/>
        <v>НЕ ХВАТАЕТ</v>
      </c>
      <c r="F18" s="13">
        <v>16</v>
      </c>
      <c r="G18" s="13">
        <v>5</v>
      </c>
      <c r="H18" s="13" t="s">
        <v>349</v>
      </c>
      <c r="I18" s="13" t="s">
        <v>397</v>
      </c>
      <c r="J18" s="13" t="s">
        <v>398</v>
      </c>
      <c r="K18" s="13" t="s">
        <v>133</v>
      </c>
      <c r="L18" s="14" t="s">
        <v>399</v>
      </c>
      <c r="M18" s="89">
        <f t="shared" si="1"/>
        <v>1</v>
      </c>
    </row>
    <row r="19" spans="1:13" ht="51">
      <c r="A19" s="18" t="s">
        <v>59</v>
      </c>
      <c r="B19" s="18" t="s">
        <v>60</v>
      </c>
      <c r="C19" s="85" t="s">
        <v>13</v>
      </c>
      <c r="D19" s="13">
        <f>'РЕЙД-КОНСТРУКТОР'!K21</f>
        <v>0</v>
      </c>
      <c r="E19" s="13" t="str">
        <f t="shared" si="0"/>
        <v>НЕ ХВАТАЕТ</v>
      </c>
      <c r="F19" s="13">
        <v>13</v>
      </c>
      <c r="G19" s="13">
        <v>11</v>
      </c>
      <c r="H19" s="13" t="s">
        <v>349</v>
      </c>
      <c r="I19" s="13" t="s">
        <v>400</v>
      </c>
      <c r="J19" s="13" t="s">
        <v>401</v>
      </c>
      <c r="K19" s="13" t="s">
        <v>133</v>
      </c>
      <c r="L19" s="14" t="s">
        <v>402</v>
      </c>
      <c r="M19" s="89">
        <f t="shared" si="1"/>
        <v>3</v>
      </c>
    </row>
    <row r="20" spans="1:13" ht="42.75">
      <c r="A20" s="18" t="s">
        <v>59</v>
      </c>
      <c r="B20" s="18" t="s">
        <v>61</v>
      </c>
      <c r="C20" s="85" t="s">
        <v>13</v>
      </c>
      <c r="D20" s="13">
        <f>'РЕЙД-КОНСТРУКТОР'!K22</f>
        <v>0</v>
      </c>
      <c r="E20" s="13" t="str">
        <f t="shared" si="0"/>
        <v>НЕ ХВАТАЕТ</v>
      </c>
      <c r="F20" s="13">
        <v>9</v>
      </c>
      <c r="G20" s="13">
        <v>9</v>
      </c>
      <c r="H20" s="13" t="s">
        <v>371</v>
      </c>
      <c r="I20" s="13" t="s">
        <v>403</v>
      </c>
      <c r="J20" s="13" t="s">
        <v>404</v>
      </c>
      <c r="K20" s="13" t="s">
        <v>133</v>
      </c>
      <c r="L20" s="14" t="s">
        <v>405</v>
      </c>
      <c r="M20" s="89">
        <f t="shared" si="1"/>
        <v>3</v>
      </c>
    </row>
    <row r="21" spans="1:13" ht="51">
      <c r="A21" s="18" t="s">
        <v>59</v>
      </c>
      <c r="B21" s="18" t="s">
        <v>62</v>
      </c>
      <c r="C21" s="85" t="s">
        <v>396</v>
      </c>
      <c r="D21" s="13">
        <f>'РЕЙД-КОНСТРУКТОР'!K23</f>
        <v>0</v>
      </c>
      <c r="E21" s="13" t="str">
        <f t="shared" si="0"/>
        <v>НЕ ХВАТАЕТ</v>
      </c>
      <c r="F21" s="13">
        <v>13</v>
      </c>
      <c r="G21" s="13">
        <v>4</v>
      </c>
      <c r="H21" s="13" t="s">
        <v>354</v>
      </c>
      <c r="I21" s="13" t="s">
        <v>406</v>
      </c>
      <c r="J21" s="13" t="s">
        <v>407</v>
      </c>
      <c r="K21" s="13" t="s">
        <v>133</v>
      </c>
      <c r="L21" s="14" t="s">
        <v>408</v>
      </c>
      <c r="M21" s="89">
        <f t="shared" si="1"/>
        <v>1</v>
      </c>
    </row>
    <row r="22" spans="1:13" ht="63.75">
      <c r="A22" s="18" t="s">
        <v>59</v>
      </c>
      <c r="B22" s="18" t="s">
        <v>63</v>
      </c>
      <c r="C22" s="85" t="s">
        <v>396</v>
      </c>
      <c r="D22" s="13">
        <f>'РЕЙД-КОНСТРУКТОР'!K24</f>
        <v>0</v>
      </c>
      <c r="E22" s="13" t="str">
        <f t="shared" si="0"/>
        <v>НЕ ХВАТАЕТ</v>
      </c>
      <c r="F22" s="13">
        <v>19</v>
      </c>
      <c r="G22" s="13">
        <v>6</v>
      </c>
      <c r="H22" s="13" t="s">
        <v>349</v>
      </c>
      <c r="I22" s="13" t="s">
        <v>409</v>
      </c>
      <c r="J22" s="13" t="s">
        <v>410</v>
      </c>
      <c r="K22" s="13" t="s">
        <v>133</v>
      </c>
      <c r="L22" s="14" t="s">
        <v>411</v>
      </c>
      <c r="M22" s="89">
        <f t="shared" si="1"/>
        <v>1</v>
      </c>
    </row>
    <row r="23" spans="1:13" ht="15">
      <c r="A23" s="18" t="s">
        <v>59</v>
      </c>
      <c r="B23" s="18" t="s">
        <v>65</v>
      </c>
      <c r="C23" s="85" t="s">
        <v>396</v>
      </c>
      <c r="D23" s="13">
        <f>'РЕЙД-КОНСТРУКТОР'!K25</f>
        <v>0</v>
      </c>
      <c r="E23" s="13" t="str">
        <f t="shared" si="0"/>
        <v>НЕ ХВАТАЕТ</v>
      </c>
      <c r="F23" s="13">
        <v>3</v>
      </c>
      <c r="G23" s="13">
        <v>1</v>
      </c>
      <c r="H23" s="13" t="s">
        <v>412</v>
      </c>
      <c r="I23" s="13" t="s">
        <v>413</v>
      </c>
      <c r="J23" s="13" t="s">
        <v>414</v>
      </c>
      <c r="K23" s="13" t="s">
        <v>133</v>
      </c>
      <c r="L23" s="14" t="s">
        <v>415</v>
      </c>
      <c r="M23" s="89">
        <f t="shared" si="1"/>
        <v>1</v>
      </c>
    </row>
    <row r="24" spans="1:13" ht="51">
      <c r="A24" s="18" t="s">
        <v>59</v>
      </c>
      <c r="B24" s="18" t="s">
        <v>66</v>
      </c>
      <c r="C24" s="85" t="s">
        <v>396</v>
      </c>
      <c r="D24" s="13">
        <f>'РЕЙД-КОНСТРУКТОР'!K26</f>
        <v>0</v>
      </c>
      <c r="E24" s="13" t="str">
        <f t="shared" si="0"/>
        <v>НЕ ХВАТАЕТ</v>
      </c>
      <c r="F24" s="13">
        <v>16</v>
      </c>
      <c r="G24" s="13">
        <v>5</v>
      </c>
      <c r="H24" s="13" t="s">
        <v>358</v>
      </c>
      <c r="I24" s="13" t="s">
        <v>416</v>
      </c>
      <c r="J24" s="13" t="s">
        <v>417</v>
      </c>
      <c r="K24" s="13" t="s">
        <v>133</v>
      </c>
      <c r="L24" s="14" t="s">
        <v>418</v>
      </c>
      <c r="M24" s="89">
        <f t="shared" si="1"/>
        <v>1</v>
      </c>
    </row>
    <row r="25" spans="1:13" ht="51">
      <c r="A25" s="18" t="s">
        <v>59</v>
      </c>
      <c r="B25" s="18" t="s">
        <v>68</v>
      </c>
      <c r="C25" s="85" t="s">
        <v>396</v>
      </c>
      <c r="D25" s="13">
        <f>'РЕЙД-КОНСТРУКТОР'!K27</f>
        <v>0</v>
      </c>
      <c r="E25" s="13" t="str">
        <f t="shared" si="0"/>
        <v>НЕ ХВАТАЕТ</v>
      </c>
      <c r="F25" s="13">
        <v>14</v>
      </c>
      <c r="G25" s="13">
        <v>4</v>
      </c>
      <c r="H25" s="13" t="s">
        <v>349</v>
      </c>
      <c r="I25" s="13" t="s">
        <v>419</v>
      </c>
      <c r="J25" s="13" t="s">
        <v>420</v>
      </c>
      <c r="K25" s="13" t="s">
        <v>133</v>
      </c>
      <c r="L25" s="14" t="s">
        <v>421</v>
      </c>
      <c r="M25" s="89">
        <f t="shared" si="1"/>
        <v>1</v>
      </c>
    </row>
    <row r="26" spans="1:13" ht="63.75">
      <c r="A26" s="18" t="s">
        <v>59</v>
      </c>
      <c r="B26" s="18" t="s">
        <v>69</v>
      </c>
      <c r="C26" s="85" t="s">
        <v>396</v>
      </c>
      <c r="D26" s="13">
        <f>'РЕЙД-КОНСТРУКТОР'!K28</f>
        <v>0</v>
      </c>
      <c r="E26" s="13" t="str">
        <f t="shared" si="0"/>
        <v>НЕ ХВАТАЕТ</v>
      </c>
      <c r="F26" s="13">
        <v>17</v>
      </c>
      <c r="G26" s="13">
        <v>5</v>
      </c>
      <c r="H26" s="13" t="s">
        <v>354</v>
      </c>
      <c r="I26" s="13" t="s">
        <v>422</v>
      </c>
      <c r="J26" s="13" t="s">
        <v>423</v>
      </c>
      <c r="K26" s="13" t="s">
        <v>133</v>
      </c>
      <c r="L26" s="14" t="s">
        <v>424</v>
      </c>
      <c r="M26" s="89">
        <f t="shared" si="1"/>
        <v>1</v>
      </c>
    </row>
    <row r="27" spans="1:13" ht="51">
      <c r="A27" s="18" t="s">
        <v>59</v>
      </c>
      <c r="B27" s="18" t="s">
        <v>72</v>
      </c>
      <c r="C27" s="85" t="s">
        <v>396</v>
      </c>
      <c r="D27" s="13">
        <f>'РЕЙД-КОНСТРУКТОР'!K29</f>
        <v>0</v>
      </c>
      <c r="E27" s="13" t="str">
        <f t="shared" si="0"/>
        <v>НЕ ХВАТАЕТ</v>
      </c>
      <c r="F27" s="13">
        <v>13</v>
      </c>
      <c r="G27" s="13">
        <v>4</v>
      </c>
      <c r="H27" s="13" t="s">
        <v>349</v>
      </c>
      <c r="I27" s="13" t="s">
        <v>425</v>
      </c>
      <c r="J27" s="13" t="s">
        <v>426</v>
      </c>
      <c r="K27" s="13" t="s">
        <v>133</v>
      </c>
      <c r="L27" s="14" t="s">
        <v>427</v>
      </c>
      <c r="M27" s="89">
        <f t="shared" si="1"/>
        <v>1</v>
      </c>
    </row>
    <row r="28" spans="1:13" ht="28.5">
      <c r="A28" s="18" t="s">
        <v>59</v>
      </c>
      <c r="B28" s="18" t="s">
        <v>77</v>
      </c>
      <c r="C28" s="85" t="s">
        <v>13</v>
      </c>
      <c r="D28" s="13">
        <f>'РЕЙД-КОНСТРУКТОР'!K30</f>
        <v>0</v>
      </c>
      <c r="E28" s="13" t="str">
        <f t="shared" si="0"/>
        <v>НЕ ХВАТАЕТ</v>
      </c>
      <c r="F28" s="13">
        <v>7</v>
      </c>
      <c r="G28" s="13">
        <v>7</v>
      </c>
      <c r="H28" s="13" t="s">
        <v>428</v>
      </c>
      <c r="I28" s="13" t="s">
        <v>429</v>
      </c>
      <c r="J28" s="13" t="s">
        <v>430</v>
      </c>
      <c r="K28" s="13" t="s">
        <v>133</v>
      </c>
      <c r="L28" s="14" t="s">
        <v>431</v>
      </c>
      <c r="M28" s="89">
        <f t="shared" si="1"/>
        <v>3</v>
      </c>
    </row>
    <row r="29" spans="1:13" ht="42.75">
      <c r="A29" s="18" t="s">
        <v>59</v>
      </c>
      <c r="B29" s="18" t="s">
        <v>80</v>
      </c>
      <c r="C29" s="85" t="s">
        <v>396</v>
      </c>
      <c r="D29" s="13">
        <f>'РЕЙД-КОНСТРУКТОР'!K31</f>
        <v>0</v>
      </c>
      <c r="E29" s="13" t="str">
        <f t="shared" si="0"/>
        <v>НЕ ХВАТАЕТ</v>
      </c>
      <c r="F29" s="13">
        <v>6</v>
      </c>
      <c r="G29" s="13">
        <v>6</v>
      </c>
      <c r="H29" s="13" t="s">
        <v>432</v>
      </c>
      <c r="I29" s="13" t="s">
        <v>433</v>
      </c>
      <c r="J29" s="13" t="s">
        <v>434</v>
      </c>
      <c r="K29" s="13" t="s">
        <v>133</v>
      </c>
      <c r="L29" s="14" t="s">
        <v>435</v>
      </c>
      <c r="M29" s="89">
        <f t="shared" si="1"/>
        <v>1</v>
      </c>
    </row>
    <row r="30" spans="1:13" ht="51">
      <c r="A30" s="18" t="s">
        <v>59</v>
      </c>
      <c r="B30" s="18" t="s">
        <v>83</v>
      </c>
      <c r="C30" s="85" t="s">
        <v>396</v>
      </c>
      <c r="D30" s="13">
        <f>'РЕЙД-КОНСТРУКТОР'!K32</f>
        <v>0</v>
      </c>
      <c r="E30" s="13" t="str">
        <f t="shared" si="0"/>
        <v>НЕ ХВАТАЕТ</v>
      </c>
      <c r="F30" s="13">
        <v>13</v>
      </c>
      <c r="G30" s="13">
        <v>4</v>
      </c>
      <c r="H30" s="13" t="s">
        <v>354</v>
      </c>
      <c r="I30" s="13" t="s">
        <v>436</v>
      </c>
      <c r="J30" s="13" t="s">
        <v>83</v>
      </c>
      <c r="K30" s="13" t="s">
        <v>133</v>
      </c>
      <c r="L30" s="14" t="s">
        <v>437</v>
      </c>
      <c r="M30" s="89">
        <f t="shared" si="1"/>
        <v>1</v>
      </c>
    </row>
    <row r="31" spans="1:13" ht="38.25">
      <c r="A31" s="18" t="s">
        <v>59</v>
      </c>
      <c r="B31" s="18" t="s">
        <v>86</v>
      </c>
      <c r="C31" s="85" t="s">
        <v>396</v>
      </c>
      <c r="D31" s="13">
        <f>'РЕЙД-КОНСТРУКТОР'!K33</f>
        <v>0</v>
      </c>
      <c r="E31" s="13" t="str">
        <f t="shared" si="0"/>
        <v>НЕ ХВАТАЕТ</v>
      </c>
      <c r="F31" s="13">
        <v>9</v>
      </c>
      <c r="G31" s="13">
        <v>3</v>
      </c>
      <c r="H31" s="13" t="s">
        <v>387</v>
      </c>
      <c r="I31" s="13" t="s">
        <v>438</v>
      </c>
      <c r="J31" s="13" t="s">
        <v>86</v>
      </c>
      <c r="K31" s="13" t="s">
        <v>133</v>
      </c>
      <c r="L31" s="14" t="s">
        <v>439</v>
      </c>
      <c r="M31" s="89">
        <f t="shared" si="1"/>
        <v>1</v>
      </c>
    </row>
    <row r="32" spans="1:13" ht="25.5">
      <c r="A32" s="18" t="s">
        <v>59</v>
      </c>
      <c r="B32" s="18" t="s">
        <v>90</v>
      </c>
      <c r="C32" s="85" t="s">
        <v>396</v>
      </c>
      <c r="D32" s="13">
        <f>'РЕЙД-КОНСТРУКТОР'!K34</f>
        <v>0</v>
      </c>
      <c r="E32" s="13" t="str">
        <f t="shared" si="0"/>
        <v>НЕ ХВАТАЕТ</v>
      </c>
      <c r="F32" s="13">
        <v>7</v>
      </c>
      <c r="G32" s="13">
        <v>2</v>
      </c>
      <c r="H32" s="13" t="s">
        <v>349</v>
      </c>
      <c r="I32" s="13" t="s">
        <v>440</v>
      </c>
      <c r="J32" s="13" t="s">
        <v>90</v>
      </c>
      <c r="K32" s="13" t="s">
        <v>133</v>
      </c>
      <c r="L32" s="14" t="s">
        <v>441</v>
      </c>
      <c r="M32" s="89">
        <f t="shared" si="1"/>
        <v>1</v>
      </c>
    </row>
    <row r="33" spans="1:13" ht="42.75">
      <c r="A33" s="18" t="s">
        <v>59</v>
      </c>
      <c r="B33" s="18" t="s">
        <v>91</v>
      </c>
      <c r="C33" s="85" t="s">
        <v>13</v>
      </c>
      <c r="D33" s="13">
        <f>'РЕЙД-КОНСТРУКТОР'!K35</f>
        <v>0</v>
      </c>
      <c r="E33" s="13" t="str">
        <f t="shared" si="0"/>
        <v>НЕ ХВАТАЕТ</v>
      </c>
      <c r="F33" s="13">
        <v>7</v>
      </c>
      <c r="G33" s="13">
        <v>7</v>
      </c>
      <c r="H33" s="13" t="s">
        <v>442</v>
      </c>
      <c r="I33" s="13" t="s">
        <v>443</v>
      </c>
      <c r="J33" s="13" t="s">
        <v>444</v>
      </c>
      <c r="K33" s="13" t="s">
        <v>133</v>
      </c>
      <c r="L33" s="14" t="s">
        <v>445</v>
      </c>
      <c r="M33" s="89">
        <f t="shared" si="1"/>
        <v>3</v>
      </c>
    </row>
    <row r="34" spans="1:13" ht="28.5">
      <c r="A34" s="18" t="s">
        <v>59</v>
      </c>
      <c r="B34" s="18" t="s">
        <v>92</v>
      </c>
      <c r="C34" s="85" t="s">
        <v>13</v>
      </c>
      <c r="D34" s="13">
        <f>'РЕЙД-КОНСТРУКТОР'!K36</f>
        <v>0</v>
      </c>
      <c r="E34" s="13" t="str">
        <f t="shared" si="0"/>
        <v>НЕ ХВАТАЕТ</v>
      </c>
      <c r="F34" s="13">
        <v>4</v>
      </c>
      <c r="G34" s="13">
        <v>4</v>
      </c>
      <c r="H34" s="13" t="s">
        <v>78</v>
      </c>
      <c r="I34" s="13" t="s">
        <v>446</v>
      </c>
      <c r="J34" s="13" t="s">
        <v>447</v>
      </c>
      <c r="K34" s="13" t="s">
        <v>133</v>
      </c>
      <c r="L34" s="14" t="s">
        <v>448</v>
      </c>
      <c r="M34" s="89">
        <f t="shared" si="1"/>
        <v>3</v>
      </c>
    </row>
    <row r="35" spans="1:13" ht="42.75">
      <c r="A35" s="18" t="s">
        <v>59</v>
      </c>
      <c r="B35" s="18" t="s">
        <v>93</v>
      </c>
      <c r="C35" s="85" t="s">
        <v>13</v>
      </c>
      <c r="D35" s="13">
        <f>'РЕЙД-КОНСТРУКТОР'!K37</f>
        <v>0</v>
      </c>
      <c r="E35" s="13" t="str">
        <f t="shared" si="0"/>
        <v>НЕ ХВАТАЕТ</v>
      </c>
      <c r="F35" s="13">
        <v>6</v>
      </c>
      <c r="G35" s="13">
        <v>6</v>
      </c>
      <c r="H35" s="13" t="s">
        <v>84</v>
      </c>
      <c r="I35" s="13" t="s">
        <v>449</v>
      </c>
      <c r="J35" s="13" t="s">
        <v>450</v>
      </c>
      <c r="K35" s="13" t="s">
        <v>133</v>
      </c>
      <c r="L35" s="14" t="s">
        <v>451</v>
      </c>
      <c r="M35" s="89">
        <f t="shared" si="1"/>
        <v>3</v>
      </c>
    </row>
    <row r="36" spans="1:13" ht="28.5">
      <c r="A36" s="19" t="s">
        <v>94</v>
      </c>
      <c r="B36" s="19" t="s">
        <v>95</v>
      </c>
      <c r="C36" s="85" t="s">
        <v>13</v>
      </c>
      <c r="D36" s="13">
        <f>'РЕЙД-КОНСТРУКТОР'!K38</f>
        <v>0</v>
      </c>
      <c r="E36" s="13" t="str">
        <f t="shared" si="0"/>
        <v>НЕ ХВАТАЕТ</v>
      </c>
      <c r="F36" s="13">
        <v>8</v>
      </c>
      <c r="G36" s="13">
        <v>7</v>
      </c>
      <c r="H36" s="13" t="s">
        <v>371</v>
      </c>
      <c r="I36" s="13" t="s">
        <v>452</v>
      </c>
      <c r="J36" s="13" t="s">
        <v>453</v>
      </c>
      <c r="K36" s="13" t="s">
        <v>133</v>
      </c>
      <c r="L36" s="14" t="s">
        <v>454</v>
      </c>
      <c r="M36" s="89">
        <f t="shared" si="1"/>
        <v>3</v>
      </c>
    </row>
    <row r="37" spans="1:13" ht="28.5">
      <c r="A37" s="19" t="s">
        <v>94</v>
      </c>
      <c r="B37" s="19" t="s">
        <v>96</v>
      </c>
      <c r="C37" s="85" t="s">
        <v>396</v>
      </c>
      <c r="D37" s="13">
        <f>'РЕЙД-КОНСТРУКТОР'!K39</f>
        <v>0</v>
      </c>
      <c r="E37" s="13" t="str">
        <f t="shared" si="0"/>
        <v>НЕ ХВАТАЕТ</v>
      </c>
      <c r="F37" s="13">
        <v>8</v>
      </c>
      <c r="G37" s="13">
        <v>4</v>
      </c>
      <c r="H37" s="13" t="s">
        <v>358</v>
      </c>
      <c r="I37" s="13" t="s">
        <v>455</v>
      </c>
      <c r="J37" s="13" t="s">
        <v>456</v>
      </c>
      <c r="K37" s="13" t="s">
        <v>133</v>
      </c>
      <c r="L37" s="14" t="s">
        <v>457</v>
      </c>
      <c r="M37" s="89">
        <f t="shared" si="1"/>
        <v>1</v>
      </c>
    </row>
    <row r="38" spans="1:13" ht="51">
      <c r="A38" s="19" t="s">
        <v>94</v>
      </c>
      <c r="B38" s="19" t="s">
        <v>97</v>
      </c>
      <c r="C38" s="85" t="s">
        <v>13</v>
      </c>
      <c r="D38" s="13">
        <f>'РЕЙД-КОНСТРУКТОР'!K40</f>
        <v>0</v>
      </c>
      <c r="E38" s="13" t="str">
        <f t="shared" si="0"/>
        <v>НЕ ХВАТАЕТ</v>
      </c>
      <c r="F38" s="13">
        <v>14</v>
      </c>
      <c r="G38" s="13">
        <v>9</v>
      </c>
      <c r="H38" s="13" t="s">
        <v>358</v>
      </c>
      <c r="I38" s="13" t="s">
        <v>458</v>
      </c>
      <c r="J38" s="13" t="s">
        <v>459</v>
      </c>
      <c r="K38" s="13" t="s">
        <v>133</v>
      </c>
      <c r="L38" s="14" t="s">
        <v>460</v>
      </c>
      <c r="M38" s="89">
        <f t="shared" si="1"/>
        <v>3</v>
      </c>
    </row>
    <row r="39" spans="1:13" ht="42.75">
      <c r="A39" s="20" t="s">
        <v>98</v>
      </c>
      <c r="B39" s="20" t="s">
        <v>99</v>
      </c>
      <c r="C39" s="85" t="s">
        <v>13</v>
      </c>
      <c r="D39" s="13">
        <f>'РЕЙД-КОНСТРУКТОР'!K41</f>
        <v>0</v>
      </c>
      <c r="E39" s="13" t="str">
        <f t="shared" si="0"/>
        <v>НЕ ХВАТАЕТ</v>
      </c>
      <c r="F39" s="13">
        <v>11</v>
      </c>
      <c r="G39" s="13">
        <v>10</v>
      </c>
      <c r="H39" s="13" t="s">
        <v>371</v>
      </c>
      <c r="I39" s="13" t="s">
        <v>461</v>
      </c>
      <c r="J39" s="13" t="s">
        <v>462</v>
      </c>
      <c r="K39" s="13" t="s">
        <v>133</v>
      </c>
      <c r="L39" s="14" t="s">
        <v>463</v>
      </c>
      <c r="M39" s="89">
        <f t="shared" si="1"/>
        <v>3</v>
      </c>
    </row>
    <row r="40" spans="1:13" ht="42.75">
      <c r="A40" s="20" t="s">
        <v>98</v>
      </c>
      <c r="B40" s="20" t="s">
        <v>100</v>
      </c>
      <c r="C40" s="85" t="s">
        <v>13</v>
      </c>
      <c r="D40" s="13">
        <f>'РЕЙД-КОНСТРУКТОР'!K42</f>
        <v>0</v>
      </c>
      <c r="E40" s="13" t="str">
        <f t="shared" si="0"/>
        <v>НЕ ХВАТАЕТ</v>
      </c>
      <c r="F40" s="13">
        <v>7</v>
      </c>
      <c r="G40" s="13">
        <v>7</v>
      </c>
      <c r="H40" s="13" t="s">
        <v>464</v>
      </c>
      <c r="I40" s="13" t="s">
        <v>465</v>
      </c>
      <c r="J40" s="13" t="s">
        <v>466</v>
      </c>
      <c r="K40" s="13" t="s">
        <v>133</v>
      </c>
      <c r="L40" s="14" t="s">
        <v>467</v>
      </c>
      <c r="M40" s="89">
        <f t="shared" si="1"/>
        <v>3</v>
      </c>
    </row>
    <row r="41" spans="1:13" ht="42.75">
      <c r="A41" s="20" t="s">
        <v>98</v>
      </c>
      <c r="B41" s="20" t="s">
        <v>101</v>
      </c>
      <c r="C41" s="85" t="s">
        <v>13</v>
      </c>
      <c r="D41" s="13">
        <f>'РЕЙД-КОНСТРУКТОР'!K43</f>
        <v>0</v>
      </c>
      <c r="E41" s="13" t="str">
        <f t="shared" si="0"/>
        <v>НЕ ХВАТАЕТ</v>
      </c>
      <c r="F41" s="13">
        <v>7</v>
      </c>
      <c r="G41" s="13">
        <v>7</v>
      </c>
      <c r="H41" s="13" t="s">
        <v>139</v>
      </c>
      <c r="I41" s="13" t="s">
        <v>468</v>
      </c>
      <c r="J41" s="13" t="s">
        <v>469</v>
      </c>
      <c r="K41" s="13" t="s">
        <v>133</v>
      </c>
      <c r="L41" s="14" t="s">
        <v>470</v>
      </c>
      <c r="M41" s="89">
        <f t="shared" si="1"/>
        <v>3</v>
      </c>
    </row>
    <row r="42" spans="1:13" ht="42.75">
      <c r="A42" s="20" t="s">
        <v>98</v>
      </c>
      <c r="B42" s="20" t="s">
        <v>102</v>
      </c>
      <c r="C42" s="85" t="s">
        <v>13</v>
      </c>
      <c r="D42" s="13">
        <f>'РЕЙД-КОНСТРУКТОР'!K44</f>
        <v>0</v>
      </c>
      <c r="E42" s="13" t="str">
        <f t="shared" si="0"/>
        <v>НЕ ХВАТАЕТ</v>
      </c>
      <c r="F42" s="13">
        <v>12</v>
      </c>
      <c r="G42" s="13">
        <v>5</v>
      </c>
      <c r="H42" s="13" t="s">
        <v>354</v>
      </c>
      <c r="I42" s="13" t="s">
        <v>471</v>
      </c>
      <c r="J42" s="13" t="s">
        <v>472</v>
      </c>
      <c r="K42" s="13" t="s">
        <v>133</v>
      </c>
      <c r="L42" s="14" t="s">
        <v>473</v>
      </c>
      <c r="M42" s="89">
        <f t="shared" si="1"/>
        <v>3</v>
      </c>
    </row>
    <row r="43" spans="1:13" ht="51">
      <c r="A43" s="21" t="s">
        <v>104</v>
      </c>
      <c r="B43" s="21" t="s">
        <v>105</v>
      </c>
      <c r="C43" s="85" t="s">
        <v>13</v>
      </c>
      <c r="D43" s="13">
        <f>'РЕЙД-КОНСТРУКТОР'!K45</f>
        <v>0</v>
      </c>
      <c r="E43" s="13" t="str">
        <f t="shared" si="0"/>
        <v>НЕ ХВАТАЕТ</v>
      </c>
      <c r="F43" s="13">
        <v>14</v>
      </c>
      <c r="G43" s="13">
        <v>11</v>
      </c>
      <c r="H43" s="13" t="s">
        <v>354</v>
      </c>
      <c r="I43" s="13" t="s">
        <v>474</v>
      </c>
      <c r="J43" s="13" t="s">
        <v>105</v>
      </c>
      <c r="K43" s="13" t="s">
        <v>133</v>
      </c>
      <c r="L43" s="14" t="s">
        <v>475</v>
      </c>
      <c r="M43" s="89">
        <f t="shared" si="1"/>
        <v>3</v>
      </c>
    </row>
    <row r="44" spans="1:13" ht="63.75">
      <c r="A44" s="21" t="s">
        <v>104</v>
      </c>
      <c r="B44" s="21" t="s">
        <v>106</v>
      </c>
      <c r="C44" s="85" t="s">
        <v>13</v>
      </c>
      <c r="D44" s="13">
        <f>'РЕЙД-КОНСТРУКТОР'!K46</f>
        <v>0</v>
      </c>
      <c r="E44" s="13" t="str">
        <f t="shared" si="0"/>
        <v>НЕ ХВАТАЕТ</v>
      </c>
      <c r="F44" s="13">
        <v>20</v>
      </c>
      <c r="G44" s="13">
        <v>15</v>
      </c>
      <c r="H44" s="13" t="s">
        <v>371</v>
      </c>
      <c r="I44" s="13" t="s">
        <v>476</v>
      </c>
      <c r="J44" s="13" t="s">
        <v>477</v>
      </c>
      <c r="K44" s="13" t="s">
        <v>133</v>
      </c>
      <c r="L44" s="14" t="s">
        <v>478</v>
      </c>
      <c r="M44" s="89">
        <f t="shared" si="1"/>
        <v>3</v>
      </c>
    </row>
    <row r="45" spans="1:13" ht="51">
      <c r="A45" s="21" t="s">
        <v>104</v>
      </c>
      <c r="B45" s="21" t="s">
        <v>107</v>
      </c>
      <c r="C45" s="85" t="s">
        <v>396</v>
      </c>
      <c r="D45" s="13">
        <f>'РЕЙД-КОНСТРУКТОР'!K47</f>
        <v>0</v>
      </c>
      <c r="E45" s="13" t="str">
        <f t="shared" si="0"/>
        <v>НЕ ХВАТАЕТ</v>
      </c>
      <c r="F45" s="13">
        <v>17</v>
      </c>
      <c r="G45" s="13">
        <v>10</v>
      </c>
      <c r="H45" s="13" t="s">
        <v>358</v>
      </c>
      <c r="I45" s="13" t="s">
        <v>479</v>
      </c>
      <c r="J45" s="13" t="s">
        <v>480</v>
      </c>
      <c r="K45" s="13" t="s">
        <v>133</v>
      </c>
      <c r="L45" s="14" t="s">
        <v>481</v>
      </c>
      <c r="M45" s="89">
        <f t="shared" si="1"/>
        <v>1</v>
      </c>
    </row>
    <row r="46" spans="1:13" ht="63.75">
      <c r="A46" s="21" t="s">
        <v>104</v>
      </c>
      <c r="B46" s="21" t="s">
        <v>108</v>
      </c>
      <c r="C46" s="85" t="s">
        <v>396</v>
      </c>
      <c r="D46" s="13">
        <f>'РЕЙД-КОНСТРУКТОР'!K48</f>
        <v>0</v>
      </c>
      <c r="E46" s="13" t="str">
        <f t="shared" si="0"/>
        <v>НЕ ХВАТАЕТ</v>
      </c>
      <c r="F46" s="13">
        <v>20</v>
      </c>
      <c r="G46" s="13">
        <v>14</v>
      </c>
      <c r="H46" s="13" t="s">
        <v>387</v>
      </c>
      <c r="I46" s="13" t="s">
        <v>482</v>
      </c>
      <c r="J46" s="13" t="s">
        <v>483</v>
      </c>
      <c r="K46" s="13" t="s">
        <v>133</v>
      </c>
      <c r="L46" s="14" t="s">
        <v>484</v>
      </c>
      <c r="M46" s="89">
        <f t="shared" si="1"/>
        <v>1</v>
      </c>
    </row>
    <row r="47" spans="1:13" ht="30" hidden="1" customHeight="1">
      <c r="A47" s="21" t="s">
        <v>104</v>
      </c>
      <c r="B47" s="21" t="s">
        <v>109</v>
      </c>
      <c r="C47" s="85" t="s">
        <v>396</v>
      </c>
      <c r="D47" s="13">
        <f>'РЕЙД-КОНСТРУКТОР'!K49</f>
        <v>0</v>
      </c>
      <c r="E47" s="13" t="str">
        <f t="shared" si="0"/>
        <v>НЕ ХВАТАЕТ</v>
      </c>
      <c r="F47" s="13">
        <v>15</v>
      </c>
      <c r="G47" s="13">
        <v>7</v>
      </c>
      <c r="H47" s="13" t="s">
        <v>349</v>
      </c>
      <c r="I47" s="13" t="s">
        <v>485</v>
      </c>
      <c r="J47" s="13" t="s">
        <v>486</v>
      </c>
      <c r="K47" s="13" t="s">
        <v>133</v>
      </c>
      <c r="L47" s="14" t="s">
        <v>487</v>
      </c>
      <c r="M47" s="89">
        <f t="shared" si="1"/>
        <v>1</v>
      </c>
    </row>
    <row r="48" spans="1:13" ht="30" hidden="1" customHeight="1">
      <c r="A48" s="21" t="s">
        <v>104</v>
      </c>
      <c r="B48" s="21" t="s">
        <v>110</v>
      </c>
      <c r="C48" s="85" t="s">
        <v>13</v>
      </c>
      <c r="D48" s="13">
        <f>'РЕЙД-КОНСТРУКТОР'!K50</f>
        <v>0</v>
      </c>
      <c r="E48" s="13" t="str">
        <f t="shared" si="0"/>
        <v>НЕ ХВАТАЕТ</v>
      </c>
      <c r="F48" s="13">
        <v>5</v>
      </c>
      <c r="G48" s="13">
        <v>3</v>
      </c>
      <c r="H48" s="13" t="s">
        <v>371</v>
      </c>
      <c r="I48" s="13" t="s">
        <v>488</v>
      </c>
      <c r="J48" s="13" t="s">
        <v>489</v>
      </c>
      <c r="K48" s="13" t="s">
        <v>133</v>
      </c>
      <c r="L48" s="14" t="s">
        <v>490</v>
      </c>
      <c r="M48" s="89">
        <f t="shared" si="1"/>
        <v>3</v>
      </c>
    </row>
  </sheetData>
  <mergeCells count="2">
    <mergeCell ref="A1:K1"/>
    <mergeCell ref="A2:K2"/>
  </mergeCells>
  <dataValidations count="1">
    <dataValidation type="list" sqref="C4:C48" xr:uid="{00000000-0002-0000-0300-000000000000}">
      <formula1>"Критично,Важно,Опционально,Не учитывать"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workbookViewId="0">
      <selection sqref="A1:K1"/>
    </sheetView>
  </sheetViews>
  <sheetFormatPr defaultRowHeight="14.25"/>
  <cols>
    <col min="1" max="1" width="18" customWidth="1"/>
    <col min="2" max="2" width="22" customWidth="1"/>
    <col min="3" max="3" width="17" customWidth="1"/>
    <col min="4" max="4" width="45" customWidth="1"/>
    <col min="5" max="6" width="28" customWidth="1"/>
    <col min="7" max="8" width="45" customWidth="1"/>
    <col min="9" max="10" width="60" customWidth="1"/>
    <col min="11" max="11" width="30" customWidth="1"/>
  </cols>
  <sheetData>
    <row r="1" spans="1:11" ht="27.95" customHeight="1">
      <c r="A1" s="118" t="s">
        <v>491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ht="27.95" customHeight="1">
      <c r="A2" s="2" t="s">
        <v>23</v>
      </c>
      <c r="B2" s="2" t="s">
        <v>24</v>
      </c>
      <c r="C2" s="2" t="s">
        <v>25</v>
      </c>
      <c r="D2" s="2" t="s">
        <v>492</v>
      </c>
      <c r="E2" s="2" t="s">
        <v>493</v>
      </c>
      <c r="F2" s="2" t="s">
        <v>494</v>
      </c>
      <c r="G2" s="2" t="s">
        <v>495</v>
      </c>
      <c r="H2" s="2" t="s">
        <v>496</v>
      </c>
      <c r="I2" s="2" t="s">
        <v>497</v>
      </c>
      <c r="J2" s="2" t="s">
        <v>498</v>
      </c>
      <c r="K2" s="2" t="s">
        <v>129</v>
      </c>
    </row>
    <row r="3" spans="1:11">
      <c r="A3" s="13" t="s">
        <v>130</v>
      </c>
      <c r="B3" s="13" t="s">
        <v>131</v>
      </c>
      <c r="C3" s="13" t="s">
        <v>84</v>
      </c>
      <c r="D3" s="13" t="s">
        <v>499</v>
      </c>
      <c r="E3" s="13" t="s">
        <v>182</v>
      </c>
      <c r="F3" s="13" t="s">
        <v>182</v>
      </c>
      <c r="G3" s="13" t="s">
        <v>500</v>
      </c>
      <c r="H3" s="13" t="s">
        <v>182</v>
      </c>
      <c r="I3" s="13" t="s">
        <v>132</v>
      </c>
      <c r="J3" s="13" t="s">
        <v>102</v>
      </c>
      <c r="K3" s="13" t="s">
        <v>133</v>
      </c>
    </row>
    <row r="4" spans="1:11" ht="25.5">
      <c r="A4" s="13" t="s">
        <v>130</v>
      </c>
      <c r="B4" s="13" t="s">
        <v>134</v>
      </c>
      <c r="C4" s="13" t="s">
        <v>135</v>
      </c>
      <c r="D4" s="13" t="s">
        <v>499</v>
      </c>
      <c r="E4" s="13" t="s">
        <v>182</v>
      </c>
      <c r="F4" s="13" t="s">
        <v>182</v>
      </c>
      <c r="G4" s="13" t="s">
        <v>46</v>
      </c>
      <c r="H4" s="13" t="s">
        <v>137</v>
      </c>
      <c r="I4" s="13" t="s">
        <v>136</v>
      </c>
      <c r="J4" s="13" t="s">
        <v>137</v>
      </c>
      <c r="K4" s="13" t="s">
        <v>133</v>
      </c>
    </row>
    <row r="5" spans="1:11" ht="25.5">
      <c r="A5" s="13" t="s">
        <v>130</v>
      </c>
      <c r="B5" s="13" t="s">
        <v>138</v>
      </c>
      <c r="C5" s="13" t="s">
        <v>139</v>
      </c>
      <c r="D5" s="13" t="s">
        <v>499</v>
      </c>
      <c r="E5" s="13" t="s">
        <v>182</v>
      </c>
      <c r="F5" s="13" t="s">
        <v>182</v>
      </c>
      <c r="G5" s="13" t="s">
        <v>501</v>
      </c>
      <c r="H5" s="13" t="s">
        <v>141</v>
      </c>
      <c r="I5" s="13" t="s">
        <v>140</v>
      </c>
      <c r="J5" s="13" t="s">
        <v>141</v>
      </c>
      <c r="K5" s="13" t="s">
        <v>133</v>
      </c>
    </row>
    <row r="6" spans="1:11" ht="25.5">
      <c r="A6" s="13" t="s">
        <v>142</v>
      </c>
      <c r="B6" s="13" t="s">
        <v>143</v>
      </c>
      <c r="C6" s="13" t="s">
        <v>139</v>
      </c>
      <c r="D6" s="13" t="s">
        <v>502</v>
      </c>
      <c r="E6" s="13" t="s">
        <v>182</v>
      </c>
      <c r="F6" s="13" t="s">
        <v>109</v>
      </c>
      <c r="G6" s="13" t="s">
        <v>503</v>
      </c>
      <c r="H6" s="13" t="s">
        <v>102</v>
      </c>
      <c r="I6" s="13" t="s">
        <v>144</v>
      </c>
      <c r="J6" s="13" t="s">
        <v>145</v>
      </c>
      <c r="K6" s="13" t="s">
        <v>133</v>
      </c>
    </row>
    <row r="7" spans="1:11" ht="25.5">
      <c r="A7" s="13" t="s">
        <v>142</v>
      </c>
      <c r="B7" s="13" t="s">
        <v>146</v>
      </c>
      <c r="C7" s="13" t="s">
        <v>139</v>
      </c>
      <c r="D7" s="13" t="s">
        <v>502</v>
      </c>
      <c r="E7" s="13" t="s">
        <v>182</v>
      </c>
      <c r="F7" s="13" t="s">
        <v>109</v>
      </c>
      <c r="G7" s="13" t="s">
        <v>504</v>
      </c>
      <c r="H7" s="13" t="s">
        <v>505</v>
      </c>
      <c r="I7" s="13" t="s">
        <v>147</v>
      </c>
      <c r="J7" s="13" t="s">
        <v>148</v>
      </c>
      <c r="K7" s="13" t="s">
        <v>133</v>
      </c>
    </row>
    <row r="8" spans="1:11" ht="25.5">
      <c r="A8" s="13" t="s">
        <v>142</v>
      </c>
      <c r="B8" s="13" t="s">
        <v>149</v>
      </c>
      <c r="C8" s="13" t="s">
        <v>81</v>
      </c>
      <c r="D8" s="13" t="s">
        <v>502</v>
      </c>
      <c r="E8" s="13" t="s">
        <v>182</v>
      </c>
      <c r="F8" s="13" t="s">
        <v>109</v>
      </c>
      <c r="G8" s="13" t="s">
        <v>506</v>
      </c>
      <c r="H8" s="13" t="s">
        <v>507</v>
      </c>
      <c r="I8" s="13" t="s">
        <v>150</v>
      </c>
      <c r="J8" s="13" t="s">
        <v>151</v>
      </c>
      <c r="K8" s="13" t="s">
        <v>133</v>
      </c>
    </row>
    <row r="9" spans="1:11" ht="25.5">
      <c r="A9" s="13" t="s">
        <v>152</v>
      </c>
      <c r="B9" s="13" t="s">
        <v>153</v>
      </c>
      <c r="C9" s="13" t="s">
        <v>139</v>
      </c>
      <c r="D9" s="13" t="s">
        <v>508</v>
      </c>
      <c r="E9" s="13" t="s">
        <v>509</v>
      </c>
      <c r="F9" s="13" t="s">
        <v>182</v>
      </c>
      <c r="G9" s="13" t="s">
        <v>510</v>
      </c>
      <c r="H9" s="13" t="s">
        <v>511</v>
      </c>
      <c r="I9" s="13" t="s">
        <v>154</v>
      </c>
      <c r="J9" s="13" t="s">
        <v>155</v>
      </c>
      <c r="K9" s="13" t="s">
        <v>133</v>
      </c>
    </row>
    <row r="10" spans="1:11" ht="38.25">
      <c r="A10" s="13" t="s">
        <v>152</v>
      </c>
      <c r="B10" s="13" t="s">
        <v>156</v>
      </c>
      <c r="C10" s="13" t="s">
        <v>78</v>
      </c>
      <c r="D10" s="13" t="s">
        <v>508</v>
      </c>
      <c r="E10" s="13" t="s">
        <v>509</v>
      </c>
      <c r="F10" s="13" t="s">
        <v>182</v>
      </c>
      <c r="G10" s="13" t="s">
        <v>512</v>
      </c>
      <c r="H10" s="13" t="s">
        <v>158</v>
      </c>
      <c r="I10" s="13" t="s">
        <v>157</v>
      </c>
      <c r="J10" s="13" t="s">
        <v>158</v>
      </c>
      <c r="K10" s="13" t="s">
        <v>133</v>
      </c>
    </row>
    <row r="11" spans="1:11" ht="25.5">
      <c r="A11" s="13" t="s">
        <v>152</v>
      </c>
      <c r="B11" s="13" t="s">
        <v>159</v>
      </c>
      <c r="C11" s="13" t="s">
        <v>135</v>
      </c>
      <c r="D11" s="13" t="s">
        <v>508</v>
      </c>
      <c r="E11" s="13" t="s">
        <v>509</v>
      </c>
      <c r="F11" s="13" t="s">
        <v>182</v>
      </c>
      <c r="G11" s="13" t="s">
        <v>513</v>
      </c>
      <c r="H11" s="13" t="s">
        <v>161</v>
      </c>
      <c r="I11" s="13" t="s">
        <v>160</v>
      </c>
      <c r="J11" s="13" t="s">
        <v>161</v>
      </c>
      <c r="K11" s="13" t="s">
        <v>133</v>
      </c>
    </row>
    <row r="12" spans="1:11" ht="25.5">
      <c r="A12" s="13" t="s">
        <v>162</v>
      </c>
      <c r="B12" s="13" t="s">
        <v>163</v>
      </c>
      <c r="C12" s="13" t="s">
        <v>135</v>
      </c>
      <c r="D12" s="13" t="s">
        <v>514</v>
      </c>
      <c r="E12" s="13" t="s">
        <v>68</v>
      </c>
      <c r="F12" s="13" t="s">
        <v>182</v>
      </c>
      <c r="G12" s="13" t="s">
        <v>47</v>
      </c>
      <c r="H12" s="13" t="s">
        <v>165</v>
      </c>
      <c r="I12" s="13" t="s">
        <v>164</v>
      </c>
      <c r="J12" s="13" t="s">
        <v>165</v>
      </c>
      <c r="K12" s="13" t="s">
        <v>133</v>
      </c>
    </row>
    <row r="13" spans="1:11" ht="25.5">
      <c r="A13" s="13" t="s">
        <v>162</v>
      </c>
      <c r="B13" s="13" t="s">
        <v>166</v>
      </c>
      <c r="C13" s="13" t="s">
        <v>139</v>
      </c>
      <c r="D13" s="13" t="s">
        <v>514</v>
      </c>
      <c r="E13" s="13" t="s">
        <v>68</v>
      </c>
      <c r="F13" s="13" t="s">
        <v>182</v>
      </c>
      <c r="G13" s="13" t="s">
        <v>515</v>
      </c>
      <c r="H13" s="13" t="s">
        <v>109</v>
      </c>
      <c r="I13" s="13" t="s">
        <v>167</v>
      </c>
      <c r="J13" s="13" t="s">
        <v>109</v>
      </c>
      <c r="K13" s="13" t="s">
        <v>133</v>
      </c>
    </row>
    <row r="14" spans="1:11" ht="25.5">
      <c r="A14" s="13" t="s">
        <v>162</v>
      </c>
      <c r="B14" s="13" t="s">
        <v>168</v>
      </c>
      <c r="C14" s="13" t="s">
        <v>78</v>
      </c>
      <c r="D14" s="13" t="s">
        <v>514</v>
      </c>
      <c r="E14" s="13" t="s">
        <v>68</v>
      </c>
      <c r="F14" s="13" t="s">
        <v>182</v>
      </c>
      <c r="G14" s="13" t="s">
        <v>516</v>
      </c>
      <c r="H14" s="13" t="s">
        <v>170</v>
      </c>
      <c r="I14" s="13" t="s">
        <v>169</v>
      </c>
      <c r="J14" s="13" t="s">
        <v>170</v>
      </c>
      <c r="K14" s="13" t="s">
        <v>133</v>
      </c>
    </row>
    <row r="15" spans="1:11" ht="25.5">
      <c r="A15" s="13" t="s">
        <v>162</v>
      </c>
      <c r="B15" s="13" t="s">
        <v>171</v>
      </c>
      <c r="C15" s="13" t="s">
        <v>139</v>
      </c>
      <c r="D15" s="13" t="s">
        <v>514</v>
      </c>
      <c r="E15" s="13" t="s">
        <v>68</v>
      </c>
      <c r="F15" s="13" t="s">
        <v>182</v>
      </c>
      <c r="G15" s="13" t="s">
        <v>60</v>
      </c>
      <c r="H15" s="13" t="s">
        <v>173</v>
      </c>
      <c r="I15" s="13" t="s">
        <v>172</v>
      </c>
      <c r="J15" s="13" t="s">
        <v>173</v>
      </c>
      <c r="K15" s="13" t="s">
        <v>133</v>
      </c>
    </row>
    <row r="16" spans="1:11" ht="25.5">
      <c r="A16" s="13" t="s">
        <v>174</v>
      </c>
      <c r="B16" s="13" t="s">
        <v>175</v>
      </c>
      <c r="C16" s="13" t="s">
        <v>139</v>
      </c>
      <c r="D16" s="13" t="s">
        <v>517</v>
      </c>
      <c r="E16" s="13" t="s">
        <v>66</v>
      </c>
      <c r="F16" s="13" t="s">
        <v>182</v>
      </c>
      <c r="G16" s="13" t="s">
        <v>61</v>
      </c>
      <c r="H16" s="13" t="s">
        <v>177</v>
      </c>
      <c r="I16" s="13" t="s">
        <v>176</v>
      </c>
      <c r="J16" s="13" t="s">
        <v>177</v>
      </c>
      <c r="K16" s="13" t="s">
        <v>133</v>
      </c>
    </row>
    <row r="17" spans="1:11" ht="25.5">
      <c r="A17" s="13" t="s">
        <v>174</v>
      </c>
      <c r="B17" s="13" t="s">
        <v>178</v>
      </c>
      <c r="C17" s="13" t="s">
        <v>139</v>
      </c>
      <c r="D17" s="13" t="s">
        <v>517</v>
      </c>
      <c r="E17" s="13" t="s">
        <v>66</v>
      </c>
      <c r="F17" s="13" t="s">
        <v>182</v>
      </c>
      <c r="G17" s="13" t="s">
        <v>60</v>
      </c>
      <c r="H17" s="13" t="s">
        <v>100</v>
      </c>
      <c r="I17" s="13" t="s">
        <v>179</v>
      </c>
      <c r="J17" s="13" t="s">
        <v>100</v>
      </c>
      <c r="K17" s="13" t="s">
        <v>133</v>
      </c>
    </row>
    <row r="18" spans="1:11" ht="25.5">
      <c r="A18" s="13" t="s">
        <v>174</v>
      </c>
      <c r="B18" s="13" t="s">
        <v>180</v>
      </c>
      <c r="C18" s="13" t="s">
        <v>84</v>
      </c>
      <c r="D18" s="13" t="s">
        <v>517</v>
      </c>
      <c r="E18" s="13" t="s">
        <v>66</v>
      </c>
      <c r="F18" s="13" t="s">
        <v>182</v>
      </c>
      <c r="G18" s="13" t="s">
        <v>518</v>
      </c>
      <c r="H18" s="13" t="s">
        <v>182</v>
      </c>
      <c r="I18" s="13" t="s">
        <v>181</v>
      </c>
      <c r="J18" s="13" t="s">
        <v>182</v>
      </c>
      <c r="K18" s="13" t="s">
        <v>133</v>
      </c>
    </row>
    <row r="19" spans="1:11" ht="25.5">
      <c r="A19" s="13" t="s">
        <v>183</v>
      </c>
      <c r="B19" s="13" t="s">
        <v>184</v>
      </c>
      <c r="C19" s="13" t="s">
        <v>81</v>
      </c>
      <c r="D19" s="13" t="s">
        <v>519</v>
      </c>
      <c r="E19" s="13" t="s">
        <v>68</v>
      </c>
      <c r="F19" s="13" t="s">
        <v>182</v>
      </c>
      <c r="G19" s="13" t="s">
        <v>520</v>
      </c>
      <c r="H19" s="13" t="s">
        <v>182</v>
      </c>
      <c r="I19" s="13" t="s">
        <v>185</v>
      </c>
      <c r="J19" s="13" t="s">
        <v>182</v>
      </c>
      <c r="K19" s="13" t="s">
        <v>133</v>
      </c>
    </row>
    <row r="20" spans="1:11">
      <c r="A20" s="13" t="s">
        <v>183</v>
      </c>
      <c r="B20" s="13" t="s">
        <v>186</v>
      </c>
      <c r="C20" s="13" t="s">
        <v>78</v>
      </c>
      <c r="D20" s="13" t="s">
        <v>519</v>
      </c>
      <c r="E20" s="13" t="s">
        <v>68</v>
      </c>
      <c r="F20" s="13" t="s">
        <v>182</v>
      </c>
      <c r="G20" s="13" t="s">
        <v>311</v>
      </c>
      <c r="H20" s="13" t="s">
        <v>105</v>
      </c>
      <c r="I20" s="13" t="s">
        <v>187</v>
      </c>
      <c r="J20" s="13" t="s">
        <v>188</v>
      </c>
      <c r="K20" s="13" t="s">
        <v>133</v>
      </c>
    </row>
    <row r="21" spans="1:11" ht="25.5">
      <c r="A21" s="13" t="s">
        <v>183</v>
      </c>
      <c r="B21" s="13" t="s">
        <v>189</v>
      </c>
      <c r="C21" s="13" t="s">
        <v>139</v>
      </c>
      <c r="D21" s="13" t="s">
        <v>519</v>
      </c>
      <c r="E21" s="13" t="s">
        <v>68</v>
      </c>
      <c r="F21" s="13" t="s">
        <v>182</v>
      </c>
      <c r="G21" s="13" t="s">
        <v>521</v>
      </c>
      <c r="H21" s="13" t="s">
        <v>191</v>
      </c>
      <c r="I21" s="13" t="s">
        <v>190</v>
      </c>
      <c r="J21" s="13" t="s">
        <v>191</v>
      </c>
      <c r="K21" s="13" t="s">
        <v>133</v>
      </c>
    </row>
    <row r="22" spans="1:11">
      <c r="A22" s="13" t="s">
        <v>183</v>
      </c>
      <c r="B22" s="13" t="s">
        <v>192</v>
      </c>
      <c r="C22" s="13" t="s">
        <v>135</v>
      </c>
      <c r="D22" s="13" t="s">
        <v>519</v>
      </c>
      <c r="E22" s="13" t="s">
        <v>68</v>
      </c>
      <c r="F22" s="13" t="s">
        <v>182</v>
      </c>
      <c r="G22" s="13" t="s">
        <v>108</v>
      </c>
      <c r="H22" s="13" t="s">
        <v>522</v>
      </c>
      <c r="I22" s="13" t="s">
        <v>187</v>
      </c>
      <c r="J22" s="13" t="s">
        <v>193</v>
      </c>
      <c r="K22" s="13" t="s">
        <v>133</v>
      </c>
    </row>
    <row r="23" spans="1:11" ht="38.25">
      <c r="A23" s="13" t="s">
        <v>194</v>
      </c>
      <c r="B23" s="13" t="s">
        <v>195</v>
      </c>
      <c r="C23" s="13" t="s">
        <v>135</v>
      </c>
      <c r="D23" s="13" t="s">
        <v>523</v>
      </c>
      <c r="E23" s="13" t="s">
        <v>524</v>
      </c>
      <c r="F23" s="13" t="s">
        <v>182</v>
      </c>
      <c r="G23" s="13" t="s">
        <v>525</v>
      </c>
      <c r="H23" s="13" t="s">
        <v>109</v>
      </c>
      <c r="I23" s="13" t="s">
        <v>196</v>
      </c>
      <c r="J23" s="13" t="s">
        <v>197</v>
      </c>
      <c r="K23" s="13" t="s">
        <v>133</v>
      </c>
    </row>
    <row r="24" spans="1:11" ht="38.25">
      <c r="A24" s="13" t="s">
        <v>194</v>
      </c>
      <c r="B24" s="13" t="s">
        <v>198</v>
      </c>
      <c r="C24" s="13" t="s">
        <v>135</v>
      </c>
      <c r="D24" s="13" t="s">
        <v>523</v>
      </c>
      <c r="E24" s="13" t="s">
        <v>524</v>
      </c>
      <c r="F24" s="13" t="s">
        <v>182</v>
      </c>
      <c r="G24" s="13" t="s">
        <v>60</v>
      </c>
      <c r="H24" s="13" t="s">
        <v>200</v>
      </c>
      <c r="I24" s="13" t="s">
        <v>199</v>
      </c>
      <c r="J24" s="13" t="s">
        <v>200</v>
      </c>
      <c r="K24" s="13" t="s">
        <v>133</v>
      </c>
    </row>
    <row r="25" spans="1:11" ht="38.25">
      <c r="A25" s="13" t="s">
        <v>194</v>
      </c>
      <c r="B25" s="13" t="s">
        <v>201</v>
      </c>
      <c r="C25" s="13" t="s">
        <v>78</v>
      </c>
      <c r="D25" s="13" t="s">
        <v>523</v>
      </c>
      <c r="E25" s="13" t="s">
        <v>524</v>
      </c>
      <c r="F25" s="13" t="s">
        <v>182</v>
      </c>
      <c r="G25" s="13" t="s">
        <v>526</v>
      </c>
      <c r="H25" s="13" t="s">
        <v>527</v>
      </c>
      <c r="I25" s="13" t="s">
        <v>202</v>
      </c>
      <c r="J25" s="13" t="s">
        <v>203</v>
      </c>
      <c r="K25" s="13" t="s">
        <v>133</v>
      </c>
    </row>
    <row r="26" spans="1:11">
      <c r="A26" s="13" t="s">
        <v>204</v>
      </c>
      <c r="B26" s="13" t="s">
        <v>205</v>
      </c>
      <c r="C26" s="13" t="s">
        <v>78</v>
      </c>
      <c r="D26" s="13" t="s">
        <v>43</v>
      </c>
      <c r="E26" s="13" t="s">
        <v>66</v>
      </c>
      <c r="F26" s="13" t="s">
        <v>182</v>
      </c>
      <c r="G26" s="13" t="s">
        <v>528</v>
      </c>
      <c r="H26" s="13" t="s">
        <v>529</v>
      </c>
      <c r="I26" s="13" t="s">
        <v>206</v>
      </c>
      <c r="J26" s="13" t="s">
        <v>207</v>
      </c>
      <c r="K26" s="13" t="s">
        <v>133</v>
      </c>
    </row>
    <row r="27" spans="1:11">
      <c r="A27" s="13" t="s">
        <v>204</v>
      </c>
      <c r="B27" s="13" t="s">
        <v>208</v>
      </c>
      <c r="C27" s="13" t="s">
        <v>135</v>
      </c>
      <c r="D27" s="13" t="s">
        <v>43</v>
      </c>
      <c r="E27" s="13" t="s">
        <v>66</v>
      </c>
      <c r="F27" s="13" t="s">
        <v>182</v>
      </c>
      <c r="G27" s="13" t="s">
        <v>46</v>
      </c>
      <c r="H27" s="13" t="s">
        <v>200</v>
      </c>
      <c r="I27" s="13" t="s">
        <v>209</v>
      </c>
      <c r="J27" s="13" t="s">
        <v>200</v>
      </c>
      <c r="K27" s="13" t="s">
        <v>133</v>
      </c>
    </row>
    <row r="28" spans="1:11">
      <c r="A28" s="13" t="s">
        <v>204</v>
      </c>
      <c r="B28" s="13" t="s">
        <v>210</v>
      </c>
      <c r="C28" s="13" t="s">
        <v>84</v>
      </c>
      <c r="D28" s="13" t="s">
        <v>43</v>
      </c>
      <c r="E28" s="13" t="s">
        <v>66</v>
      </c>
      <c r="F28" s="13" t="s">
        <v>182</v>
      </c>
      <c r="G28" s="13" t="s">
        <v>500</v>
      </c>
      <c r="H28" s="13" t="s">
        <v>97</v>
      </c>
      <c r="I28" s="13" t="s">
        <v>211</v>
      </c>
      <c r="J28" s="13" t="s">
        <v>212</v>
      </c>
      <c r="K28" s="13" t="s">
        <v>133</v>
      </c>
    </row>
    <row r="29" spans="1:11">
      <c r="A29" s="13" t="s">
        <v>213</v>
      </c>
      <c r="B29" s="13" t="s">
        <v>214</v>
      </c>
      <c r="C29" s="13" t="s">
        <v>81</v>
      </c>
      <c r="D29" s="13" t="s">
        <v>530</v>
      </c>
      <c r="E29" s="13" t="s">
        <v>69</v>
      </c>
      <c r="F29" s="13" t="s">
        <v>182</v>
      </c>
      <c r="G29" s="13" t="s">
        <v>531</v>
      </c>
      <c r="H29" s="13" t="s">
        <v>182</v>
      </c>
      <c r="I29" s="13" t="s">
        <v>215</v>
      </c>
      <c r="J29" s="13" t="s">
        <v>102</v>
      </c>
      <c r="K29" s="13" t="s">
        <v>133</v>
      </c>
    </row>
    <row r="30" spans="1:11">
      <c r="A30" s="13" t="s">
        <v>213</v>
      </c>
      <c r="B30" s="13" t="s">
        <v>216</v>
      </c>
      <c r="C30" s="13" t="s">
        <v>135</v>
      </c>
      <c r="D30" s="13" t="s">
        <v>530</v>
      </c>
      <c r="E30" s="13" t="s">
        <v>69</v>
      </c>
      <c r="F30" s="13" t="s">
        <v>182</v>
      </c>
      <c r="G30" s="13" t="s">
        <v>531</v>
      </c>
      <c r="H30" s="13" t="s">
        <v>108</v>
      </c>
      <c r="I30" s="13" t="s">
        <v>215</v>
      </c>
      <c r="J30" s="13" t="s">
        <v>217</v>
      </c>
      <c r="K30" s="13" t="s">
        <v>133</v>
      </c>
    </row>
    <row r="31" spans="1:11" ht="25.5">
      <c r="A31" s="13" t="s">
        <v>213</v>
      </c>
      <c r="B31" s="13" t="s">
        <v>218</v>
      </c>
      <c r="C31" s="13" t="s">
        <v>139</v>
      </c>
      <c r="D31" s="13" t="s">
        <v>530</v>
      </c>
      <c r="E31" s="13" t="s">
        <v>69</v>
      </c>
      <c r="F31" s="13" t="s">
        <v>182</v>
      </c>
      <c r="G31" s="13" t="s">
        <v>532</v>
      </c>
      <c r="H31" s="13" t="s">
        <v>99</v>
      </c>
      <c r="I31" s="13" t="s">
        <v>219</v>
      </c>
      <c r="J31" s="13" t="s">
        <v>220</v>
      </c>
      <c r="K31" s="13" t="s">
        <v>133</v>
      </c>
    </row>
    <row r="32" spans="1:11" ht="25.5">
      <c r="A32" s="13" t="s">
        <v>213</v>
      </c>
      <c r="B32" s="13" t="s">
        <v>221</v>
      </c>
      <c r="C32" s="13" t="s">
        <v>78</v>
      </c>
      <c r="D32" s="13" t="s">
        <v>530</v>
      </c>
      <c r="E32" s="13" t="s">
        <v>69</v>
      </c>
      <c r="F32" s="13" t="s">
        <v>182</v>
      </c>
      <c r="G32" s="13" t="s">
        <v>533</v>
      </c>
      <c r="H32" s="13" t="s">
        <v>288</v>
      </c>
      <c r="I32" s="13" t="s">
        <v>222</v>
      </c>
      <c r="J32" s="13" t="s">
        <v>223</v>
      </c>
      <c r="K32" s="13" t="s">
        <v>133</v>
      </c>
    </row>
    <row r="33" spans="1:11" ht="25.5">
      <c r="A33" s="13" t="s">
        <v>224</v>
      </c>
      <c r="B33" s="13" t="s">
        <v>225</v>
      </c>
      <c r="C33" s="13" t="s">
        <v>81</v>
      </c>
      <c r="D33" s="13" t="s">
        <v>534</v>
      </c>
      <c r="E33" s="13" t="s">
        <v>182</v>
      </c>
      <c r="F33" s="13" t="s">
        <v>182</v>
      </c>
      <c r="G33" s="13" t="s">
        <v>535</v>
      </c>
      <c r="H33" s="13" t="s">
        <v>182</v>
      </c>
      <c r="I33" s="13" t="s">
        <v>226</v>
      </c>
      <c r="J33" s="13" t="s">
        <v>102</v>
      </c>
      <c r="K33" s="13" t="s">
        <v>133</v>
      </c>
    </row>
    <row r="34" spans="1:11" ht="25.5">
      <c r="A34" s="13" t="s">
        <v>224</v>
      </c>
      <c r="B34" s="13" t="s">
        <v>227</v>
      </c>
      <c r="C34" s="13" t="s">
        <v>135</v>
      </c>
      <c r="D34" s="13" t="s">
        <v>534</v>
      </c>
      <c r="E34" s="13" t="s">
        <v>182</v>
      </c>
      <c r="F34" s="13" t="s">
        <v>182</v>
      </c>
      <c r="G34" s="13" t="s">
        <v>536</v>
      </c>
      <c r="H34" s="13" t="s">
        <v>106</v>
      </c>
      <c r="I34" s="13" t="s">
        <v>228</v>
      </c>
      <c r="J34" s="13" t="s">
        <v>229</v>
      </c>
      <c r="K34" s="13" t="s">
        <v>133</v>
      </c>
    </row>
    <row r="35" spans="1:11" ht="25.5">
      <c r="A35" s="13" t="s">
        <v>224</v>
      </c>
      <c r="B35" s="13" t="s">
        <v>230</v>
      </c>
      <c r="C35" s="13" t="s">
        <v>139</v>
      </c>
      <c r="D35" s="13" t="s">
        <v>534</v>
      </c>
      <c r="E35" s="13" t="s">
        <v>182</v>
      </c>
      <c r="F35" s="13" t="s">
        <v>182</v>
      </c>
      <c r="G35" s="13" t="s">
        <v>537</v>
      </c>
      <c r="H35" s="13" t="s">
        <v>191</v>
      </c>
      <c r="I35" s="13" t="s">
        <v>231</v>
      </c>
      <c r="J35" s="13" t="s">
        <v>232</v>
      </c>
      <c r="K35" s="13" t="s">
        <v>133</v>
      </c>
    </row>
    <row r="36" spans="1:11" ht="25.5">
      <c r="A36" s="13" t="s">
        <v>224</v>
      </c>
      <c r="B36" s="13" t="s">
        <v>233</v>
      </c>
      <c r="C36" s="13" t="s">
        <v>78</v>
      </c>
      <c r="D36" s="13" t="s">
        <v>534</v>
      </c>
      <c r="E36" s="13" t="s">
        <v>182</v>
      </c>
      <c r="F36" s="13" t="s">
        <v>182</v>
      </c>
      <c r="G36" s="13" t="s">
        <v>538</v>
      </c>
      <c r="H36" s="13" t="s">
        <v>235</v>
      </c>
      <c r="I36" s="13" t="s">
        <v>234</v>
      </c>
      <c r="J36" s="13" t="s">
        <v>235</v>
      </c>
      <c r="K36" s="13" t="s">
        <v>133</v>
      </c>
    </row>
    <row r="37" spans="1:11">
      <c r="A37" s="13" t="s">
        <v>236</v>
      </c>
      <c r="B37" s="13" t="s">
        <v>237</v>
      </c>
      <c r="C37" s="13" t="s">
        <v>135</v>
      </c>
      <c r="D37" s="13" t="s">
        <v>539</v>
      </c>
      <c r="E37" s="13" t="s">
        <v>182</v>
      </c>
      <c r="F37" s="13" t="s">
        <v>182</v>
      </c>
      <c r="G37" s="13" t="s">
        <v>47</v>
      </c>
      <c r="H37" s="13" t="s">
        <v>97</v>
      </c>
      <c r="I37" s="13" t="s">
        <v>238</v>
      </c>
      <c r="J37" s="13" t="s">
        <v>97</v>
      </c>
      <c r="K37" s="13" t="s">
        <v>133</v>
      </c>
    </row>
    <row r="38" spans="1:11">
      <c r="A38" s="13" t="s">
        <v>236</v>
      </c>
      <c r="B38" s="13" t="s">
        <v>239</v>
      </c>
      <c r="C38" s="13" t="s">
        <v>135</v>
      </c>
      <c r="D38" s="13" t="s">
        <v>539</v>
      </c>
      <c r="E38" s="13" t="s">
        <v>182</v>
      </c>
      <c r="F38" s="13" t="s">
        <v>182</v>
      </c>
      <c r="G38" s="13" t="s">
        <v>61</v>
      </c>
      <c r="H38" s="13" t="s">
        <v>105</v>
      </c>
      <c r="I38" s="13" t="s">
        <v>240</v>
      </c>
      <c r="J38" s="13" t="s">
        <v>105</v>
      </c>
      <c r="K38" s="13" t="s">
        <v>133</v>
      </c>
    </row>
    <row r="39" spans="1:11" ht="25.5">
      <c r="A39" s="13" t="s">
        <v>236</v>
      </c>
      <c r="B39" s="13" t="s">
        <v>241</v>
      </c>
      <c r="C39" s="13" t="s">
        <v>78</v>
      </c>
      <c r="D39" s="13" t="s">
        <v>539</v>
      </c>
      <c r="E39" s="13" t="s">
        <v>182</v>
      </c>
      <c r="F39" s="13" t="s">
        <v>182</v>
      </c>
      <c r="G39" s="13" t="s">
        <v>540</v>
      </c>
      <c r="H39" s="13" t="s">
        <v>243</v>
      </c>
      <c r="I39" s="13" t="s">
        <v>242</v>
      </c>
      <c r="J39" s="13" t="s">
        <v>243</v>
      </c>
      <c r="K39" s="13" t="s">
        <v>133</v>
      </c>
    </row>
    <row r="40" spans="1:11" ht="25.5">
      <c r="A40" s="13" t="s">
        <v>244</v>
      </c>
      <c r="B40" s="13" t="s">
        <v>245</v>
      </c>
      <c r="C40" s="13" t="s">
        <v>135</v>
      </c>
      <c r="D40" s="13" t="s">
        <v>541</v>
      </c>
      <c r="E40" s="13" t="s">
        <v>542</v>
      </c>
      <c r="F40" s="13" t="s">
        <v>182</v>
      </c>
      <c r="G40" s="13" t="s">
        <v>46</v>
      </c>
      <c r="H40" s="13" t="s">
        <v>247</v>
      </c>
      <c r="I40" s="13" t="s">
        <v>246</v>
      </c>
      <c r="J40" s="13" t="s">
        <v>247</v>
      </c>
      <c r="K40" s="13" t="s">
        <v>133</v>
      </c>
    </row>
    <row r="41" spans="1:11" ht="25.5">
      <c r="A41" s="13" t="s">
        <v>244</v>
      </c>
      <c r="B41" s="13" t="s">
        <v>248</v>
      </c>
      <c r="C41" s="13" t="s">
        <v>78</v>
      </c>
      <c r="D41" s="13" t="s">
        <v>541</v>
      </c>
      <c r="E41" s="13" t="s">
        <v>542</v>
      </c>
      <c r="F41" s="13" t="s">
        <v>182</v>
      </c>
      <c r="G41" s="13" t="s">
        <v>543</v>
      </c>
      <c r="H41" s="13" t="s">
        <v>311</v>
      </c>
      <c r="I41" s="13" t="s">
        <v>249</v>
      </c>
      <c r="J41" s="13" t="s">
        <v>250</v>
      </c>
      <c r="K41" s="13" t="s">
        <v>133</v>
      </c>
    </row>
    <row r="42" spans="1:11" ht="25.5">
      <c r="A42" s="13" t="s">
        <v>244</v>
      </c>
      <c r="B42" s="13" t="s">
        <v>251</v>
      </c>
      <c r="C42" s="13" t="s">
        <v>139</v>
      </c>
      <c r="D42" s="13" t="s">
        <v>541</v>
      </c>
      <c r="E42" s="13" t="s">
        <v>542</v>
      </c>
      <c r="F42" s="13" t="s">
        <v>182</v>
      </c>
      <c r="G42" s="13" t="s">
        <v>544</v>
      </c>
      <c r="H42" s="13" t="s">
        <v>545</v>
      </c>
      <c r="I42" s="13" t="s">
        <v>252</v>
      </c>
      <c r="J42" s="13" t="s">
        <v>253</v>
      </c>
      <c r="K42" s="13" t="s">
        <v>133</v>
      </c>
    </row>
    <row r="43" spans="1:11" ht="25.5">
      <c r="A43" s="13" t="s">
        <v>244</v>
      </c>
      <c r="B43" s="13" t="s">
        <v>254</v>
      </c>
      <c r="C43" s="13" t="s">
        <v>84</v>
      </c>
      <c r="D43" s="13" t="s">
        <v>541</v>
      </c>
      <c r="E43" s="13" t="s">
        <v>542</v>
      </c>
      <c r="F43" s="13" t="s">
        <v>182</v>
      </c>
      <c r="G43" s="13" t="s">
        <v>546</v>
      </c>
      <c r="H43" s="13" t="s">
        <v>97</v>
      </c>
      <c r="I43" s="13" t="s">
        <v>255</v>
      </c>
      <c r="J43" s="13" t="s">
        <v>97</v>
      </c>
      <c r="K43" s="13" t="s">
        <v>133</v>
      </c>
    </row>
    <row r="44" spans="1:11" ht="25.5">
      <c r="A44" s="13" t="s">
        <v>256</v>
      </c>
      <c r="B44" s="13" t="s">
        <v>257</v>
      </c>
      <c r="C44" s="13" t="s">
        <v>139</v>
      </c>
      <c r="D44" s="13" t="s">
        <v>547</v>
      </c>
      <c r="E44" s="13" t="s">
        <v>182</v>
      </c>
      <c r="F44" s="13" t="s">
        <v>182</v>
      </c>
      <c r="G44" s="13" t="s">
        <v>55</v>
      </c>
      <c r="H44" s="13" t="s">
        <v>259</v>
      </c>
      <c r="I44" s="13" t="s">
        <v>258</v>
      </c>
      <c r="J44" s="13" t="s">
        <v>259</v>
      </c>
      <c r="K44" s="13" t="s">
        <v>133</v>
      </c>
    </row>
    <row r="45" spans="1:11">
      <c r="A45" s="13" t="s">
        <v>256</v>
      </c>
      <c r="B45" s="13" t="s">
        <v>260</v>
      </c>
      <c r="C45" s="13" t="s">
        <v>84</v>
      </c>
      <c r="D45" s="13" t="s">
        <v>547</v>
      </c>
      <c r="E45" s="13" t="s">
        <v>182</v>
      </c>
      <c r="F45" s="13" t="s">
        <v>182</v>
      </c>
      <c r="G45" s="13" t="s">
        <v>518</v>
      </c>
      <c r="H45" s="13" t="s">
        <v>96</v>
      </c>
      <c r="I45" s="13" t="s">
        <v>261</v>
      </c>
      <c r="J45" s="13" t="s">
        <v>96</v>
      </c>
      <c r="K45" s="13" t="s">
        <v>133</v>
      </c>
    </row>
    <row r="46" spans="1:11">
      <c r="A46" s="13" t="s">
        <v>256</v>
      </c>
      <c r="B46" s="13" t="s">
        <v>262</v>
      </c>
      <c r="C46" s="13" t="s">
        <v>135</v>
      </c>
      <c r="D46" s="13" t="s">
        <v>547</v>
      </c>
      <c r="E46" s="13" t="s">
        <v>182</v>
      </c>
      <c r="F46" s="13" t="s">
        <v>182</v>
      </c>
      <c r="G46" s="13" t="s">
        <v>548</v>
      </c>
      <c r="H46" s="13" t="s">
        <v>141</v>
      </c>
      <c r="I46" s="13" t="s">
        <v>263</v>
      </c>
      <c r="J46" s="13" t="s">
        <v>141</v>
      </c>
      <c r="K46" s="13" t="s">
        <v>133</v>
      </c>
    </row>
    <row r="47" spans="1:11">
      <c r="A47" s="13" t="s">
        <v>256</v>
      </c>
      <c r="B47" s="13" t="s">
        <v>264</v>
      </c>
      <c r="C47" s="13" t="s">
        <v>78</v>
      </c>
      <c r="D47" s="13" t="s">
        <v>547</v>
      </c>
      <c r="E47" s="13" t="s">
        <v>182</v>
      </c>
      <c r="F47" s="13" t="s">
        <v>182</v>
      </c>
      <c r="G47" s="13" t="s">
        <v>549</v>
      </c>
      <c r="H47" s="13" t="s">
        <v>266</v>
      </c>
      <c r="I47" s="13" t="s">
        <v>265</v>
      </c>
      <c r="J47" s="13" t="s">
        <v>266</v>
      </c>
      <c r="K47" s="13" t="s">
        <v>133</v>
      </c>
    </row>
    <row r="48" spans="1:11" ht="25.5">
      <c r="A48" s="13" t="s">
        <v>267</v>
      </c>
      <c r="B48" s="13" t="s">
        <v>268</v>
      </c>
      <c r="C48" s="13" t="s">
        <v>81</v>
      </c>
      <c r="D48" s="13" t="s">
        <v>550</v>
      </c>
      <c r="E48" s="13" t="s">
        <v>551</v>
      </c>
      <c r="F48" s="13" t="s">
        <v>182</v>
      </c>
      <c r="G48" s="13" t="s">
        <v>57</v>
      </c>
      <c r="H48" s="13" t="s">
        <v>108</v>
      </c>
      <c r="I48" s="13" t="s">
        <v>269</v>
      </c>
      <c r="J48" s="13" t="s">
        <v>108</v>
      </c>
      <c r="K48" s="13" t="s">
        <v>133</v>
      </c>
    </row>
    <row r="49" spans="1:11" ht="25.5">
      <c r="A49" s="13" t="s">
        <v>267</v>
      </c>
      <c r="B49" s="13" t="s">
        <v>270</v>
      </c>
      <c r="C49" s="13" t="s">
        <v>139</v>
      </c>
      <c r="D49" s="13" t="s">
        <v>550</v>
      </c>
      <c r="E49" s="13" t="s">
        <v>551</v>
      </c>
      <c r="F49" s="13" t="s">
        <v>182</v>
      </c>
      <c r="G49" s="13" t="s">
        <v>55</v>
      </c>
      <c r="H49" s="13" t="s">
        <v>272</v>
      </c>
      <c r="I49" s="13" t="s">
        <v>271</v>
      </c>
      <c r="J49" s="13" t="s">
        <v>272</v>
      </c>
      <c r="K49" s="13" t="s">
        <v>133</v>
      </c>
    </row>
    <row r="50" spans="1:11" ht="25.5">
      <c r="A50" s="13" t="s">
        <v>267</v>
      </c>
      <c r="B50" s="13" t="s">
        <v>273</v>
      </c>
      <c r="C50" s="13" t="s">
        <v>139</v>
      </c>
      <c r="D50" s="13" t="s">
        <v>550</v>
      </c>
      <c r="E50" s="13" t="s">
        <v>551</v>
      </c>
      <c r="F50" s="13" t="s">
        <v>182</v>
      </c>
      <c r="G50" s="13" t="s">
        <v>552</v>
      </c>
      <c r="H50" s="13" t="s">
        <v>108</v>
      </c>
      <c r="I50" s="13" t="s">
        <v>274</v>
      </c>
      <c r="J50" s="13" t="s">
        <v>275</v>
      </c>
      <c r="K50" s="13" t="s">
        <v>133</v>
      </c>
    </row>
    <row r="51" spans="1:11" ht="25.5">
      <c r="A51" s="13" t="s">
        <v>276</v>
      </c>
      <c r="B51" s="13" t="s">
        <v>277</v>
      </c>
      <c r="C51" s="13" t="s">
        <v>135</v>
      </c>
      <c r="D51" s="13" t="s">
        <v>553</v>
      </c>
      <c r="E51" s="13" t="s">
        <v>66</v>
      </c>
      <c r="F51" s="13" t="s">
        <v>182</v>
      </c>
      <c r="G51" s="13" t="s">
        <v>47</v>
      </c>
      <c r="H51" s="13" t="s">
        <v>279</v>
      </c>
      <c r="I51" s="13" t="s">
        <v>278</v>
      </c>
      <c r="J51" s="13" t="s">
        <v>279</v>
      </c>
      <c r="K51" s="13" t="s">
        <v>133</v>
      </c>
    </row>
    <row r="52" spans="1:11" ht="25.5">
      <c r="A52" s="13" t="s">
        <v>276</v>
      </c>
      <c r="B52" s="13" t="s">
        <v>280</v>
      </c>
      <c r="C52" s="13" t="s">
        <v>139</v>
      </c>
      <c r="D52" s="13" t="s">
        <v>553</v>
      </c>
      <c r="E52" s="13" t="s">
        <v>66</v>
      </c>
      <c r="F52" s="13" t="s">
        <v>182</v>
      </c>
      <c r="G52" s="13" t="s">
        <v>47</v>
      </c>
      <c r="H52" s="13" t="s">
        <v>281</v>
      </c>
      <c r="I52" s="13" t="s">
        <v>278</v>
      </c>
      <c r="J52" s="13" t="s">
        <v>281</v>
      </c>
      <c r="K52" s="13" t="s">
        <v>133</v>
      </c>
    </row>
    <row r="53" spans="1:11" ht="25.5">
      <c r="A53" s="13" t="s">
        <v>276</v>
      </c>
      <c r="B53" s="13" t="s">
        <v>282</v>
      </c>
      <c r="C53" s="13" t="s">
        <v>84</v>
      </c>
      <c r="D53" s="13" t="s">
        <v>553</v>
      </c>
      <c r="E53" s="13" t="s">
        <v>66</v>
      </c>
      <c r="F53" s="13" t="s">
        <v>182</v>
      </c>
      <c r="G53" s="13" t="s">
        <v>554</v>
      </c>
      <c r="H53" s="13" t="s">
        <v>284</v>
      </c>
      <c r="I53" s="13" t="s">
        <v>283</v>
      </c>
      <c r="J53" s="13" t="s">
        <v>284</v>
      </c>
      <c r="K53" s="13" t="s">
        <v>133</v>
      </c>
    </row>
    <row r="54" spans="1:11">
      <c r="A54" s="13" t="s">
        <v>285</v>
      </c>
      <c r="B54" s="13" t="s">
        <v>286</v>
      </c>
      <c r="C54" s="13" t="s">
        <v>135</v>
      </c>
      <c r="D54" s="13" t="s">
        <v>287</v>
      </c>
      <c r="E54" s="13" t="s">
        <v>182</v>
      </c>
      <c r="F54" s="13" t="s">
        <v>182</v>
      </c>
      <c r="G54" s="13" t="s">
        <v>182</v>
      </c>
      <c r="H54" s="13" t="s">
        <v>288</v>
      </c>
      <c r="I54" s="13" t="s">
        <v>287</v>
      </c>
      <c r="J54" s="13" t="s">
        <v>288</v>
      </c>
      <c r="K54" s="13" t="s">
        <v>133</v>
      </c>
    </row>
    <row r="55" spans="1:11" ht="25.5">
      <c r="A55" s="13" t="s">
        <v>285</v>
      </c>
      <c r="B55" s="13" t="s">
        <v>289</v>
      </c>
      <c r="C55" s="13" t="s">
        <v>135</v>
      </c>
      <c r="D55" s="13" t="s">
        <v>287</v>
      </c>
      <c r="E55" s="13" t="s">
        <v>182</v>
      </c>
      <c r="F55" s="13" t="s">
        <v>182</v>
      </c>
      <c r="G55" s="13" t="s">
        <v>60</v>
      </c>
      <c r="H55" s="13" t="s">
        <v>291</v>
      </c>
      <c r="I55" s="13" t="s">
        <v>290</v>
      </c>
      <c r="J55" s="13" t="s">
        <v>291</v>
      </c>
      <c r="K55" s="13" t="s">
        <v>133</v>
      </c>
    </row>
    <row r="56" spans="1:11" ht="25.5">
      <c r="A56" s="13" t="s">
        <v>285</v>
      </c>
      <c r="B56" s="13" t="s">
        <v>292</v>
      </c>
      <c r="C56" s="13" t="s">
        <v>78</v>
      </c>
      <c r="D56" s="13" t="s">
        <v>287</v>
      </c>
      <c r="E56" s="13" t="s">
        <v>182</v>
      </c>
      <c r="F56" s="13" t="s">
        <v>182</v>
      </c>
      <c r="G56" s="13" t="s">
        <v>555</v>
      </c>
      <c r="H56" s="13" t="s">
        <v>250</v>
      </c>
      <c r="I56" s="13" t="s">
        <v>293</v>
      </c>
      <c r="J56" s="13" t="s">
        <v>250</v>
      </c>
      <c r="K56" s="13" t="s">
        <v>133</v>
      </c>
    </row>
    <row r="57" spans="1:11" ht="25.5">
      <c r="A57" s="13" t="s">
        <v>294</v>
      </c>
      <c r="B57" s="13" t="s">
        <v>295</v>
      </c>
      <c r="C57" s="13" t="s">
        <v>139</v>
      </c>
      <c r="D57" s="13" t="s">
        <v>556</v>
      </c>
      <c r="E57" s="13" t="s">
        <v>557</v>
      </c>
      <c r="F57" s="13" t="s">
        <v>182</v>
      </c>
      <c r="G57" s="13" t="s">
        <v>57</v>
      </c>
      <c r="H57" s="13" t="s">
        <v>297</v>
      </c>
      <c r="I57" s="13" t="s">
        <v>296</v>
      </c>
      <c r="J57" s="13" t="s">
        <v>297</v>
      </c>
      <c r="K57" s="13" t="s">
        <v>133</v>
      </c>
    </row>
    <row r="58" spans="1:11" ht="38.25">
      <c r="A58" s="13" t="s">
        <v>294</v>
      </c>
      <c r="B58" s="13" t="s">
        <v>298</v>
      </c>
      <c r="C58" s="13" t="s">
        <v>135</v>
      </c>
      <c r="D58" s="13" t="s">
        <v>556</v>
      </c>
      <c r="E58" s="13" t="s">
        <v>557</v>
      </c>
      <c r="F58" s="13" t="s">
        <v>182</v>
      </c>
      <c r="G58" s="13" t="s">
        <v>558</v>
      </c>
      <c r="H58" s="13" t="s">
        <v>108</v>
      </c>
      <c r="I58" s="13" t="s">
        <v>299</v>
      </c>
      <c r="J58" s="13" t="s">
        <v>108</v>
      </c>
      <c r="K58" s="13" t="s">
        <v>133</v>
      </c>
    </row>
    <row r="59" spans="1:11" ht="38.25">
      <c r="A59" s="13" t="s">
        <v>294</v>
      </c>
      <c r="B59" s="13" t="s">
        <v>300</v>
      </c>
      <c r="C59" s="13" t="s">
        <v>135</v>
      </c>
      <c r="D59" s="13" t="s">
        <v>556</v>
      </c>
      <c r="E59" s="13" t="s">
        <v>557</v>
      </c>
      <c r="F59" s="13" t="s">
        <v>182</v>
      </c>
      <c r="G59" s="13" t="s">
        <v>559</v>
      </c>
      <c r="H59" s="13" t="s">
        <v>302</v>
      </c>
      <c r="I59" s="13" t="s">
        <v>301</v>
      </c>
      <c r="J59" s="13" t="s">
        <v>302</v>
      </c>
      <c r="K59" s="13" t="s">
        <v>133</v>
      </c>
    </row>
    <row r="60" spans="1:11" ht="25.5">
      <c r="A60" s="13" t="s">
        <v>303</v>
      </c>
      <c r="B60" s="13" t="s">
        <v>304</v>
      </c>
      <c r="C60" s="13" t="s">
        <v>81</v>
      </c>
      <c r="D60" s="13" t="s">
        <v>560</v>
      </c>
      <c r="E60" s="13" t="s">
        <v>182</v>
      </c>
      <c r="F60" s="13" t="s">
        <v>182</v>
      </c>
      <c r="G60" s="13" t="s">
        <v>561</v>
      </c>
      <c r="H60" s="13" t="s">
        <v>182</v>
      </c>
      <c r="I60" s="13" t="s">
        <v>305</v>
      </c>
      <c r="J60" s="13" t="s">
        <v>182</v>
      </c>
      <c r="K60" s="13" t="s">
        <v>133</v>
      </c>
    </row>
    <row r="61" spans="1:11" ht="25.5">
      <c r="A61" s="13" t="s">
        <v>303</v>
      </c>
      <c r="B61" s="13" t="s">
        <v>306</v>
      </c>
      <c r="C61" s="13" t="s">
        <v>139</v>
      </c>
      <c r="D61" s="13" t="s">
        <v>560</v>
      </c>
      <c r="E61" s="13" t="s">
        <v>182</v>
      </c>
      <c r="F61" s="13" t="s">
        <v>182</v>
      </c>
      <c r="G61" s="13" t="s">
        <v>61</v>
      </c>
      <c r="H61" s="13" t="s">
        <v>308</v>
      </c>
      <c r="I61" s="13" t="s">
        <v>307</v>
      </c>
      <c r="J61" s="13" t="s">
        <v>308</v>
      </c>
      <c r="K61" s="13" t="s">
        <v>133</v>
      </c>
    </row>
    <row r="62" spans="1:11" ht="25.5">
      <c r="A62" s="13" t="s">
        <v>303</v>
      </c>
      <c r="B62" s="13" t="s">
        <v>309</v>
      </c>
      <c r="C62" s="13" t="s">
        <v>139</v>
      </c>
      <c r="D62" s="13" t="s">
        <v>560</v>
      </c>
      <c r="E62" s="13" t="s">
        <v>182</v>
      </c>
      <c r="F62" s="13" t="s">
        <v>182</v>
      </c>
      <c r="G62" s="13" t="s">
        <v>562</v>
      </c>
      <c r="H62" s="13" t="s">
        <v>311</v>
      </c>
      <c r="I62" s="13" t="s">
        <v>310</v>
      </c>
      <c r="J62" s="13" t="s">
        <v>311</v>
      </c>
      <c r="K62" s="13" t="s">
        <v>133</v>
      </c>
    </row>
    <row r="63" spans="1:11" ht="25.5">
      <c r="A63" s="13" t="s">
        <v>312</v>
      </c>
      <c r="B63" s="13" t="s">
        <v>313</v>
      </c>
      <c r="C63" s="13" t="s">
        <v>139</v>
      </c>
      <c r="D63" s="13" t="s">
        <v>563</v>
      </c>
      <c r="E63" s="13" t="s">
        <v>63</v>
      </c>
      <c r="F63" s="13" t="s">
        <v>182</v>
      </c>
      <c r="G63" s="13" t="s">
        <v>61</v>
      </c>
      <c r="H63" s="13" t="s">
        <v>315</v>
      </c>
      <c r="I63" s="13" t="s">
        <v>314</v>
      </c>
      <c r="J63" s="13" t="s">
        <v>315</v>
      </c>
      <c r="K63" s="13" t="s">
        <v>133</v>
      </c>
    </row>
    <row r="64" spans="1:11" ht="25.5">
      <c r="A64" s="13" t="s">
        <v>312</v>
      </c>
      <c r="B64" s="13" t="s">
        <v>316</v>
      </c>
      <c r="C64" s="13" t="s">
        <v>139</v>
      </c>
      <c r="D64" s="13" t="s">
        <v>563</v>
      </c>
      <c r="E64" s="13" t="s">
        <v>63</v>
      </c>
      <c r="F64" s="13" t="s">
        <v>182</v>
      </c>
      <c r="G64" s="13" t="s">
        <v>55</v>
      </c>
      <c r="H64" s="13" t="s">
        <v>318</v>
      </c>
      <c r="I64" s="13" t="s">
        <v>317</v>
      </c>
      <c r="J64" s="13" t="s">
        <v>318</v>
      </c>
      <c r="K64" s="13" t="s">
        <v>133</v>
      </c>
    </row>
    <row r="65" spans="1:11" ht="25.5">
      <c r="A65" s="13" t="s">
        <v>312</v>
      </c>
      <c r="B65" s="13" t="s">
        <v>319</v>
      </c>
      <c r="C65" s="13" t="s">
        <v>139</v>
      </c>
      <c r="D65" s="13" t="s">
        <v>563</v>
      </c>
      <c r="E65" s="13" t="s">
        <v>63</v>
      </c>
      <c r="F65" s="13" t="s">
        <v>182</v>
      </c>
      <c r="G65" s="13" t="s">
        <v>552</v>
      </c>
      <c r="H65" s="13" t="s">
        <v>315</v>
      </c>
      <c r="I65" s="13" t="s">
        <v>320</v>
      </c>
      <c r="J65" s="13" t="s">
        <v>321</v>
      </c>
      <c r="K65" s="13" t="s">
        <v>133</v>
      </c>
    </row>
    <row r="66" spans="1:11">
      <c r="A66" s="13" t="s">
        <v>322</v>
      </c>
      <c r="B66" s="13" t="s">
        <v>323</v>
      </c>
      <c r="C66" s="13" t="s">
        <v>135</v>
      </c>
      <c r="D66" s="13" t="s">
        <v>564</v>
      </c>
      <c r="E66" s="13" t="s">
        <v>63</v>
      </c>
      <c r="F66" s="13" t="s">
        <v>182</v>
      </c>
      <c r="G66" s="13" t="s">
        <v>197</v>
      </c>
      <c r="H66" s="13" t="s">
        <v>99</v>
      </c>
      <c r="I66" s="13" t="s">
        <v>324</v>
      </c>
      <c r="J66" s="13" t="s">
        <v>325</v>
      </c>
      <c r="K66" s="13" t="s">
        <v>133</v>
      </c>
    </row>
    <row r="67" spans="1:11" ht="25.5">
      <c r="A67" s="13" t="s">
        <v>322</v>
      </c>
      <c r="B67" s="13" t="s">
        <v>326</v>
      </c>
      <c r="C67" s="13" t="s">
        <v>81</v>
      </c>
      <c r="D67" s="13" t="s">
        <v>564</v>
      </c>
      <c r="E67" s="13" t="s">
        <v>63</v>
      </c>
      <c r="F67" s="13" t="s">
        <v>182</v>
      </c>
      <c r="G67" s="13" t="s">
        <v>565</v>
      </c>
      <c r="H67" s="13" t="s">
        <v>109</v>
      </c>
      <c r="I67" s="13" t="s">
        <v>327</v>
      </c>
      <c r="J67" s="13" t="s">
        <v>109</v>
      </c>
      <c r="K67" s="13" t="s">
        <v>133</v>
      </c>
    </row>
    <row r="68" spans="1:11" ht="25.5">
      <c r="A68" s="13" t="s">
        <v>322</v>
      </c>
      <c r="B68" s="13" t="s">
        <v>328</v>
      </c>
      <c r="C68" s="13" t="s">
        <v>78</v>
      </c>
      <c r="D68" s="13" t="s">
        <v>564</v>
      </c>
      <c r="E68" s="13" t="s">
        <v>63</v>
      </c>
      <c r="F68" s="13" t="s">
        <v>182</v>
      </c>
      <c r="G68" s="13" t="s">
        <v>77</v>
      </c>
      <c r="H68" s="13" t="s">
        <v>330</v>
      </c>
      <c r="I68" s="13" t="s">
        <v>329</v>
      </c>
      <c r="J68" s="13" t="s">
        <v>330</v>
      </c>
      <c r="K68" s="13" t="s">
        <v>133</v>
      </c>
    </row>
    <row r="69" spans="1:11">
      <c r="A69" s="13" t="s">
        <v>322</v>
      </c>
      <c r="B69" s="13" t="s">
        <v>331</v>
      </c>
      <c r="C69" s="13" t="s">
        <v>139</v>
      </c>
      <c r="D69" s="13" t="s">
        <v>564</v>
      </c>
      <c r="E69" s="13" t="s">
        <v>63</v>
      </c>
      <c r="F69" s="13" t="s">
        <v>182</v>
      </c>
      <c r="G69" s="13" t="s">
        <v>55</v>
      </c>
      <c r="H69" s="13" t="s">
        <v>333</v>
      </c>
      <c r="I69" s="13" t="s">
        <v>332</v>
      </c>
      <c r="J69" s="13" t="s">
        <v>333</v>
      </c>
      <c r="K69" s="13" t="s">
        <v>133</v>
      </c>
    </row>
    <row r="70" spans="1:11" ht="25.5">
      <c r="A70" s="13" t="s">
        <v>334</v>
      </c>
      <c r="B70" s="13" t="s">
        <v>335</v>
      </c>
      <c r="C70" s="13" t="s">
        <v>139</v>
      </c>
      <c r="D70" s="13" t="s">
        <v>566</v>
      </c>
      <c r="E70" s="13" t="s">
        <v>182</v>
      </c>
      <c r="F70" s="13" t="s">
        <v>182</v>
      </c>
      <c r="G70" s="13" t="s">
        <v>46</v>
      </c>
      <c r="H70" s="13" t="s">
        <v>105</v>
      </c>
      <c r="I70" s="13" t="s">
        <v>336</v>
      </c>
      <c r="J70" s="13" t="s">
        <v>105</v>
      </c>
      <c r="K70" s="13" t="s">
        <v>133</v>
      </c>
    </row>
    <row r="71" spans="1:11" ht="25.5">
      <c r="A71" s="13" t="s">
        <v>334</v>
      </c>
      <c r="B71" s="13" t="s">
        <v>337</v>
      </c>
      <c r="C71" s="13" t="s">
        <v>139</v>
      </c>
      <c r="D71" s="13" t="s">
        <v>566</v>
      </c>
      <c r="E71" s="13" t="s">
        <v>182</v>
      </c>
      <c r="F71" s="13" t="s">
        <v>182</v>
      </c>
      <c r="G71" s="13" t="s">
        <v>47</v>
      </c>
      <c r="H71" s="13" t="s">
        <v>97</v>
      </c>
      <c r="I71" s="13" t="s">
        <v>338</v>
      </c>
      <c r="J71" s="13" t="s">
        <v>97</v>
      </c>
      <c r="K71" s="13" t="s">
        <v>133</v>
      </c>
    </row>
    <row r="72" spans="1:11" ht="25.5">
      <c r="A72" s="13" t="s">
        <v>334</v>
      </c>
      <c r="B72" s="13" t="s">
        <v>339</v>
      </c>
      <c r="C72" s="13" t="s">
        <v>81</v>
      </c>
      <c r="D72" s="13" t="s">
        <v>566</v>
      </c>
      <c r="E72" s="13" t="s">
        <v>182</v>
      </c>
      <c r="F72" s="13" t="s">
        <v>182</v>
      </c>
      <c r="G72" s="13" t="s">
        <v>567</v>
      </c>
      <c r="H72" s="13" t="s">
        <v>182</v>
      </c>
      <c r="I72" s="13" t="s">
        <v>340</v>
      </c>
      <c r="J72" s="13" t="s">
        <v>182</v>
      </c>
      <c r="K72" s="13" t="s">
        <v>133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61"/>
  <sheetViews>
    <sheetView workbookViewId="0">
      <selection sqref="A1:J1"/>
    </sheetView>
  </sheetViews>
  <sheetFormatPr defaultRowHeight="14.25"/>
  <cols>
    <col min="1" max="1" width="20" customWidth="1"/>
    <col min="2" max="2" width="32" customWidth="1"/>
    <col min="3" max="3" width="28" customWidth="1"/>
    <col min="4" max="4" width="12" customWidth="1"/>
    <col min="5" max="5" width="15" customWidth="1"/>
    <col min="6" max="6" width="18" customWidth="1"/>
    <col min="7" max="7" width="22" customWidth="1"/>
    <col min="8" max="8" width="17" customWidth="1"/>
    <col min="9" max="9" width="30" customWidth="1"/>
    <col min="10" max="10" width="35" customWidth="1"/>
  </cols>
  <sheetData>
    <row r="1" spans="1:10" ht="27.95" customHeight="1">
      <c r="A1" s="118" t="s">
        <v>568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0" ht="27.95" customHeight="1">
      <c r="A2" s="2" t="s">
        <v>569</v>
      </c>
      <c r="B2" s="2" t="s">
        <v>570</v>
      </c>
      <c r="C2" s="2" t="s">
        <v>571</v>
      </c>
      <c r="D2" s="2" t="s">
        <v>572</v>
      </c>
      <c r="E2" s="2" t="s">
        <v>573</v>
      </c>
      <c r="F2" s="2" t="s">
        <v>23</v>
      </c>
      <c r="G2" s="2" t="s">
        <v>24</v>
      </c>
      <c r="H2" s="2" t="s">
        <v>25</v>
      </c>
      <c r="I2" s="2" t="s">
        <v>574</v>
      </c>
      <c r="J2" s="2" t="s">
        <v>575</v>
      </c>
    </row>
    <row r="3" spans="1:10" ht="25.5">
      <c r="A3" s="13" t="s">
        <v>36</v>
      </c>
      <c r="B3" s="13" t="s">
        <v>43</v>
      </c>
      <c r="C3" s="13" t="s">
        <v>363</v>
      </c>
      <c r="D3" s="13" t="s">
        <v>23</v>
      </c>
      <c r="E3" s="13" t="s">
        <v>576</v>
      </c>
      <c r="F3" s="13" t="s">
        <v>130</v>
      </c>
      <c r="G3" s="13" t="s">
        <v>131</v>
      </c>
      <c r="H3" s="13" t="s">
        <v>84</v>
      </c>
      <c r="I3" s="13" t="s">
        <v>363</v>
      </c>
      <c r="J3" s="13" t="s">
        <v>577</v>
      </c>
    </row>
    <row r="4" spans="1:10" ht="25.5">
      <c r="A4" s="13" t="s">
        <v>36</v>
      </c>
      <c r="B4" s="13" t="s">
        <v>44</v>
      </c>
      <c r="C4" s="13" t="s">
        <v>366</v>
      </c>
      <c r="D4" s="13" t="s">
        <v>23</v>
      </c>
      <c r="E4" s="13" t="s">
        <v>576</v>
      </c>
      <c r="F4" s="13" t="s">
        <v>130</v>
      </c>
      <c r="G4" s="13" t="s">
        <v>131</v>
      </c>
      <c r="H4" s="13" t="s">
        <v>84</v>
      </c>
      <c r="I4" s="13" t="s">
        <v>366</v>
      </c>
      <c r="J4" s="13" t="s">
        <v>577</v>
      </c>
    </row>
    <row r="5" spans="1:10" ht="25.5">
      <c r="A5" s="13" t="s">
        <v>36</v>
      </c>
      <c r="B5" s="13" t="s">
        <v>45</v>
      </c>
      <c r="C5" s="13" t="s">
        <v>369</v>
      </c>
      <c r="D5" s="13" t="s">
        <v>23</v>
      </c>
      <c r="E5" s="13" t="s">
        <v>576</v>
      </c>
      <c r="F5" s="13" t="s">
        <v>130</v>
      </c>
      <c r="G5" s="13" t="s">
        <v>131</v>
      </c>
      <c r="H5" s="13" t="s">
        <v>84</v>
      </c>
      <c r="I5" s="13" t="s">
        <v>369</v>
      </c>
      <c r="J5" s="13" t="s">
        <v>577</v>
      </c>
    </row>
    <row r="6" spans="1:10" ht="25.5">
      <c r="A6" s="13" t="s">
        <v>59</v>
      </c>
      <c r="B6" s="13" t="s">
        <v>83</v>
      </c>
      <c r="C6" s="13" t="s">
        <v>83</v>
      </c>
      <c r="D6" s="13" t="s">
        <v>23</v>
      </c>
      <c r="E6" s="13" t="s">
        <v>576</v>
      </c>
      <c r="F6" s="13" t="s">
        <v>130</v>
      </c>
      <c r="G6" s="13" t="s">
        <v>131</v>
      </c>
      <c r="H6" s="13" t="s">
        <v>84</v>
      </c>
      <c r="I6" s="13" t="s">
        <v>578</v>
      </c>
      <c r="J6" s="13" t="s">
        <v>577</v>
      </c>
    </row>
    <row r="7" spans="1:10" ht="25.5">
      <c r="A7" s="13" t="s">
        <v>59</v>
      </c>
      <c r="B7" s="13" t="s">
        <v>91</v>
      </c>
      <c r="C7" s="13" t="s">
        <v>444</v>
      </c>
      <c r="D7" s="13" t="s">
        <v>579</v>
      </c>
      <c r="E7" s="13" t="s">
        <v>580</v>
      </c>
      <c r="F7" s="13" t="s">
        <v>130</v>
      </c>
      <c r="G7" s="13" t="s">
        <v>131</v>
      </c>
      <c r="H7" s="13" t="s">
        <v>84</v>
      </c>
      <c r="I7" s="13" t="s">
        <v>444</v>
      </c>
      <c r="J7" s="13" t="s">
        <v>577</v>
      </c>
    </row>
    <row r="8" spans="1:10" ht="25.5">
      <c r="A8" s="13" t="s">
        <v>59</v>
      </c>
      <c r="B8" s="13" t="s">
        <v>93</v>
      </c>
      <c r="C8" s="13" t="s">
        <v>450</v>
      </c>
      <c r="D8" s="13" t="s">
        <v>579</v>
      </c>
      <c r="E8" s="13" t="s">
        <v>580</v>
      </c>
      <c r="F8" s="13" t="s">
        <v>130</v>
      </c>
      <c r="G8" s="13" t="s">
        <v>131</v>
      </c>
      <c r="H8" s="13" t="s">
        <v>84</v>
      </c>
      <c r="I8" s="13" t="s">
        <v>450</v>
      </c>
      <c r="J8" s="13" t="s">
        <v>577</v>
      </c>
    </row>
    <row r="9" spans="1:10" ht="25.5">
      <c r="A9" s="13" t="s">
        <v>98</v>
      </c>
      <c r="B9" s="13" t="s">
        <v>102</v>
      </c>
      <c r="C9" s="13" t="s">
        <v>472</v>
      </c>
      <c r="D9" s="13" t="s">
        <v>579</v>
      </c>
      <c r="E9" s="13" t="s">
        <v>580</v>
      </c>
      <c r="F9" s="13" t="s">
        <v>130</v>
      </c>
      <c r="G9" s="13" t="s">
        <v>131</v>
      </c>
      <c r="H9" s="13" t="s">
        <v>84</v>
      </c>
      <c r="I9" s="13" t="s">
        <v>472</v>
      </c>
      <c r="J9" s="13" t="s">
        <v>577</v>
      </c>
    </row>
    <row r="10" spans="1:10" ht="25.5">
      <c r="A10" s="13" t="s">
        <v>36</v>
      </c>
      <c r="B10" s="13" t="s">
        <v>43</v>
      </c>
      <c r="C10" s="13" t="s">
        <v>363</v>
      </c>
      <c r="D10" s="13" t="s">
        <v>23</v>
      </c>
      <c r="E10" s="13" t="s">
        <v>576</v>
      </c>
      <c r="F10" s="13" t="s">
        <v>130</v>
      </c>
      <c r="G10" s="13" t="s">
        <v>134</v>
      </c>
      <c r="H10" s="13" t="s">
        <v>135</v>
      </c>
      <c r="I10" s="13" t="s">
        <v>363</v>
      </c>
      <c r="J10" s="13" t="s">
        <v>577</v>
      </c>
    </row>
    <row r="11" spans="1:10" ht="25.5">
      <c r="A11" s="13" t="s">
        <v>36</v>
      </c>
      <c r="B11" s="13" t="s">
        <v>44</v>
      </c>
      <c r="C11" s="13" t="s">
        <v>366</v>
      </c>
      <c r="D11" s="13" t="s">
        <v>23</v>
      </c>
      <c r="E11" s="13" t="s">
        <v>576</v>
      </c>
      <c r="F11" s="13" t="s">
        <v>130</v>
      </c>
      <c r="G11" s="13" t="s">
        <v>134</v>
      </c>
      <c r="H11" s="13" t="s">
        <v>135</v>
      </c>
      <c r="I11" s="13" t="s">
        <v>366</v>
      </c>
      <c r="J11" s="13" t="s">
        <v>577</v>
      </c>
    </row>
    <row r="12" spans="1:10" ht="25.5">
      <c r="A12" s="13" t="s">
        <v>36</v>
      </c>
      <c r="B12" s="13" t="s">
        <v>45</v>
      </c>
      <c r="C12" s="13" t="s">
        <v>369</v>
      </c>
      <c r="D12" s="13" t="s">
        <v>23</v>
      </c>
      <c r="E12" s="13" t="s">
        <v>576</v>
      </c>
      <c r="F12" s="13" t="s">
        <v>130</v>
      </c>
      <c r="G12" s="13" t="s">
        <v>134</v>
      </c>
      <c r="H12" s="13" t="s">
        <v>135</v>
      </c>
      <c r="I12" s="13" t="s">
        <v>369</v>
      </c>
      <c r="J12" s="13" t="s">
        <v>577</v>
      </c>
    </row>
    <row r="13" spans="1:10" ht="25.5">
      <c r="A13" s="13" t="s">
        <v>59</v>
      </c>
      <c r="B13" s="13" t="s">
        <v>83</v>
      </c>
      <c r="C13" s="13" t="s">
        <v>83</v>
      </c>
      <c r="D13" s="13" t="s">
        <v>23</v>
      </c>
      <c r="E13" s="13" t="s">
        <v>576</v>
      </c>
      <c r="F13" s="13" t="s">
        <v>130</v>
      </c>
      <c r="G13" s="13" t="s">
        <v>134</v>
      </c>
      <c r="H13" s="13" t="s">
        <v>135</v>
      </c>
      <c r="I13" s="13" t="s">
        <v>578</v>
      </c>
      <c r="J13" s="13" t="s">
        <v>577</v>
      </c>
    </row>
    <row r="14" spans="1:10" ht="25.5">
      <c r="A14" s="13" t="s">
        <v>36</v>
      </c>
      <c r="B14" s="13" t="s">
        <v>46</v>
      </c>
      <c r="C14" s="13" t="s">
        <v>373</v>
      </c>
      <c r="D14" s="13" t="s">
        <v>579</v>
      </c>
      <c r="E14" s="13" t="s">
        <v>580</v>
      </c>
      <c r="F14" s="13" t="s">
        <v>130</v>
      </c>
      <c r="G14" s="13" t="s">
        <v>134</v>
      </c>
      <c r="H14" s="13" t="s">
        <v>135</v>
      </c>
      <c r="I14" s="13" t="s">
        <v>373</v>
      </c>
      <c r="J14" s="13" t="s">
        <v>577</v>
      </c>
    </row>
    <row r="15" spans="1:10" ht="25.5">
      <c r="A15" s="13" t="s">
        <v>94</v>
      </c>
      <c r="B15" s="13" t="s">
        <v>95</v>
      </c>
      <c r="C15" s="13" t="s">
        <v>453</v>
      </c>
      <c r="D15" s="13" t="s">
        <v>579</v>
      </c>
      <c r="E15" s="13" t="s">
        <v>581</v>
      </c>
      <c r="F15" s="13" t="s">
        <v>130</v>
      </c>
      <c r="G15" s="13" t="s">
        <v>134</v>
      </c>
      <c r="H15" s="13" t="s">
        <v>135</v>
      </c>
      <c r="I15" s="13" t="s">
        <v>453</v>
      </c>
      <c r="J15" s="13" t="s">
        <v>577</v>
      </c>
    </row>
    <row r="16" spans="1:10" ht="25.5">
      <c r="A16" s="13" t="s">
        <v>94</v>
      </c>
      <c r="B16" s="13" t="s">
        <v>96</v>
      </c>
      <c r="C16" s="13" t="s">
        <v>456</v>
      </c>
      <c r="D16" s="13" t="s">
        <v>579</v>
      </c>
      <c r="E16" s="13" t="s">
        <v>581</v>
      </c>
      <c r="F16" s="13" t="s">
        <v>130</v>
      </c>
      <c r="G16" s="13" t="s">
        <v>134</v>
      </c>
      <c r="H16" s="13" t="s">
        <v>135</v>
      </c>
      <c r="I16" s="13" t="s">
        <v>456</v>
      </c>
      <c r="J16" s="13" t="s">
        <v>577</v>
      </c>
    </row>
    <row r="17" spans="1:10" ht="25.5">
      <c r="A17" s="13" t="s">
        <v>94</v>
      </c>
      <c r="B17" s="13" t="s">
        <v>97</v>
      </c>
      <c r="C17" s="13" t="s">
        <v>459</v>
      </c>
      <c r="D17" s="13" t="s">
        <v>579</v>
      </c>
      <c r="E17" s="13" t="s">
        <v>581</v>
      </c>
      <c r="F17" s="13" t="s">
        <v>130</v>
      </c>
      <c r="G17" s="13" t="s">
        <v>134</v>
      </c>
      <c r="H17" s="13" t="s">
        <v>135</v>
      </c>
      <c r="I17" s="13" t="s">
        <v>459</v>
      </c>
      <c r="J17" s="13" t="s">
        <v>577</v>
      </c>
    </row>
    <row r="18" spans="1:10" ht="25.5">
      <c r="A18" s="13" t="s">
        <v>36</v>
      </c>
      <c r="B18" s="13" t="s">
        <v>43</v>
      </c>
      <c r="C18" s="13" t="s">
        <v>363</v>
      </c>
      <c r="D18" s="13" t="s">
        <v>23</v>
      </c>
      <c r="E18" s="13" t="s">
        <v>576</v>
      </c>
      <c r="F18" s="13" t="s">
        <v>130</v>
      </c>
      <c r="G18" s="13" t="s">
        <v>138</v>
      </c>
      <c r="H18" s="13" t="s">
        <v>139</v>
      </c>
      <c r="I18" s="13" t="s">
        <v>363</v>
      </c>
      <c r="J18" s="13" t="s">
        <v>577</v>
      </c>
    </row>
    <row r="19" spans="1:10" ht="25.5">
      <c r="A19" s="13" t="s">
        <v>36</v>
      </c>
      <c r="B19" s="13" t="s">
        <v>44</v>
      </c>
      <c r="C19" s="13" t="s">
        <v>366</v>
      </c>
      <c r="D19" s="13" t="s">
        <v>23</v>
      </c>
      <c r="E19" s="13" t="s">
        <v>576</v>
      </c>
      <c r="F19" s="13" t="s">
        <v>130</v>
      </c>
      <c r="G19" s="13" t="s">
        <v>138</v>
      </c>
      <c r="H19" s="13" t="s">
        <v>139</v>
      </c>
      <c r="I19" s="13" t="s">
        <v>366</v>
      </c>
      <c r="J19" s="13" t="s">
        <v>577</v>
      </c>
    </row>
    <row r="20" spans="1:10" ht="25.5">
      <c r="A20" s="13" t="s">
        <v>36</v>
      </c>
      <c r="B20" s="13" t="s">
        <v>45</v>
      </c>
      <c r="C20" s="13" t="s">
        <v>369</v>
      </c>
      <c r="D20" s="13" t="s">
        <v>23</v>
      </c>
      <c r="E20" s="13" t="s">
        <v>576</v>
      </c>
      <c r="F20" s="13" t="s">
        <v>130</v>
      </c>
      <c r="G20" s="13" t="s">
        <v>138</v>
      </c>
      <c r="H20" s="13" t="s">
        <v>139</v>
      </c>
      <c r="I20" s="13" t="s">
        <v>369</v>
      </c>
      <c r="J20" s="13" t="s">
        <v>577</v>
      </c>
    </row>
    <row r="21" spans="1:10" ht="25.5">
      <c r="A21" s="13" t="s">
        <v>59</v>
      </c>
      <c r="B21" s="13" t="s">
        <v>83</v>
      </c>
      <c r="C21" s="13" t="s">
        <v>83</v>
      </c>
      <c r="D21" s="13" t="s">
        <v>23</v>
      </c>
      <c r="E21" s="13" t="s">
        <v>576</v>
      </c>
      <c r="F21" s="13" t="s">
        <v>130</v>
      </c>
      <c r="G21" s="13" t="s">
        <v>138</v>
      </c>
      <c r="H21" s="13" t="s">
        <v>139</v>
      </c>
      <c r="I21" s="13" t="s">
        <v>578</v>
      </c>
      <c r="J21" s="13" t="s">
        <v>577</v>
      </c>
    </row>
    <row r="22" spans="1:10" ht="25.5">
      <c r="A22" s="13" t="s">
        <v>59</v>
      </c>
      <c r="B22" s="13" t="s">
        <v>60</v>
      </c>
      <c r="C22" s="13" t="s">
        <v>401</v>
      </c>
      <c r="D22" s="13" t="s">
        <v>579</v>
      </c>
      <c r="E22" s="13" t="s">
        <v>580</v>
      </c>
      <c r="F22" s="13" t="s">
        <v>130</v>
      </c>
      <c r="G22" s="13" t="s">
        <v>138</v>
      </c>
      <c r="H22" s="13" t="s">
        <v>139</v>
      </c>
      <c r="I22" s="13" t="s">
        <v>401</v>
      </c>
      <c r="J22" s="13" t="s">
        <v>577</v>
      </c>
    </row>
    <row r="23" spans="1:10" ht="25.5">
      <c r="A23" s="13" t="s">
        <v>36</v>
      </c>
      <c r="B23" s="13" t="s">
        <v>46</v>
      </c>
      <c r="C23" s="13" t="s">
        <v>373</v>
      </c>
      <c r="D23" s="13" t="s">
        <v>579</v>
      </c>
      <c r="E23" s="13" t="s">
        <v>580</v>
      </c>
      <c r="F23" s="13" t="s">
        <v>130</v>
      </c>
      <c r="G23" s="13" t="s">
        <v>138</v>
      </c>
      <c r="H23" s="13" t="s">
        <v>139</v>
      </c>
      <c r="I23" s="13" t="s">
        <v>373</v>
      </c>
      <c r="J23" s="13" t="s">
        <v>577</v>
      </c>
    </row>
    <row r="24" spans="1:10" ht="25.5">
      <c r="A24" s="13" t="s">
        <v>94</v>
      </c>
      <c r="B24" s="13" t="s">
        <v>96</v>
      </c>
      <c r="C24" s="13" t="s">
        <v>456</v>
      </c>
      <c r="D24" s="13" t="s">
        <v>579</v>
      </c>
      <c r="E24" s="13" t="s">
        <v>581</v>
      </c>
      <c r="F24" s="13" t="s">
        <v>130</v>
      </c>
      <c r="G24" s="13" t="s">
        <v>138</v>
      </c>
      <c r="H24" s="13" t="s">
        <v>139</v>
      </c>
      <c r="I24" s="13" t="s">
        <v>456</v>
      </c>
      <c r="J24" s="13" t="s">
        <v>577</v>
      </c>
    </row>
    <row r="25" spans="1:10" ht="25.5">
      <c r="A25" s="13" t="s">
        <v>104</v>
      </c>
      <c r="B25" s="13" t="s">
        <v>108</v>
      </c>
      <c r="C25" s="13" t="s">
        <v>483</v>
      </c>
      <c r="D25" s="13" t="s">
        <v>579</v>
      </c>
      <c r="E25" s="13" t="s">
        <v>581</v>
      </c>
      <c r="F25" s="13" t="s">
        <v>130</v>
      </c>
      <c r="G25" s="13" t="s">
        <v>138</v>
      </c>
      <c r="H25" s="13" t="s">
        <v>139</v>
      </c>
      <c r="I25" s="13" t="s">
        <v>483</v>
      </c>
      <c r="J25" s="13" t="s">
        <v>577</v>
      </c>
    </row>
    <row r="26" spans="1:10" ht="25.5">
      <c r="A26" s="13" t="s">
        <v>59</v>
      </c>
      <c r="B26" s="13" t="s">
        <v>62</v>
      </c>
      <c r="C26" s="13" t="s">
        <v>407</v>
      </c>
      <c r="D26" s="13" t="s">
        <v>23</v>
      </c>
      <c r="E26" s="13" t="s">
        <v>576</v>
      </c>
      <c r="F26" s="13" t="s">
        <v>142</v>
      </c>
      <c r="G26" s="13" t="s">
        <v>143</v>
      </c>
      <c r="H26" s="13" t="s">
        <v>139</v>
      </c>
      <c r="I26" s="13" t="s">
        <v>407</v>
      </c>
      <c r="J26" s="13" t="s">
        <v>577</v>
      </c>
    </row>
    <row r="27" spans="1:10" ht="25.5">
      <c r="A27" s="13" t="s">
        <v>49</v>
      </c>
      <c r="B27" s="13" t="s">
        <v>50</v>
      </c>
      <c r="C27" s="13" t="s">
        <v>379</v>
      </c>
      <c r="D27" s="13" t="s">
        <v>23</v>
      </c>
      <c r="E27" s="13" t="s">
        <v>576</v>
      </c>
      <c r="F27" s="13" t="s">
        <v>142</v>
      </c>
      <c r="G27" s="13" t="s">
        <v>143</v>
      </c>
      <c r="H27" s="13" t="s">
        <v>139</v>
      </c>
      <c r="I27" s="13" t="s">
        <v>379</v>
      </c>
      <c r="J27" s="13" t="s">
        <v>577</v>
      </c>
    </row>
    <row r="28" spans="1:10" ht="25.5">
      <c r="A28" s="13" t="s">
        <v>49</v>
      </c>
      <c r="B28" s="13" t="s">
        <v>53</v>
      </c>
      <c r="C28" s="13" t="s">
        <v>382</v>
      </c>
      <c r="D28" s="13" t="s">
        <v>23</v>
      </c>
      <c r="E28" s="13" t="s">
        <v>576</v>
      </c>
      <c r="F28" s="13" t="s">
        <v>142</v>
      </c>
      <c r="G28" s="13" t="s">
        <v>143</v>
      </c>
      <c r="H28" s="13" t="s">
        <v>139</v>
      </c>
      <c r="I28" s="13" t="s">
        <v>382</v>
      </c>
      <c r="J28" s="13" t="s">
        <v>577</v>
      </c>
    </row>
    <row r="29" spans="1:10" ht="25.5">
      <c r="A29" s="13" t="s">
        <v>49</v>
      </c>
      <c r="B29" s="13" t="s">
        <v>56</v>
      </c>
      <c r="C29" s="13" t="s">
        <v>392</v>
      </c>
      <c r="D29" s="13" t="s">
        <v>23</v>
      </c>
      <c r="E29" s="13" t="s">
        <v>576</v>
      </c>
      <c r="F29" s="13" t="s">
        <v>142</v>
      </c>
      <c r="G29" s="13" t="s">
        <v>143</v>
      </c>
      <c r="H29" s="13" t="s">
        <v>139</v>
      </c>
      <c r="I29" s="13" t="s">
        <v>392</v>
      </c>
      <c r="J29" s="13" t="s">
        <v>577</v>
      </c>
    </row>
    <row r="30" spans="1:10" ht="25.5">
      <c r="A30" s="13" t="s">
        <v>59</v>
      </c>
      <c r="B30" s="13" t="s">
        <v>72</v>
      </c>
      <c r="C30" s="13" t="s">
        <v>426</v>
      </c>
      <c r="D30" s="13" t="s">
        <v>23</v>
      </c>
      <c r="E30" s="13" t="s">
        <v>576</v>
      </c>
      <c r="F30" s="13" t="s">
        <v>142</v>
      </c>
      <c r="G30" s="13" t="s">
        <v>143</v>
      </c>
      <c r="H30" s="13" t="s">
        <v>139</v>
      </c>
      <c r="I30" s="13" t="s">
        <v>426</v>
      </c>
      <c r="J30" s="13" t="s">
        <v>577</v>
      </c>
    </row>
    <row r="31" spans="1:10" ht="25.5">
      <c r="A31" s="13" t="s">
        <v>104</v>
      </c>
      <c r="B31" s="13" t="s">
        <v>109</v>
      </c>
      <c r="C31" s="13" t="s">
        <v>486</v>
      </c>
      <c r="D31" s="13" t="s">
        <v>23</v>
      </c>
      <c r="E31" s="13" t="s">
        <v>582</v>
      </c>
      <c r="F31" s="13" t="s">
        <v>142</v>
      </c>
      <c r="G31" s="13" t="s">
        <v>143</v>
      </c>
      <c r="H31" s="13" t="s">
        <v>139</v>
      </c>
      <c r="I31" s="13" t="s">
        <v>486</v>
      </c>
      <c r="J31" s="13" t="s">
        <v>577</v>
      </c>
    </row>
    <row r="32" spans="1:10" ht="25.5">
      <c r="A32" s="13" t="s">
        <v>36</v>
      </c>
      <c r="B32" s="13" t="s">
        <v>47</v>
      </c>
      <c r="C32" s="13" t="s">
        <v>376</v>
      </c>
      <c r="D32" s="13" t="s">
        <v>579</v>
      </c>
      <c r="E32" s="13" t="s">
        <v>580</v>
      </c>
      <c r="F32" s="13" t="s">
        <v>142</v>
      </c>
      <c r="G32" s="13" t="s">
        <v>143</v>
      </c>
      <c r="H32" s="13" t="s">
        <v>139</v>
      </c>
      <c r="I32" s="13" t="s">
        <v>376</v>
      </c>
      <c r="J32" s="13" t="s">
        <v>577</v>
      </c>
    </row>
    <row r="33" spans="1:10" ht="25.5">
      <c r="A33" s="13" t="s">
        <v>49</v>
      </c>
      <c r="B33" s="13" t="s">
        <v>55</v>
      </c>
      <c r="C33" s="13" t="s">
        <v>389</v>
      </c>
      <c r="D33" s="13" t="s">
        <v>579</v>
      </c>
      <c r="E33" s="13" t="s">
        <v>580</v>
      </c>
      <c r="F33" s="13" t="s">
        <v>142</v>
      </c>
      <c r="G33" s="13" t="s">
        <v>143</v>
      </c>
      <c r="H33" s="13" t="s">
        <v>139</v>
      </c>
      <c r="I33" s="13" t="s">
        <v>389</v>
      </c>
      <c r="J33" s="13" t="s">
        <v>577</v>
      </c>
    </row>
    <row r="34" spans="1:10" ht="25.5">
      <c r="A34" s="13" t="s">
        <v>36</v>
      </c>
      <c r="B34" s="13" t="s">
        <v>46</v>
      </c>
      <c r="C34" s="13" t="s">
        <v>373</v>
      </c>
      <c r="D34" s="13" t="s">
        <v>579</v>
      </c>
      <c r="E34" s="13" t="s">
        <v>580</v>
      </c>
      <c r="F34" s="13" t="s">
        <v>142</v>
      </c>
      <c r="G34" s="13" t="s">
        <v>143</v>
      </c>
      <c r="H34" s="13" t="s">
        <v>139</v>
      </c>
      <c r="I34" s="13" t="s">
        <v>373</v>
      </c>
      <c r="J34" s="13" t="s">
        <v>577</v>
      </c>
    </row>
    <row r="35" spans="1:10" ht="25.5">
      <c r="A35" s="13" t="s">
        <v>98</v>
      </c>
      <c r="B35" s="13" t="s">
        <v>102</v>
      </c>
      <c r="C35" s="13" t="s">
        <v>472</v>
      </c>
      <c r="D35" s="13" t="s">
        <v>579</v>
      </c>
      <c r="E35" s="13" t="s">
        <v>581</v>
      </c>
      <c r="F35" s="13" t="s">
        <v>142</v>
      </c>
      <c r="G35" s="13" t="s">
        <v>143</v>
      </c>
      <c r="H35" s="13" t="s">
        <v>139</v>
      </c>
      <c r="I35" s="13" t="s">
        <v>472</v>
      </c>
      <c r="J35" s="13" t="s">
        <v>577</v>
      </c>
    </row>
    <row r="36" spans="1:10" ht="25.5">
      <c r="A36" s="13" t="s">
        <v>59</v>
      </c>
      <c r="B36" s="13" t="s">
        <v>62</v>
      </c>
      <c r="C36" s="13" t="s">
        <v>407</v>
      </c>
      <c r="D36" s="13" t="s">
        <v>23</v>
      </c>
      <c r="E36" s="13" t="s">
        <v>576</v>
      </c>
      <c r="F36" s="13" t="s">
        <v>142</v>
      </c>
      <c r="G36" s="13" t="s">
        <v>146</v>
      </c>
      <c r="H36" s="13" t="s">
        <v>139</v>
      </c>
      <c r="I36" s="13" t="s">
        <v>407</v>
      </c>
      <c r="J36" s="13" t="s">
        <v>577</v>
      </c>
    </row>
    <row r="37" spans="1:10" ht="25.5">
      <c r="A37" s="13" t="s">
        <v>49</v>
      </c>
      <c r="B37" s="13" t="s">
        <v>50</v>
      </c>
      <c r="C37" s="13" t="s">
        <v>379</v>
      </c>
      <c r="D37" s="13" t="s">
        <v>23</v>
      </c>
      <c r="E37" s="13" t="s">
        <v>576</v>
      </c>
      <c r="F37" s="13" t="s">
        <v>142</v>
      </c>
      <c r="G37" s="13" t="s">
        <v>146</v>
      </c>
      <c r="H37" s="13" t="s">
        <v>139</v>
      </c>
      <c r="I37" s="13" t="s">
        <v>379</v>
      </c>
      <c r="J37" s="13" t="s">
        <v>577</v>
      </c>
    </row>
    <row r="38" spans="1:10" ht="25.5">
      <c r="A38" s="13" t="s">
        <v>49</v>
      </c>
      <c r="B38" s="13" t="s">
        <v>53</v>
      </c>
      <c r="C38" s="13" t="s">
        <v>382</v>
      </c>
      <c r="D38" s="13" t="s">
        <v>23</v>
      </c>
      <c r="E38" s="13" t="s">
        <v>576</v>
      </c>
      <c r="F38" s="13" t="s">
        <v>142</v>
      </c>
      <c r="G38" s="13" t="s">
        <v>146</v>
      </c>
      <c r="H38" s="13" t="s">
        <v>139</v>
      </c>
      <c r="I38" s="13" t="s">
        <v>382</v>
      </c>
      <c r="J38" s="13" t="s">
        <v>577</v>
      </c>
    </row>
    <row r="39" spans="1:10" ht="25.5">
      <c r="A39" s="13" t="s">
        <v>49</v>
      </c>
      <c r="B39" s="13" t="s">
        <v>56</v>
      </c>
      <c r="C39" s="13" t="s">
        <v>392</v>
      </c>
      <c r="D39" s="13" t="s">
        <v>23</v>
      </c>
      <c r="E39" s="13" t="s">
        <v>576</v>
      </c>
      <c r="F39" s="13" t="s">
        <v>142</v>
      </c>
      <c r="G39" s="13" t="s">
        <v>146</v>
      </c>
      <c r="H39" s="13" t="s">
        <v>139</v>
      </c>
      <c r="I39" s="13" t="s">
        <v>392</v>
      </c>
      <c r="J39" s="13" t="s">
        <v>577</v>
      </c>
    </row>
    <row r="40" spans="1:10" ht="25.5">
      <c r="A40" s="13" t="s">
        <v>59</v>
      </c>
      <c r="B40" s="13" t="s">
        <v>72</v>
      </c>
      <c r="C40" s="13" t="s">
        <v>426</v>
      </c>
      <c r="D40" s="13" t="s">
        <v>23</v>
      </c>
      <c r="E40" s="13" t="s">
        <v>576</v>
      </c>
      <c r="F40" s="13" t="s">
        <v>142</v>
      </c>
      <c r="G40" s="13" t="s">
        <v>146</v>
      </c>
      <c r="H40" s="13" t="s">
        <v>139</v>
      </c>
      <c r="I40" s="13" t="s">
        <v>426</v>
      </c>
      <c r="J40" s="13" t="s">
        <v>577</v>
      </c>
    </row>
    <row r="41" spans="1:10" ht="25.5">
      <c r="A41" s="13" t="s">
        <v>104</v>
      </c>
      <c r="B41" s="13" t="s">
        <v>109</v>
      </c>
      <c r="C41" s="13" t="s">
        <v>486</v>
      </c>
      <c r="D41" s="13" t="s">
        <v>23</v>
      </c>
      <c r="E41" s="13" t="s">
        <v>582</v>
      </c>
      <c r="F41" s="13" t="s">
        <v>142</v>
      </c>
      <c r="G41" s="13" t="s">
        <v>146</v>
      </c>
      <c r="H41" s="13" t="s">
        <v>139</v>
      </c>
      <c r="I41" s="13" t="s">
        <v>486</v>
      </c>
      <c r="J41" s="13" t="s">
        <v>577</v>
      </c>
    </row>
    <row r="42" spans="1:10" ht="25.5">
      <c r="A42" s="13" t="s">
        <v>49</v>
      </c>
      <c r="B42" s="13" t="s">
        <v>55</v>
      </c>
      <c r="C42" s="13" t="s">
        <v>389</v>
      </c>
      <c r="D42" s="13" t="s">
        <v>579</v>
      </c>
      <c r="E42" s="13" t="s">
        <v>580</v>
      </c>
      <c r="F42" s="13" t="s">
        <v>142</v>
      </c>
      <c r="G42" s="13" t="s">
        <v>146</v>
      </c>
      <c r="H42" s="13" t="s">
        <v>139</v>
      </c>
      <c r="I42" s="13" t="s">
        <v>389</v>
      </c>
      <c r="J42" s="13" t="s">
        <v>577</v>
      </c>
    </row>
    <row r="43" spans="1:10" ht="25.5">
      <c r="A43" s="13" t="s">
        <v>59</v>
      </c>
      <c r="B43" s="13" t="s">
        <v>61</v>
      </c>
      <c r="C43" s="13" t="s">
        <v>404</v>
      </c>
      <c r="D43" s="13" t="s">
        <v>579</v>
      </c>
      <c r="E43" s="13" t="s">
        <v>580</v>
      </c>
      <c r="F43" s="13" t="s">
        <v>142</v>
      </c>
      <c r="G43" s="13" t="s">
        <v>146</v>
      </c>
      <c r="H43" s="13" t="s">
        <v>139</v>
      </c>
      <c r="I43" s="13" t="s">
        <v>404</v>
      </c>
      <c r="J43" s="13" t="s">
        <v>577</v>
      </c>
    </row>
    <row r="44" spans="1:10" ht="25.5">
      <c r="A44" s="13" t="s">
        <v>104</v>
      </c>
      <c r="B44" s="13" t="s">
        <v>106</v>
      </c>
      <c r="C44" s="13" t="s">
        <v>477</v>
      </c>
      <c r="D44" s="13" t="s">
        <v>579</v>
      </c>
      <c r="E44" s="13" t="s">
        <v>581</v>
      </c>
      <c r="F44" s="13" t="s">
        <v>142</v>
      </c>
      <c r="G44" s="13" t="s">
        <v>146</v>
      </c>
      <c r="H44" s="13" t="s">
        <v>139</v>
      </c>
      <c r="I44" s="13" t="s">
        <v>477</v>
      </c>
      <c r="J44" s="13" t="s">
        <v>577</v>
      </c>
    </row>
    <row r="45" spans="1:10" ht="25.5">
      <c r="A45" s="13" t="s">
        <v>98</v>
      </c>
      <c r="B45" s="13" t="s">
        <v>102</v>
      </c>
      <c r="C45" s="13" t="s">
        <v>472</v>
      </c>
      <c r="D45" s="13" t="s">
        <v>579</v>
      </c>
      <c r="E45" s="13" t="s">
        <v>581</v>
      </c>
      <c r="F45" s="13" t="s">
        <v>142</v>
      </c>
      <c r="G45" s="13" t="s">
        <v>146</v>
      </c>
      <c r="H45" s="13" t="s">
        <v>139</v>
      </c>
      <c r="I45" s="13" t="s">
        <v>472</v>
      </c>
      <c r="J45" s="13" t="s">
        <v>577</v>
      </c>
    </row>
    <row r="46" spans="1:10" ht="25.5">
      <c r="A46" s="13" t="s">
        <v>59</v>
      </c>
      <c r="B46" s="13" t="s">
        <v>62</v>
      </c>
      <c r="C46" s="13" t="s">
        <v>407</v>
      </c>
      <c r="D46" s="13" t="s">
        <v>23</v>
      </c>
      <c r="E46" s="13" t="s">
        <v>576</v>
      </c>
      <c r="F46" s="13" t="s">
        <v>142</v>
      </c>
      <c r="G46" s="13" t="s">
        <v>149</v>
      </c>
      <c r="H46" s="13" t="s">
        <v>81</v>
      </c>
      <c r="I46" s="13" t="s">
        <v>407</v>
      </c>
      <c r="J46" s="13" t="s">
        <v>577</v>
      </c>
    </row>
    <row r="47" spans="1:10" ht="25.5">
      <c r="A47" s="13" t="s">
        <v>49</v>
      </c>
      <c r="B47" s="13" t="s">
        <v>50</v>
      </c>
      <c r="C47" s="13" t="s">
        <v>379</v>
      </c>
      <c r="D47" s="13" t="s">
        <v>23</v>
      </c>
      <c r="E47" s="13" t="s">
        <v>576</v>
      </c>
      <c r="F47" s="13" t="s">
        <v>142</v>
      </c>
      <c r="G47" s="13" t="s">
        <v>149</v>
      </c>
      <c r="H47" s="13" t="s">
        <v>81</v>
      </c>
      <c r="I47" s="13" t="s">
        <v>379</v>
      </c>
      <c r="J47" s="13" t="s">
        <v>577</v>
      </c>
    </row>
    <row r="48" spans="1:10" ht="25.5">
      <c r="A48" s="13" t="s">
        <v>49</v>
      </c>
      <c r="B48" s="13" t="s">
        <v>53</v>
      </c>
      <c r="C48" s="13" t="s">
        <v>382</v>
      </c>
      <c r="D48" s="13" t="s">
        <v>23</v>
      </c>
      <c r="E48" s="13" t="s">
        <v>576</v>
      </c>
      <c r="F48" s="13" t="s">
        <v>142</v>
      </c>
      <c r="G48" s="13" t="s">
        <v>149</v>
      </c>
      <c r="H48" s="13" t="s">
        <v>81</v>
      </c>
      <c r="I48" s="13" t="s">
        <v>382</v>
      </c>
      <c r="J48" s="13" t="s">
        <v>577</v>
      </c>
    </row>
    <row r="49" spans="1:10" ht="25.5">
      <c r="A49" s="13" t="s">
        <v>49</v>
      </c>
      <c r="B49" s="13" t="s">
        <v>56</v>
      </c>
      <c r="C49" s="13" t="s">
        <v>392</v>
      </c>
      <c r="D49" s="13" t="s">
        <v>23</v>
      </c>
      <c r="E49" s="13" t="s">
        <v>576</v>
      </c>
      <c r="F49" s="13" t="s">
        <v>142</v>
      </c>
      <c r="G49" s="13" t="s">
        <v>149</v>
      </c>
      <c r="H49" s="13" t="s">
        <v>81</v>
      </c>
      <c r="I49" s="13" t="s">
        <v>392</v>
      </c>
      <c r="J49" s="13" t="s">
        <v>577</v>
      </c>
    </row>
    <row r="50" spans="1:10" ht="25.5">
      <c r="A50" s="13" t="s">
        <v>59</v>
      </c>
      <c r="B50" s="13" t="s">
        <v>72</v>
      </c>
      <c r="C50" s="13" t="s">
        <v>426</v>
      </c>
      <c r="D50" s="13" t="s">
        <v>23</v>
      </c>
      <c r="E50" s="13" t="s">
        <v>576</v>
      </c>
      <c r="F50" s="13" t="s">
        <v>142</v>
      </c>
      <c r="G50" s="13" t="s">
        <v>149</v>
      </c>
      <c r="H50" s="13" t="s">
        <v>81</v>
      </c>
      <c r="I50" s="13" t="s">
        <v>426</v>
      </c>
      <c r="J50" s="13" t="s">
        <v>577</v>
      </c>
    </row>
    <row r="51" spans="1:10" ht="25.5">
      <c r="A51" s="13" t="s">
        <v>104</v>
      </c>
      <c r="B51" s="13" t="s">
        <v>109</v>
      </c>
      <c r="C51" s="13" t="s">
        <v>486</v>
      </c>
      <c r="D51" s="13" t="s">
        <v>23</v>
      </c>
      <c r="E51" s="13" t="s">
        <v>582</v>
      </c>
      <c r="F51" s="13" t="s">
        <v>142</v>
      </c>
      <c r="G51" s="13" t="s">
        <v>149</v>
      </c>
      <c r="H51" s="13" t="s">
        <v>81</v>
      </c>
      <c r="I51" s="13" t="s">
        <v>486</v>
      </c>
      <c r="J51" s="13" t="s">
        <v>577</v>
      </c>
    </row>
    <row r="52" spans="1:10" ht="25.5">
      <c r="A52" s="13" t="s">
        <v>49</v>
      </c>
      <c r="B52" s="13" t="s">
        <v>55</v>
      </c>
      <c r="C52" s="13" t="s">
        <v>389</v>
      </c>
      <c r="D52" s="13" t="s">
        <v>579</v>
      </c>
      <c r="E52" s="13" t="s">
        <v>580</v>
      </c>
      <c r="F52" s="13" t="s">
        <v>142</v>
      </c>
      <c r="G52" s="13" t="s">
        <v>149</v>
      </c>
      <c r="H52" s="13" t="s">
        <v>81</v>
      </c>
      <c r="I52" s="13" t="s">
        <v>389</v>
      </c>
      <c r="J52" s="13" t="s">
        <v>577</v>
      </c>
    </row>
    <row r="53" spans="1:10" ht="25.5">
      <c r="A53" s="13" t="s">
        <v>49</v>
      </c>
      <c r="B53" s="13" t="s">
        <v>57</v>
      </c>
      <c r="C53" s="13" t="s">
        <v>57</v>
      </c>
      <c r="D53" s="13" t="s">
        <v>579</v>
      </c>
      <c r="E53" s="13" t="s">
        <v>580</v>
      </c>
      <c r="F53" s="13" t="s">
        <v>142</v>
      </c>
      <c r="G53" s="13" t="s">
        <v>149</v>
      </c>
      <c r="H53" s="13" t="s">
        <v>81</v>
      </c>
      <c r="I53" s="13" t="s">
        <v>57</v>
      </c>
      <c r="J53" s="13" t="s">
        <v>577</v>
      </c>
    </row>
    <row r="54" spans="1:10" ht="25.5">
      <c r="A54" s="13" t="s">
        <v>104</v>
      </c>
      <c r="B54" s="13" t="s">
        <v>105</v>
      </c>
      <c r="C54" s="13" t="s">
        <v>105</v>
      </c>
      <c r="D54" s="13" t="s">
        <v>579</v>
      </c>
      <c r="E54" s="13" t="s">
        <v>581</v>
      </c>
      <c r="F54" s="13" t="s">
        <v>142</v>
      </c>
      <c r="G54" s="13" t="s">
        <v>149</v>
      </c>
      <c r="H54" s="13" t="s">
        <v>81</v>
      </c>
      <c r="I54" s="13" t="s">
        <v>105</v>
      </c>
      <c r="J54" s="13" t="s">
        <v>577</v>
      </c>
    </row>
    <row r="55" spans="1:10" ht="25.5">
      <c r="A55" s="13" t="s">
        <v>98</v>
      </c>
      <c r="B55" s="13" t="s">
        <v>102</v>
      </c>
      <c r="C55" s="13" t="s">
        <v>472</v>
      </c>
      <c r="D55" s="13" t="s">
        <v>579</v>
      </c>
      <c r="E55" s="13" t="s">
        <v>581</v>
      </c>
      <c r="F55" s="13" t="s">
        <v>142</v>
      </c>
      <c r="G55" s="13" t="s">
        <v>149</v>
      </c>
      <c r="H55" s="13" t="s">
        <v>81</v>
      </c>
      <c r="I55" s="13" t="s">
        <v>472</v>
      </c>
      <c r="J55" s="13" t="s">
        <v>577</v>
      </c>
    </row>
    <row r="56" spans="1:10" ht="25.5">
      <c r="A56" s="13" t="s">
        <v>36</v>
      </c>
      <c r="B56" s="13" t="s">
        <v>38</v>
      </c>
      <c r="C56" s="13" t="s">
        <v>356</v>
      </c>
      <c r="D56" s="13" t="s">
        <v>23</v>
      </c>
      <c r="E56" s="13" t="s">
        <v>576</v>
      </c>
      <c r="F56" s="13" t="s">
        <v>152</v>
      </c>
      <c r="G56" s="13" t="s">
        <v>153</v>
      </c>
      <c r="H56" s="13" t="s">
        <v>139</v>
      </c>
      <c r="I56" s="13" t="s">
        <v>356</v>
      </c>
      <c r="J56" s="13" t="s">
        <v>577</v>
      </c>
    </row>
    <row r="57" spans="1:10" ht="25.5">
      <c r="A57" s="13" t="s">
        <v>36</v>
      </c>
      <c r="B57" s="13" t="s">
        <v>45</v>
      </c>
      <c r="C57" s="13" t="s">
        <v>369</v>
      </c>
      <c r="D57" s="13" t="s">
        <v>23</v>
      </c>
      <c r="E57" s="13" t="s">
        <v>576</v>
      </c>
      <c r="F57" s="13" t="s">
        <v>152</v>
      </c>
      <c r="G57" s="13" t="s">
        <v>153</v>
      </c>
      <c r="H57" s="13" t="s">
        <v>139</v>
      </c>
      <c r="I57" s="13" t="s">
        <v>369</v>
      </c>
      <c r="J57" s="13" t="s">
        <v>577</v>
      </c>
    </row>
    <row r="58" spans="1:10" ht="25.5">
      <c r="A58" s="13" t="s">
        <v>59</v>
      </c>
      <c r="B58" s="13" t="s">
        <v>63</v>
      </c>
      <c r="C58" s="13" t="s">
        <v>410</v>
      </c>
      <c r="D58" s="13" t="s">
        <v>23</v>
      </c>
      <c r="E58" s="13" t="s">
        <v>583</v>
      </c>
      <c r="F58" s="13" t="s">
        <v>152</v>
      </c>
      <c r="G58" s="13" t="s">
        <v>153</v>
      </c>
      <c r="H58" s="13" t="s">
        <v>139</v>
      </c>
      <c r="I58" s="13" t="s">
        <v>410</v>
      </c>
      <c r="J58" s="13" t="s">
        <v>577</v>
      </c>
    </row>
    <row r="59" spans="1:10" ht="25.5">
      <c r="A59" s="13" t="s">
        <v>59</v>
      </c>
      <c r="B59" s="13" t="s">
        <v>68</v>
      </c>
      <c r="C59" s="13" t="s">
        <v>420</v>
      </c>
      <c r="D59" s="13" t="s">
        <v>23</v>
      </c>
      <c r="E59" s="13" t="s">
        <v>583</v>
      </c>
      <c r="F59" s="13" t="s">
        <v>152</v>
      </c>
      <c r="G59" s="13" t="s">
        <v>153</v>
      </c>
      <c r="H59" s="13" t="s">
        <v>139</v>
      </c>
      <c r="I59" s="13" t="s">
        <v>420</v>
      </c>
      <c r="J59" s="13" t="s">
        <v>577</v>
      </c>
    </row>
    <row r="60" spans="1:10" ht="25.5">
      <c r="A60" s="13" t="s">
        <v>59</v>
      </c>
      <c r="B60" s="13" t="s">
        <v>60</v>
      </c>
      <c r="C60" s="13" t="s">
        <v>401</v>
      </c>
      <c r="D60" s="13" t="s">
        <v>579</v>
      </c>
      <c r="E60" s="13" t="s">
        <v>580</v>
      </c>
      <c r="F60" s="13" t="s">
        <v>152</v>
      </c>
      <c r="G60" s="13" t="s">
        <v>153</v>
      </c>
      <c r="H60" s="13" t="s">
        <v>139</v>
      </c>
      <c r="I60" s="13" t="s">
        <v>401</v>
      </c>
      <c r="J60" s="13" t="s">
        <v>577</v>
      </c>
    </row>
    <row r="61" spans="1:10" ht="25.5">
      <c r="A61" s="13" t="s">
        <v>104</v>
      </c>
      <c r="B61" s="13" t="s">
        <v>110</v>
      </c>
      <c r="C61" s="13" t="s">
        <v>489</v>
      </c>
      <c r="D61" s="13" t="s">
        <v>579</v>
      </c>
      <c r="E61" s="13" t="s">
        <v>580</v>
      </c>
      <c r="F61" s="13" t="s">
        <v>152</v>
      </c>
      <c r="G61" s="13" t="s">
        <v>153</v>
      </c>
      <c r="H61" s="13" t="s">
        <v>139</v>
      </c>
      <c r="I61" s="13" t="s">
        <v>489</v>
      </c>
      <c r="J61" s="13" t="s">
        <v>577</v>
      </c>
    </row>
    <row r="62" spans="1:10" ht="25.5">
      <c r="A62" s="13" t="s">
        <v>98</v>
      </c>
      <c r="B62" s="13" t="s">
        <v>101</v>
      </c>
      <c r="C62" s="13" t="s">
        <v>469</v>
      </c>
      <c r="D62" s="13" t="s">
        <v>579</v>
      </c>
      <c r="E62" s="13" t="s">
        <v>581</v>
      </c>
      <c r="F62" s="13" t="s">
        <v>152</v>
      </c>
      <c r="G62" s="13" t="s">
        <v>153</v>
      </c>
      <c r="H62" s="13" t="s">
        <v>139</v>
      </c>
      <c r="I62" s="13" t="s">
        <v>469</v>
      </c>
      <c r="J62" s="13" t="s">
        <v>577</v>
      </c>
    </row>
    <row r="63" spans="1:10" ht="25.5">
      <c r="A63" s="13" t="s">
        <v>98</v>
      </c>
      <c r="B63" s="13" t="s">
        <v>99</v>
      </c>
      <c r="C63" s="13" t="s">
        <v>462</v>
      </c>
      <c r="D63" s="13" t="s">
        <v>579</v>
      </c>
      <c r="E63" s="13" t="s">
        <v>581</v>
      </c>
      <c r="F63" s="13" t="s">
        <v>152</v>
      </c>
      <c r="G63" s="13" t="s">
        <v>153</v>
      </c>
      <c r="H63" s="13" t="s">
        <v>139</v>
      </c>
      <c r="I63" s="13" t="s">
        <v>462</v>
      </c>
      <c r="J63" s="13" t="s">
        <v>577</v>
      </c>
    </row>
    <row r="64" spans="1:10" ht="25.5">
      <c r="A64" s="13" t="s">
        <v>36</v>
      </c>
      <c r="B64" s="13" t="s">
        <v>38</v>
      </c>
      <c r="C64" s="13" t="s">
        <v>356</v>
      </c>
      <c r="D64" s="13" t="s">
        <v>23</v>
      </c>
      <c r="E64" s="13" t="s">
        <v>576</v>
      </c>
      <c r="F64" s="13" t="s">
        <v>152</v>
      </c>
      <c r="G64" s="13" t="s">
        <v>156</v>
      </c>
      <c r="H64" s="13" t="s">
        <v>78</v>
      </c>
      <c r="I64" s="13" t="s">
        <v>356</v>
      </c>
      <c r="J64" s="13" t="s">
        <v>577</v>
      </c>
    </row>
    <row r="65" spans="1:10" ht="25.5">
      <c r="A65" s="13" t="s">
        <v>36</v>
      </c>
      <c r="B65" s="13" t="s">
        <v>45</v>
      </c>
      <c r="C65" s="13" t="s">
        <v>369</v>
      </c>
      <c r="D65" s="13" t="s">
        <v>23</v>
      </c>
      <c r="E65" s="13" t="s">
        <v>576</v>
      </c>
      <c r="F65" s="13" t="s">
        <v>152</v>
      </c>
      <c r="G65" s="13" t="s">
        <v>156</v>
      </c>
      <c r="H65" s="13" t="s">
        <v>78</v>
      </c>
      <c r="I65" s="13" t="s">
        <v>369</v>
      </c>
      <c r="J65" s="13" t="s">
        <v>577</v>
      </c>
    </row>
    <row r="66" spans="1:10" ht="25.5">
      <c r="A66" s="13" t="s">
        <v>59</v>
      </c>
      <c r="B66" s="13" t="s">
        <v>63</v>
      </c>
      <c r="C66" s="13" t="s">
        <v>410</v>
      </c>
      <c r="D66" s="13" t="s">
        <v>23</v>
      </c>
      <c r="E66" s="13" t="s">
        <v>583</v>
      </c>
      <c r="F66" s="13" t="s">
        <v>152</v>
      </c>
      <c r="G66" s="13" t="s">
        <v>156</v>
      </c>
      <c r="H66" s="13" t="s">
        <v>78</v>
      </c>
      <c r="I66" s="13" t="s">
        <v>410</v>
      </c>
      <c r="J66" s="13" t="s">
        <v>577</v>
      </c>
    </row>
    <row r="67" spans="1:10" ht="25.5">
      <c r="A67" s="13" t="s">
        <v>59</v>
      </c>
      <c r="B67" s="13" t="s">
        <v>68</v>
      </c>
      <c r="C67" s="13" t="s">
        <v>420</v>
      </c>
      <c r="D67" s="13" t="s">
        <v>23</v>
      </c>
      <c r="E67" s="13" t="s">
        <v>583</v>
      </c>
      <c r="F67" s="13" t="s">
        <v>152</v>
      </c>
      <c r="G67" s="13" t="s">
        <v>156</v>
      </c>
      <c r="H67" s="13" t="s">
        <v>78</v>
      </c>
      <c r="I67" s="13" t="s">
        <v>420</v>
      </c>
      <c r="J67" s="13" t="s">
        <v>577</v>
      </c>
    </row>
    <row r="68" spans="1:10" ht="25.5">
      <c r="A68" s="13" t="s">
        <v>36</v>
      </c>
      <c r="B68" s="13" t="s">
        <v>47</v>
      </c>
      <c r="C68" s="13" t="s">
        <v>376</v>
      </c>
      <c r="D68" s="13" t="s">
        <v>579</v>
      </c>
      <c r="E68" s="13" t="s">
        <v>580</v>
      </c>
      <c r="F68" s="13" t="s">
        <v>152</v>
      </c>
      <c r="G68" s="13" t="s">
        <v>156</v>
      </c>
      <c r="H68" s="13" t="s">
        <v>78</v>
      </c>
      <c r="I68" s="13" t="s">
        <v>376</v>
      </c>
      <c r="J68" s="13" t="s">
        <v>577</v>
      </c>
    </row>
    <row r="69" spans="1:10" ht="25.5">
      <c r="A69" s="13" t="s">
        <v>59</v>
      </c>
      <c r="B69" s="13" t="s">
        <v>61</v>
      </c>
      <c r="C69" s="13" t="s">
        <v>404</v>
      </c>
      <c r="D69" s="13" t="s">
        <v>579</v>
      </c>
      <c r="E69" s="13" t="s">
        <v>580</v>
      </c>
      <c r="F69" s="13" t="s">
        <v>152</v>
      </c>
      <c r="G69" s="13" t="s">
        <v>156</v>
      </c>
      <c r="H69" s="13" t="s">
        <v>78</v>
      </c>
      <c r="I69" s="13" t="s">
        <v>404</v>
      </c>
      <c r="J69" s="13" t="s">
        <v>577</v>
      </c>
    </row>
    <row r="70" spans="1:10" ht="25.5">
      <c r="A70" s="13" t="s">
        <v>59</v>
      </c>
      <c r="B70" s="13" t="s">
        <v>92</v>
      </c>
      <c r="C70" s="13" t="s">
        <v>447</v>
      </c>
      <c r="D70" s="13" t="s">
        <v>579</v>
      </c>
      <c r="E70" s="13" t="s">
        <v>580</v>
      </c>
      <c r="F70" s="13" t="s">
        <v>152</v>
      </c>
      <c r="G70" s="13" t="s">
        <v>156</v>
      </c>
      <c r="H70" s="13" t="s">
        <v>78</v>
      </c>
      <c r="I70" s="13" t="s">
        <v>447</v>
      </c>
      <c r="J70" s="13" t="s">
        <v>577</v>
      </c>
    </row>
    <row r="71" spans="1:10" ht="25.5">
      <c r="A71" s="13" t="s">
        <v>94</v>
      </c>
      <c r="B71" s="13" t="s">
        <v>95</v>
      </c>
      <c r="C71" s="13" t="s">
        <v>453</v>
      </c>
      <c r="D71" s="13" t="s">
        <v>579</v>
      </c>
      <c r="E71" s="13" t="s">
        <v>581</v>
      </c>
      <c r="F71" s="13" t="s">
        <v>152</v>
      </c>
      <c r="G71" s="13" t="s">
        <v>156</v>
      </c>
      <c r="H71" s="13" t="s">
        <v>78</v>
      </c>
      <c r="I71" s="13" t="s">
        <v>453</v>
      </c>
      <c r="J71" s="13" t="s">
        <v>577</v>
      </c>
    </row>
    <row r="72" spans="1:10" ht="25.5">
      <c r="A72" s="13" t="s">
        <v>104</v>
      </c>
      <c r="B72" s="13" t="s">
        <v>105</v>
      </c>
      <c r="C72" s="13" t="s">
        <v>105</v>
      </c>
      <c r="D72" s="13" t="s">
        <v>579</v>
      </c>
      <c r="E72" s="13" t="s">
        <v>581</v>
      </c>
      <c r="F72" s="13" t="s">
        <v>152</v>
      </c>
      <c r="G72" s="13" t="s">
        <v>156</v>
      </c>
      <c r="H72" s="13" t="s">
        <v>78</v>
      </c>
      <c r="I72" s="13" t="s">
        <v>105</v>
      </c>
      <c r="J72" s="13" t="s">
        <v>577</v>
      </c>
    </row>
    <row r="73" spans="1:10" ht="25.5">
      <c r="A73" s="13" t="s">
        <v>104</v>
      </c>
      <c r="B73" s="13" t="s">
        <v>106</v>
      </c>
      <c r="C73" s="13" t="s">
        <v>477</v>
      </c>
      <c r="D73" s="13" t="s">
        <v>579</v>
      </c>
      <c r="E73" s="13" t="s">
        <v>581</v>
      </c>
      <c r="F73" s="13" t="s">
        <v>152</v>
      </c>
      <c r="G73" s="13" t="s">
        <v>156</v>
      </c>
      <c r="H73" s="13" t="s">
        <v>78</v>
      </c>
      <c r="I73" s="13" t="s">
        <v>477</v>
      </c>
      <c r="J73" s="13" t="s">
        <v>577</v>
      </c>
    </row>
    <row r="74" spans="1:10" ht="25.5">
      <c r="A74" s="13" t="s">
        <v>104</v>
      </c>
      <c r="B74" s="13" t="s">
        <v>110</v>
      </c>
      <c r="C74" s="13" t="s">
        <v>489</v>
      </c>
      <c r="D74" s="13" t="s">
        <v>579</v>
      </c>
      <c r="E74" s="13" t="s">
        <v>581</v>
      </c>
      <c r="F74" s="13" t="s">
        <v>152</v>
      </c>
      <c r="G74" s="13" t="s">
        <v>156</v>
      </c>
      <c r="H74" s="13" t="s">
        <v>78</v>
      </c>
      <c r="I74" s="13" t="s">
        <v>489</v>
      </c>
      <c r="J74" s="13" t="s">
        <v>577</v>
      </c>
    </row>
    <row r="75" spans="1:10" ht="25.5">
      <c r="A75" s="13" t="s">
        <v>36</v>
      </c>
      <c r="B75" s="13" t="s">
        <v>38</v>
      </c>
      <c r="C75" s="13" t="s">
        <v>356</v>
      </c>
      <c r="D75" s="13" t="s">
        <v>23</v>
      </c>
      <c r="E75" s="13" t="s">
        <v>576</v>
      </c>
      <c r="F75" s="13" t="s">
        <v>152</v>
      </c>
      <c r="G75" s="13" t="s">
        <v>159</v>
      </c>
      <c r="H75" s="13" t="s">
        <v>135</v>
      </c>
      <c r="I75" s="13" t="s">
        <v>356</v>
      </c>
      <c r="J75" s="13" t="s">
        <v>577</v>
      </c>
    </row>
    <row r="76" spans="1:10" ht="25.5">
      <c r="A76" s="13" t="s">
        <v>36</v>
      </c>
      <c r="B76" s="13" t="s">
        <v>45</v>
      </c>
      <c r="C76" s="13" t="s">
        <v>369</v>
      </c>
      <c r="D76" s="13" t="s">
        <v>23</v>
      </c>
      <c r="E76" s="13" t="s">
        <v>576</v>
      </c>
      <c r="F76" s="13" t="s">
        <v>152</v>
      </c>
      <c r="G76" s="13" t="s">
        <v>159</v>
      </c>
      <c r="H76" s="13" t="s">
        <v>135</v>
      </c>
      <c r="I76" s="13" t="s">
        <v>369</v>
      </c>
      <c r="J76" s="13" t="s">
        <v>577</v>
      </c>
    </row>
    <row r="77" spans="1:10" ht="25.5">
      <c r="A77" s="13" t="s">
        <v>59</v>
      </c>
      <c r="B77" s="13" t="s">
        <v>63</v>
      </c>
      <c r="C77" s="13" t="s">
        <v>410</v>
      </c>
      <c r="D77" s="13" t="s">
        <v>23</v>
      </c>
      <c r="E77" s="13" t="s">
        <v>583</v>
      </c>
      <c r="F77" s="13" t="s">
        <v>152</v>
      </c>
      <c r="G77" s="13" t="s">
        <v>159</v>
      </c>
      <c r="H77" s="13" t="s">
        <v>135</v>
      </c>
      <c r="I77" s="13" t="s">
        <v>410</v>
      </c>
      <c r="J77" s="13" t="s">
        <v>577</v>
      </c>
    </row>
    <row r="78" spans="1:10" ht="25.5">
      <c r="A78" s="13" t="s">
        <v>59</v>
      </c>
      <c r="B78" s="13" t="s">
        <v>68</v>
      </c>
      <c r="C78" s="13" t="s">
        <v>420</v>
      </c>
      <c r="D78" s="13" t="s">
        <v>23</v>
      </c>
      <c r="E78" s="13" t="s">
        <v>583</v>
      </c>
      <c r="F78" s="13" t="s">
        <v>152</v>
      </c>
      <c r="G78" s="13" t="s">
        <v>159</v>
      </c>
      <c r="H78" s="13" t="s">
        <v>135</v>
      </c>
      <c r="I78" s="13" t="s">
        <v>420</v>
      </c>
      <c r="J78" s="13" t="s">
        <v>577</v>
      </c>
    </row>
    <row r="79" spans="1:10" ht="25.5">
      <c r="A79" s="13" t="s">
        <v>36</v>
      </c>
      <c r="B79" s="13" t="s">
        <v>47</v>
      </c>
      <c r="C79" s="13" t="s">
        <v>376</v>
      </c>
      <c r="D79" s="13" t="s">
        <v>579</v>
      </c>
      <c r="E79" s="13" t="s">
        <v>580</v>
      </c>
      <c r="F79" s="13" t="s">
        <v>152</v>
      </c>
      <c r="G79" s="13" t="s">
        <v>159</v>
      </c>
      <c r="H79" s="13" t="s">
        <v>135</v>
      </c>
      <c r="I79" s="13" t="s">
        <v>376</v>
      </c>
      <c r="J79" s="13" t="s">
        <v>577</v>
      </c>
    </row>
    <row r="80" spans="1:10" ht="25.5">
      <c r="A80" s="13" t="s">
        <v>59</v>
      </c>
      <c r="B80" s="13" t="s">
        <v>91</v>
      </c>
      <c r="C80" s="13" t="s">
        <v>444</v>
      </c>
      <c r="D80" s="13" t="s">
        <v>579</v>
      </c>
      <c r="E80" s="13" t="s">
        <v>580</v>
      </c>
      <c r="F80" s="13" t="s">
        <v>152</v>
      </c>
      <c r="G80" s="13" t="s">
        <v>159</v>
      </c>
      <c r="H80" s="13" t="s">
        <v>135</v>
      </c>
      <c r="I80" s="13" t="s">
        <v>444</v>
      </c>
      <c r="J80" s="13" t="s">
        <v>577</v>
      </c>
    </row>
    <row r="81" spans="1:10" ht="25.5">
      <c r="A81" s="13" t="s">
        <v>104</v>
      </c>
      <c r="B81" s="13" t="s">
        <v>108</v>
      </c>
      <c r="C81" s="13" t="s">
        <v>483</v>
      </c>
      <c r="D81" s="13" t="s">
        <v>579</v>
      </c>
      <c r="E81" s="13" t="s">
        <v>581</v>
      </c>
      <c r="F81" s="13" t="s">
        <v>152</v>
      </c>
      <c r="G81" s="13" t="s">
        <v>159</v>
      </c>
      <c r="H81" s="13" t="s">
        <v>135</v>
      </c>
      <c r="I81" s="13" t="s">
        <v>483</v>
      </c>
      <c r="J81" s="13" t="s">
        <v>577</v>
      </c>
    </row>
    <row r="82" spans="1:10" ht="25.5">
      <c r="A82" s="13" t="s">
        <v>104</v>
      </c>
      <c r="B82" s="13" t="s">
        <v>109</v>
      </c>
      <c r="C82" s="13" t="s">
        <v>486</v>
      </c>
      <c r="D82" s="13" t="s">
        <v>579</v>
      </c>
      <c r="E82" s="13" t="s">
        <v>581</v>
      </c>
      <c r="F82" s="13" t="s">
        <v>152</v>
      </c>
      <c r="G82" s="13" t="s">
        <v>159</v>
      </c>
      <c r="H82" s="13" t="s">
        <v>135</v>
      </c>
      <c r="I82" s="13" t="s">
        <v>486</v>
      </c>
      <c r="J82" s="13" t="s">
        <v>577</v>
      </c>
    </row>
    <row r="83" spans="1:10" ht="25.5">
      <c r="A83" s="13" t="s">
        <v>94</v>
      </c>
      <c r="B83" s="13" t="s">
        <v>97</v>
      </c>
      <c r="C83" s="13" t="s">
        <v>459</v>
      </c>
      <c r="D83" s="13" t="s">
        <v>579</v>
      </c>
      <c r="E83" s="13" t="s">
        <v>581</v>
      </c>
      <c r="F83" s="13" t="s">
        <v>152</v>
      </c>
      <c r="G83" s="13" t="s">
        <v>159</v>
      </c>
      <c r="H83" s="13" t="s">
        <v>135</v>
      </c>
      <c r="I83" s="13" t="s">
        <v>459</v>
      </c>
      <c r="J83" s="13" t="s">
        <v>577</v>
      </c>
    </row>
    <row r="84" spans="1:10" ht="25.5">
      <c r="A84" s="13" t="s">
        <v>104</v>
      </c>
      <c r="B84" s="13" t="s">
        <v>110</v>
      </c>
      <c r="C84" s="13" t="s">
        <v>489</v>
      </c>
      <c r="D84" s="13" t="s">
        <v>579</v>
      </c>
      <c r="E84" s="13" t="s">
        <v>581</v>
      </c>
      <c r="F84" s="13" t="s">
        <v>152</v>
      </c>
      <c r="G84" s="13" t="s">
        <v>159</v>
      </c>
      <c r="H84" s="13" t="s">
        <v>135</v>
      </c>
      <c r="I84" s="13" t="s">
        <v>489</v>
      </c>
      <c r="J84" s="13" t="s">
        <v>577</v>
      </c>
    </row>
    <row r="85" spans="1:10" ht="25.5">
      <c r="A85" s="13" t="s">
        <v>36</v>
      </c>
      <c r="B85" s="13" t="s">
        <v>38</v>
      </c>
      <c r="C85" s="13" t="s">
        <v>356</v>
      </c>
      <c r="D85" s="13" t="s">
        <v>23</v>
      </c>
      <c r="E85" s="13" t="s">
        <v>576</v>
      </c>
      <c r="F85" s="13" t="s">
        <v>162</v>
      </c>
      <c r="G85" s="13" t="s">
        <v>163</v>
      </c>
      <c r="H85" s="13" t="s">
        <v>135</v>
      </c>
      <c r="I85" s="13" t="s">
        <v>356</v>
      </c>
      <c r="J85" s="13" t="s">
        <v>577</v>
      </c>
    </row>
    <row r="86" spans="1:10" ht="25.5">
      <c r="A86" s="13" t="s">
        <v>36</v>
      </c>
      <c r="B86" s="13" t="s">
        <v>45</v>
      </c>
      <c r="C86" s="13" t="s">
        <v>369</v>
      </c>
      <c r="D86" s="13" t="s">
        <v>23</v>
      </c>
      <c r="E86" s="13" t="s">
        <v>576</v>
      </c>
      <c r="F86" s="13" t="s">
        <v>162</v>
      </c>
      <c r="G86" s="13" t="s">
        <v>163</v>
      </c>
      <c r="H86" s="13" t="s">
        <v>135</v>
      </c>
      <c r="I86" s="13" t="s">
        <v>369</v>
      </c>
      <c r="J86" s="13" t="s">
        <v>577</v>
      </c>
    </row>
    <row r="87" spans="1:10" ht="25.5">
      <c r="A87" s="13" t="s">
        <v>49</v>
      </c>
      <c r="B87" s="13" t="s">
        <v>56</v>
      </c>
      <c r="C87" s="13" t="s">
        <v>392</v>
      </c>
      <c r="D87" s="13" t="s">
        <v>23</v>
      </c>
      <c r="E87" s="13" t="s">
        <v>576</v>
      </c>
      <c r="F87" s="13" t="s">
        <v>162</v>
      </c>
      <c r="G87" s="13" t="s">
        <v>163</v>
      </c>
      <c r="H87" s="13" t="s">
        <v>135</v>
      </c>
      <c r="I87" s="13" t="s">
        <v>392</v>
      </c>
      <c r="J87" s="13" t="s">
        <v>577</v>
      </c>
    </row>
    <row r="88" spans="1:10" ht="25.5">
      <c r="A88" s="13" t="s">
        <v>59</v>
      </c>
      <c r="B88" s="13" t="s">
        <v>68</v>
      </c>
      <c r="C88" s="13" t="s">
        <v>420</v>
      </c>
      <c r="D88" s="13" t="s">
        <v>23</v>
      </c>
      <c r="E88" s="13" t="s">
        <v>583</v>
      </c>
      <c r="F88" s="13" t="s">
        <v>162</v>
      </c>
      <c r="G88" s="13" t="s">
        <v>163</v>
      </c>
      <c r="H88" s="13" t="s">
        <v>135</v>
      </c>
      <c r="I88" s="13" t="s">
        <v>420</v>
      </c>
      <c r="J88" s="13" t="s">
        <v>577</v>
      </c>
    </row>
    <row r="89" spans="1:10" ht="25.5">
      <c r="A89" s="13" t="s">
        <v>36</v>
      </c>
      <c r="B89" s="13" t="s">
        <v>47</v>
      </c>
      <c r="C89" s="13" t="s">
        <v>376</v>
      </c>
      <c r="D89" s="13" t="s">
        <v>579</v>
      </c>
      <c r="E89" s="13" t="s">
        <v>580</v>
      </c>
      <c r="F89" s="13" t="s">
        <v>162</v>
      </c>
      <c r="G89" s="13" t="s">
        <v>163</v>
      </c>
      <c r="H89" s="13" t="s">
        <v>135</v>
      </c>
      <c r="I89" s="13" t="s">
        <v>376</v>
      </c>
      <c r="J89" s="13" t="s">
        <v>577</v>
      </c>
    </row>
    <row r="90" spans="1:10" ht="25.5">
      <c r="A90" s="13" t="s">
        <v>104</v>
      </c>
      <c r="B90" s="13" t="s">
        <v>109</v>
      </c>
      <c r="C90" s="13" t="s">
        <v>486</v>
      </c>
      <c r="D90" s="13" t="s">
        <v>579</v>
      </c>
      <c r="E90" s="13" t="s">
        <v>581</v>
      </c>
      <c r="F90" s="13" t="s">
        <v>162</v>
      </c>
      <c r="G90" s="13" t="s">
        <v>163</v>
      </c>
      <c r="H90" s="13" t="s">
        <v>135</v>
      </c>
      <c r="I90" s="13" t="s">
        <v>486</v>
      </c>
      <c r="J90" s="13" t="s">
        <v>577</v>
      </c>
    </row>
    <row r="91" spans="1:10" ht="25.5">
      <c r="A91" s="13" t="s">
        <v>104</v>
      </c>
      <c r="B91" s="13" t="s">
        <v>110</v>
      </c>
      <c r="C91" s="13" t="s">
        <v>489</v>
      </c>
      <c r="D91" s="13" t="s">
        <v>579</v>
      </c>
      <c r="E91" s="13" t="s">
        <v>581</v>
      </c>
      <c r="F91" s="13" t="s">
        <v>162</v>
      </c>
      <c r="G91" s="13" t="s">
        <v>163</v>
      </c>
      <c r="H91" s="13" t="s">
        <v>135</v>
      </c>
      <c r="I91" s="13" t="s">
        <v>489</v>
      </c>
      <c r="J91" s="13" t="s">
        <v>577</v>
      </c>
    </row>
    <row r="92" spans="1:10" ht="25.5">
      <c r="A92" s="13" t="s">
        <v>36</v>
      </c>
      <c r="B92" s="13" t="s">
        <v>38</v>
      </c>
      <c r="C92" s="13" t="s">
        <v>356</v>
      </c>
      <c r="D92" s="13" t="s">
        <v>23</v>
      </c>
      <c r="E92" s="13" t="s">
        <v>576</v>
      </c>
      <c r="F92" s="13" t="s">
        <v>162</v>
      </c>
      <c r="G92" s="13" t="s">
        <v>166</v>
      </c>
      <c r="H92" s="13" t="s">
        <v>139</v>
      </c>
      <c r="I92" s="13" t="s">
        <v>356</v>
      </c>
      <c r="J92" s="13" t="s">
        <v>577</v>
      </c>
    </row>
    <row r="93" spans="1:10" ht="25.5">
      <c r="A93" s="13" t="s">
        <v>36</v>
      </c>
      <c r="B93" s="13" t="s">
        <v>45</v>
      </c>
      <c r="C93" s="13" t="s">
        <v>369</v>
      </c>
      <c r="D93" s="13" t="s">
        <v>23</v>
      </c>
      <c r="E93" s="13" t="s">
        <v>576</v>
      </c>
      <c r="F93" s="13" t="s">
        <v>162</v>
      </c>
      <c r="G93" s="13" t="s">
        <v>166</v>
      </c>
      <c r="H93" s="13" t="s">
        <v>139</v>
      </c>
      <c r="I93" s="13" t="s">
        <v>369</v>
      </c>
      <c r="J93" s="13" t="s">
        <v>577</v>
      </c>
    </row>
    <row r="94" spans="1:10" ht="25.5">
      <c r="A94" s="13" t="s">
        <v>49</v>
      </c>
      <c r="B94" s="13" t="s">
        <v>56</v>
      </c>
      <c r="C94" s="13" t="s">
        <v>392</v>
      </c>
      <c r="D94" s="13" t="s">
        <v>23</v>
      </c>
      <c r="E94" s="13" t="s">
        <v>576</v>
      </c>
      <c r="F94" s="13" t="s">
        <v>162</v>
      </c>
      <c r="G94" s="13" t="s">
        <v>166</v>
      </c>
      <c r="H94" s="13" t="s">
        <v>139</v>
      </c>
      <c r="I94" s="13" t="s">
        <v>392</v>
      </c>
      <c r="J94" s="13" t="s">
        <v>577</v>
      </c>
    </row>
    <row r="95" spans="1:10" ht="25.5">
      <c r="A95" s="13" t="s">
        <v>59</v>
      </c>
      <c r="B95" s="13" t="s">
        <v>68</v>
      </c>
      <c r="C95" s="13" t="s">
        <v>420</v>
      </c>
      <c r="D95" s="13" t="s">
        <v>23</v>
      </c>
      <c r="E95" s="13" t="s">
        <v>583</v>
      </c>
      <c r="F95" s="13" t="s">
        <v>162</v>
      </c>
      <c r="G95" s="13" t="s">
        <v>166</v>
      </c>
      <c r="H95" s="13" t="s">
        <v>139</v>
      </c>
      <c r="I95" s="13" t="s">
        <v>420</v>
      </c>
      <c r="J95" s="13" t="s">
        <v>577</v>
      </c>
    </row>
    <row r="96" spans="1:10" ht="25.5">
      <c r="A96" s="13" t="s">
        <v>49</v>
      </c>
      <c r="B96" s="13" t="s">
        <v>55</v>
      </c>
      <c r="C96" s="13" t="s">
        <v>389</v>
      </c>
      <c r="D96" s="13" t="s">
        <v>579</v>
      </c>
      <c r="E96" s="13" t="s">
        <v>580</v>
      </c>
      <c r="F96" s="13" t="s">
        <v>162</v>
      </c>
      <c r="G96" s="13" t="s">
        <v>166</v>
      </c>
      <c r="H96" s="13" t="s">
        <v>139</v>
      </c>
      <c r="I96" s="13" t="s">
        <v>389</v>
      </c>
      <c r="J96" s="13" t="s">
        <v>577</v>
      </c>
    </row>
    <row r="97" spans="1:10" ht="25.5">
      <c r="A97" s="13" t="s">
        <v>36</v>
      </c>
      <c r="B97" s="13" t="s">
        <v>46</v>
      </c>
      <c r="C97" s="13" t="s">
        <v>373</v>
      </c>
      <c r="D97" s="13" t="s">
        <v>579</v>
      </c>
      <c r="E97" s="13" t="s">
        <v>580</v>
      </c>
      <c r="F97" s="13" t="s">
        <v>162</v>
      </c>
      <c r="G97" s="13" t="s">
        <v>166</v>
      </c>
      <c r="H97" s="13" t="s">
        <v>139</v>
      </c>
      <c r="I97" s="13" t="s">
        <v>373</v>
      </c>
      <c r="J97" s="13" t="s">
        <v>577</v>
      </c>
    </row>
    <row r="98" spans="1:10" ht="25.5">
      <c r="A98" s="13" t="s">
        <v>104</v>
      </c>
      <c r="B98" s="13" t="s">
        <v>109</v>
      </c>
      <c r="C98" s="13" t="s">
        <v>486</v>
      </c>
      <c r="D98" s="13" t="s">
        <v>579</v>
      </c>
      <c r="E98" s="13" t="s">
        <v>581</v>
      </c>
      <c r="F98" s="13" t="s">
        <v>162</v>
      </c>
      <c r="G98" s="13" t="s">
        <v>166</v>
      </c>
      <c r="H98" s="13" t="s">
        <v>139</v>
      </c>
      <c r="I98" s="13" t="s">
        <v>486</v>
      </c>
      <c r="J98" s="13" t="s">
        <v>577</v>
      </c>
    </row>
    <row r="99" spans="1:10" ht="25.5">
      <c r="A99" s="13" t="s">
        <v>36</v>
      </c>
      <c r="B99" s="13" t="s">
        <v>38</v>
      </c>
      <c r="C99" s="13" t="s">
        <v>356</v>
      </c>
      <c r="D99" s="13" t="s">
        <v>23</v>
      </c>
      <c r="E99" s="13" t="s">
        <v>576</v>
      </c>
      <c r="F99" s="13" t="s">
        <v>162</v>
      </c>
      <c r="G99" s="13" t="s">
        <v>168</v>
      </c>
      <c r="H99" s="13" t="s">
        <v>78</v>
      </c>
      <c r="I99" s="13" t="s">
        <v>356</v>
      </c>
      <c r="J99" s="13" t="s">
        <v>577</v>
      </c>
    </row>
    <row r="100" spans="1:10" ht="25.5">
      <c r="A100" s="13" t="s">
        <v>36</v>
      </c>
      <c r="B100" s="13" t="s">
        <v>45</v>
      </c>
      <c r="C100" s="13" t="s">
        <v>369</v>
      </c>
      <c r="D100" s="13" t="s">
        <v>23</v>
      </c>
      <c r="E100" s="13" t="s">
        <v>576</v>
      </c>
      <c r="F100" s="13" t="s">
        <v>162</v>
      </c>
      <c r="G100" s="13" t="s">
        <v>168</v>
      </c>
      <c r="H100" s="13" t="s">
        <v>78</v>
      </c>
      <c r="I100" s="13" t="s">
        <v>369</v>
      </c>
      <c r="J100" s="13" t="s">
        <v>577</v>
      </c>
    </row>
    <row r="101" spans="1:10" ht="25.5">
      <c r="A101" s="13" t="s">
        <v>49</v>
      </c>
      <c r="B101" s="13" t="s">
        <v>56</v>
      </c>
      <c r="C101" s="13" t="s">
        <v>392</v>
      </c>
      <c r="D101" s="13" t="s">
        <v>23</v>
      </c>
      <c r="E101" s="13" t="s">
        <v>576</v>
      </c>
      <c r="F101" s="13" t="s">
        <v>162</v>
      </c>
      <c r="G101" s="13" t="s">
        <v>168</v>
      </c>
      <c r="H101" s="13" t="s">
        <v>78</v>
      </c>
      <c r="I101" s="13" t="s">
        <v>392</v>
      </c>
      <c r="J101" s="13" t="s">
        <v>577</v>
      </c>
    </row>
    <row r="102" spans="1:10" ht="25.5">
      <c r="A102" s="13" t="s">
        <v>59</v>
      </c>
      <c r="B102" s="13" t="s">
        <v>68</v>
      </c>
      <c r="C102" s="13" t="s">
        <v>420</v>
      </c>
      <c r="D102" s="13" t="s">
        <v>23</v>
      </c>
      <c r="E102" s="13" t="s">
        <v>583</v>
      </c>
      <c r="F102" s="13" t="s">
        <v>162</v>
      </c>
      <c r="G102" s="13" t="s">
        <v>168</v>
      </c>
      <c r="H102" s="13" t="s">
        <v>78</v>
      </c>
      <c r="I102" s="13" t="s">
        <v>420</v>
      </c>
      <c r="J102" s="13" t="s">
        <v>577</v>
      </c>
    </row>
    <row r="103" spans="1:10" ht="25.5">
      <c r="A103" s="13" t="s">
        <v>49</v>
      </c>
      <c r="B103" s="13" t="s">
        <v>57</v>
      </c>
      <c r="C103" s="13" t="s">
        <v>57</v>
      </c>
      <c r="D103" s="13" t="s">
        <v>579</v>
      </c>
      <c r="E103" s="13" t="s">
        <v>580</v>
      </c>
      <c r="F103" s="13" t="s">
        <v>162</v>
      </c>
      <c r="G103" s="13" t="s">
        <v>168</v>
      </c>
      <c r="H103" s="13" t="s">
        <v>78</v>
      </c>
      <c r="I103" s="13" t="s">
        <v>57</v>
      </c>
      <c r="J103" s="13" t="s">
        <v>577</v>
      </c>
    </row>
    <row r="104" spans="1:10" ht="25.5">
      <c r="A104" s="13" t="s">
        <v>59</v>
      </c>
      <c r="B104" s="13" t="s">
        <v>92</v>
      </c>
      <c r="C104" s="13" t="s">
        <v>447</v>
      </c>
      <c r="D104" s="13" t="s">
        <v>579</v>
      </c>
      <c r="E104" s="13" t="s">
        <v>580</v>
      </c>
      <c r="F104" s="13" t="s">
        <v>162</v>
      </c>
      <c r="G104" s="13" t="s">
        <v>168</v>
      </c>
      <c r="H104" s="13" t="s">
        <v>78</v>
      </c>
      <c r="I104" s="13" t="s">
        <v>447</v>
      </c>
      <c r="J104" s="13" t="s">
        <v>577</v>
      </c>
    </row>
    <row r="105" spans="1:10" ht="25.5">
      <c r="A105" s="13" t="s">
        <v>104</v>
      </c>
      <c r="B105" s="13" t="s">
        <v>109</v>
      </c>
      <c r="C105" s="13" t="s">
        <v>486</v>
      </c>
      <c r="D105" s="13" t="s">
        <v>579</v>
      </c>
      <c r="E105" s="13" t="s">
        <v>581</v>
      </c>
      <c r="F105" s="13" t="s">
        <v>162</v>
      </c>
      <c r="G105" s="13" t="s">
        <v>168</v>
      </c>
      <c r="H105" s="13" t="s">
        <v>78</v>
      </c>
      <c r="I105" s="13" t="s">
        <v>486</v>
      </c>
      <c r="J105" s="13" t="s">
        <v>577</v>
      </c>
    </row>
    <row r="106" spans="1:10" ht="25.5">
      <c r="A106" s="13" t="s">
        <v>104</v>
      </c>
      <c r="B106" s="13" t="s">
        <v>106</v>
      </c>
      <c r="C106" s="13" t="s">
        <v>477</v>
      </c>
      <c r="D106" s="13" t="s">
        <v>579</v>
      </c>
      <c r="E106" s="13" t="s">
        <v>581</v>
      </c>
      <c r="F106" s="13" t="s">
        <v>162</v>
      </c>
      <c r="G106" s="13" t="s">
        <v>168</v>
      </c>
      <c r="H106" s="13" t="s">
        <v>78</v>
      </c>
      <c r="I106" s="13" t="s">
        <v>477</v>
      </c>
      <c r="J106" s="13" t="s">
        <v>577</v>
      </c>
    </row>
    <row r="107" spans="1:10" ht="25.5">
      <c r="A107" s="13" t="s">
        <v>36</v>
      </c>
      <c r="B107" s="13" t="s">
        <v>38</v>
      </c>
      <c r="C107" s="13" t="s">
        <v>356</v>
      </c>
      <c r="D107" s="13" t="s">
        <v>23</v>
      </c>
      <c r="E107" s="13" t="s">
        <v>576</v>
      </c>
      <c r="F107" s="13" t="s">
        <v>162</v>
      </c>
      <c r="G107" s="13" t="s">
        <v>171</v>
      </c>
      <c r="H107" s="13" t="s">
        <v>139</v>
      </c>
      <c r="I107" s="13" t="s">
        <v>356</v>
      </c>
      <c r="J107" s="13" t="s">
        <v>577</v>
      </c>
    </row>
    <row r="108" spans="1:10" ht="25.5">
      <c r="A108" s="13" t="s">
        <v>36</v>
      </c>
      <c r="B108" s="13" t="s">
        <v>45</v>
      </c>
      <c r="C108" s="13" t="s">
        <v>369</v>
      </c>
      <c r="D108" s="13" t="s">
        <v>23</v>
      </c>
      <c r="E108" s="13" t="s">
        <v>576</v>
      </c>
      <c r="F108" s="13" t="s">
        <v>162</v>
      </c>
      <c r="G108" s="13" t="s">
        <v>171</v>
      </c>
      <c r="H108" s="13" t="s">
        <v>139</v>
      </c>
      <c r="I108" s="13" t="s">
        <v>369</v>
      </c>
      <c r="J108" s="13" t="s">
        <v>577</v>
      </c>
    </row>
    <row r="109" spans="1:10" ht="25.5">
      <c r="A109" s="13" t="s">
        <v>49</v>
      </c>
      <c r="B109" s="13" t="s">
        <v>56</v>
      </c>
      <c r="C109" s="13" t="s">
        <v>392</v>
      </c>
      <c r="D109" s="13" t="s">
        <v>23</v>
      </c>
      <c r="E109" s="13" t="s">
        <v>576</v>
      </c>
      <c r="F109" s="13" t="s">
        <v>162</v>
      </c>
      <c r="G109" s="13" t="s">
        <v>171</v>
      </c>
      <c r="H109" s="13" t="s">
        <v>139</v>
      </c>
      <c r="I109" s="13" t="s">
        <v>392</v>
      </c>
      <c r="J109" s="13" t="s">
        <v>577</v>
      </c>
    </row>
    <row r="110" spans="1:10" ht="25.5">
      <c r="A110" s="13" t="s">
        <v>59</v>
      </c>
      <c r="B110" s="13" t="s">
        <v>68</v>
      </c>
      <c r="C110" s="13" t="s">
        <v>420</v>
      </c>
      <c r="D110" s="13" t="s">
        <v>23</v>
      </c>
      <c r="E110" s="13" t="s">
        <v>583</v>
      </c>
      <c r="F110" s="13" t="s">
        <v>162</v>
      </c>
      <c r="G110" s="13" t="s">
        <v>171</v>
      </c>
      <c r="H110" s="13" t="s">
        <v>139</v>
      </c>
      <c r="I110" s="13" t="s">
        <v>420</v>
      </c>
      <c r="J110" s="13" t="s">
        <v>577</v>
      </c>
    </row>
    <row r="111" spans="1:10" ht="25.5">
      <c r="A111" s="13" t="s">
        <v>59</v>
      </c>
      <c r="B111" s="13" t="s">
        <v>60</v>
      </c>
      <c r="C111" s="13" t="s">
        <v>401</v>
      </c>
      <c r="D111" s="13" t="s">
        <v>579</v>
      </c>
      <c r="E111" s="13" t="s">
        <v>580</v>
      </c>
      <c r="F111" s="13" t="s">
        <v>162</v>
      </c>
      <c r="G111" s="13" t="s">
        <v>171</v>
      </c>
      <c r="H111" s="13" t="s">
        <v>139</v>
      </c>
      <c r="I111" s="13" t="s">
        <v>401</v>
      </c>
      <c r="J111" s="13" t="s">
        <v>577</v>
      </c>
    </row>
    <row r="112" spans="1:10" ht="25.5">
      <c r="A112" s="13" t="s">
        <v>104</v>
      </c>
      <c r="B112" s="13" t="s">
        <v>108</v>
      </c>
      <c r="C112" s="13" t="s">
        <v>483</v>
      </c>
      <c r="D112" s="13" t="s">
        <v>579</v>
      </c>
      <c r="E112" s="13" t="s">
        <v>581</v>
      </c>
      <c r="F112" s="13" t="s">
        <v>162</v>
      </c>
      <c r="G112" s="13" t="s">
        <v>171</v>
      </c>
      <c r="H112" s="13" t="s">
        <v>139</v>
      </c>
      <c r="I112" s="13" t="s">
        <v>483</v>
      </c>
      <c r="J112" s="13" t="s">
        <v>577</v>
      </c>
    </row>
    <row r="113" spans="1:10" ht="25.5">
      <c r="A113" s="13" t="s">
        <v>104</v>
      </c>
      <c r="B113" s="13" t="s">
        <v>109</v>
      </c>
      <c r="C113" s="13" t="s">
        <v>486</v>
      </c>
      <c r="D113" s="13" t="s">
        <v>579</v>
      </c>
      <c r="E113" s="13" t="s">
        <v>581</v>
      </c>
      <c r="F113" s="13" t="s">
        <v>162</v>
      </c>
      <c r="G113" s="13" t="s">
        <v>171</v>
      </c>
      <c r="H113" s="13" t="s">
        <v>139</v>
      </c>
      <c r="I113" s="13" t="s">
        <v>486</v>
      </c>
      <c r="J113" s="13" t="s">
        <v>577</v>
      </c>
    </row>
    <row r="114" spans="1:10" ht="25.5">
      <c r="A114" s="13" t="s">
        <v>94</v>
      </c>
      <c r="B114" s="13" t="s">
        <v>97</v>
      </c>
      <c r="C114" s="13" t="s">
        <v>459</v>
      </c>
      <c r="D114" s="13" t="s">
        <v>579</v>
      </c>
      <c r="E114" s="13" t="s">
        <v>581</v>
      </c>
      <c r="F114" s="13" t="s">
        <v>162</v>
      </c>
      <c r="G114" s="13" t="s">
        <v>171</v>
      </c>
      <c r="H114" s="13" t="s">
        <v>139</v>
      </c>
      <c r="I114" s="13" t="s">
        <v>459</v>
      </c>
      <c r="J114" s="13" t="s">
        <v>577</v>
      </c>
    </row>
    <row r="115" spans="1:10" ht="25.5">
      <c r="A115" s="13" t="s">
        <v>59</v>
      </c>
      <c r="B115" s="13" t="s">
        <v>62</v>
      </c>
      <c r="C115" s="13" t="s">
        <v>407</v>
      </c>
      <c r="D115" s="13" t="s">
        <v>23</v>
      </c>
      <c r="E115" s="13" t="s">
        <v>576</v>
      </c>
      <c r="F115" s="13" t="s">
        <v>174</v>
      </c>
      <c r="G115" s="13" t="s">
        <v>175</v>
      </c>
      <c r="H115" s="13" t="s">
        <v>139</v>
      </c>
      <c r="I115" s="13" t="s">
        <v>407</v>
      </c>
      <c r="J115" s="13" t="s">
        <v>577</v>
      </c>
    </row>
    <row r="116" spans="1:10" ht="25.5">
      <c r="A116" s="13" t="s">
        <v>49</v>
      </c>
      <c r="B116" s="13" t="s">
        <v>50</v>
      </c>
      <c r="C116" s="13" t="s">
        <v>379</v>
      </c>
      <c r="D116" s="13" t="s">
        <v>23</v>
      </c>
      <c r="E116" s="13" t="s">
        <v>576</v>
      </c>
      <c r="F116" s="13" t="s">
        <v>174</v>
      </c>
      <c r="G116" s="13" t="s">
        <v>175</v>
      </c>
      <c r="H116" s="13" t="s">
        <v>139</v>
      </c>
      <c r="I116" s="13" t="s">
        <v>379</v>
      </c>
      <c r="J116" s="13" t="s">
        <v>577</v>
      </c>
    </row>
    <row r="117" spans="1:10" ht="25.5">
      <c r="A117" s="13" t="s">
        <v>49</v>
      </c>
      <c r="B117" s="13" t="s">
        <v>56</v>
      </c>
      <c r="C117" s="13" t="s">
        <v>392</v>
      </c>
      <c r="D117" s="13" t="s">
        <v>23</v>
      </c>
      <c r="E117" s="13" t="s">
        <v>576</v>
      </c>
      <c r="F117" s="13" t="s">
        <v>174</v>
      </c>
      <c r="G117" s="13" t="s">
        <v>175</v>
      </c>
      <c r="H117" s="13" t="s">
        <v>139</v>
      </c>
      <c r="I117" s="13" t="s">
        <v>392</v>
      </c>
      <c r="J117" s="13" t="s">
        <v>577</v>
      </c>
    </row>
    <row r="118" spans="1:10" ht="25.5">
      <c r="A118" s="13" t="s">
        <v>59</v>
      </c>
      <c r="B118" s="13" t="s">
        <v>83</v>
      </c>
      <c r="C118" s="13" t="s">
        <v>83</v>
      </c>
      <c r="D118" s="13" t="s">
        <v>23</v>
      </c>
      <c r="E118" s="13" t="s">
        <v>576</v>
      </c>
      <c r="F118" s="13" t="s">
        <v>174</v>
      </c>
      <c r="G118" s="13" t="s">
        <v>175</v>
      </c>
      <c r="H118" s="13" t="s">
        <v>139</v>
      </c>
      <c r="I118" s="13" t="s">
        <v>83</v>
      </c>
      <c r="J118" s="13" t="s">
        <v>577</v>
      </c>
    </row>
    <row r="119" spans="1:10" ht="25.5">
      <c r="A119" s="13" t="s">
        <v>59</v>
      </c>
      <c r="B119" s="13" t="s">
        <v>66</v>
      </c>
      <c r="C119" s="13" t="s">
        <v>417</v>
      </c>
      <c r="D119" s="13" t="s">
        <v>23</v>
      </c>
      <c r="E119" s="13" t="s">
        <v>583</v>
      </c>
      <c r="F119" s="13" t="s">
        <v>174</v>
      </c>
      <c r="G119" s="13" t="s">
        <v>175</v>
      </c>
      <c r="H119" s="13" t="s">
        <v>139</v>
      </c>
      <c r="I119" s="13" t="s">
        <v>417</v>
      </c>
      <c r="J119" s="13" t="s">
        <v>577</v>
      </c>
    </row>
    <row r="120" spans="1:10" ht="25.5">
      <c r="A120" s="13" t="s">
        <v>59</v>
      </c>
      <c r="B120" s="13" t="s">
        <v>61</v>
      </c>
      <c r="C120" s="13" t="s">
        <v>404</v>
      </c>
      <c r="D120" s="13" t="s">
        <v>579</v>
      </c>
      <c r="E120" s="13" t="s">
        <v>580</v>
      </c>
      <c r="F120" s="13" t="s">
        <v>174</v>
      </c>
      <c r="G120" s="13" t="s">
        <v>175</v>
      </c>
      <c r="H120" s="13" t="s">
        <v>139</v>
      </c>
      <c r="I120" s="13" t="s">
        <v>404</v>
      </c>
      <c r="J120" s="13" t="s">
        <v>577</v>
      </c>
    </row>
    <row r="121" spans="1:10" ht="25.5">
      <c r="A121" s="13" t="s">
        <v>98</v>
      </c>
      <c r="B121" s="13" t="s">
        <v>99</v>
      </c>
      <c r="C121" s="13" t="s">
        <v>462</v>
      </c>
      <c r="D121" s="13" t="s">
        <v>579</v>
      </c>
      <c r="E121" s="13" t="s">
        <v>581</v>
      </c>
      <c r="F121" s="13" t="s">
        <v>174</v>
      </c>
      <c r="G121" s="13" t="s">
        <v>175</v>
      </c>
      <c r="H121" s="13" t="s">
        <v>139</v>
      </c>
      <c r="I121" s="13" t="s">
        <v>462</v>
      </c>
      <c r="J121" s="13" t="s">
        <v>577</v>
      </c>
    </row>
    <row r="122" spans="1:10" ht="25.5">
      <c r="A122" s="13" t="s">
        <v>104</v>
      </c>
      <c r="B122" s="13" t="s">
        <v>106</v>
      </c>
      <c r="C122" s="13" t="s">
        <v>477</v>
      </c>
      <c r="D122" s="13" t="s">
        <v>579</v>
      </c>
      <c r="E122" s="13" t="s">
        <v>581</v>
      </c>
      <c r="F122" s="13" t="s">
        <v>174</v>
      </c>
      <c r="G122" s="13" t="s">
        <v>175</v>
      </c>
      <c r="H122" s="13" t="s">
        <v>139</v>
      </c>
      <c r="I122" s="13" t="s">
        <v>477</v>
      </c>
      <c r="J122" s="13" t="s">
        <v>577</v>
      </c>
    </row>
    <row r="123" spans="1:10" ht="25.5">
      <c r="A123" s="13" t="s">
        <v>59</v>
      </c>
      <c r="B123" s="13" t="s">
        <v>62</v>
      </c>
      <c r="C123" s="13" t="s">
        <v>407</v>
      </c>
      <c r="D123" s="13" t="s">
        <v>23</v>
      </c>
      <c r="E123" s="13" t="s">
        <v>576</v>
      </c>
      <c r="F123" s="13" t="s">
        <v>174</v>
      </c>
      <c r="G123" s="13" t="s">
        <v>178</v>
      </c>
      <c r="H123" s="13" t="s">
        <v>139</v>
      </c>
      <c r="I123" s="13" t="s">
        <v>407</v>
      </c>
      <c r="J123" s="13" t="s">
        <v>577</v>
      </c>
    </row>
    <row r="124" spans="1:10" ht="25.5">
      <c r="A124" s="13" t="s">
        <v>49</v>
      </c>
      <c r="B124" s="13" t="s">
        <v>50</v>
      </c>
      <c r="C124" s="13" t="s">
        <v>379</v>
      </c>
      <c r="D124" s="13" t="s">
        <v>23</v>
      </c>
      <c r="E124" s="13" t="s">
        <v>576</v>
      </c>
      <c r="F124" s="13" t="s">
        <v>174</v>
      </c>
      <c r="G124" s="13" t="s">
        <v>178</v>
      </c>
      <c r="H124" s="13" t="s">
        <v>139</v>
      </c>
      <c r="I124" s="13" t="s">
        <v>379</v>
      </c>
      <c r="J124" s="13" t="s">
        <v>577</v>
      </c>
    </row>
    <row r="125" spans="1:10" ht="25.5">
      <c r="A125" s="13" t="s">
        <v>49</v>
      </c>
      <c r="B125" s="13" t="s">
        <v>56</v>
      </c>
      <c r="C125" s="13" t="s">
        <v>392</v>
      </c>
      <c r="D125" s="13" t="s">
        <v>23</v>
      </c>
      <c r="E125" s="13" t="s">
        <v>576</v>
      </c>
      <c r="F125" s="13" t="s">
        <v>174</v>
      </c>
      <c r="G125" s="13" t="s">
        <v>178</v>
      </c>
      <c r="H125" s="13" t="s">
        <v>139</v>
      </c>
      <c r="I125" s="13" t="s">
        <v>392</v>
      </c>
      <c r="J125" s="13" t="s">
        <v>577</v>
      </c>
    </row>
    <row r="126" spans="1:10" ht="25.5">
      <c r="A126" s="13" t="s">
        <v>59</v>
      </c>
      <c r="B126" s="13" t="s">
        <v>83</v>
      </c>
      <c r="C126" s="13" t="s">
        <v>83</v>
      </c>
      <c r="D126" s="13" t="s">
        <v>23</v>
      </c>
      <c r="E126" s="13" t="s">
        <v>576</v>
      </c>
      <c r="F126" s="13" t="s">
        <v>174</v>
      </c>
      <c r="G126" s="13" t="s">
        <v>178</v>
      </c>
      <c r="H126" s="13" t="s">
        <v>139</v>
      </c>
      <c r="I126" s="13" t="s">
        <v>83</v>
      </c>
      <c r="J126" s="13" t="s">
        <v>577</v>
      </c>
    </row>
    <row r="127" spans="1:10" ht="25.5">
      <c r="A127" s="13" t="s">
        <v>59</v>
      </c>
      <c r="B127" s="13" t="s">
        <v>66</v>
      </c>
      <c r="C127" s="13" t="s">
        <v>417</v>
      </c>
      <c r="D127" s="13" t="s">
        <v>23</v>
      </c>
      <c r="E127" s="13" t="s">
        <v>583</v>
      </c>
      <c r="F127" s="13" t="s">
        <v>174</v>
      </c>
      <c r="G127" s="13" t="s">
        <v>178</v>
      </c>
      <c r="H127" s="13" t="s">
        <v>139</v>
      </c>
      <c r="I127" s="13" t="s">
        <v>417</v>
      </c>
      <c r="J127" s="13" t="s">
        <v>577</v>
      </c>
    </row>
    <row r="128" spans="1:10" ht="25.5">
      <c r="A128" s="13" t="s">
        <v>59</v>
      </c>
      <c r="B128" s="13" t="s">
        <v>60</v>
      </c>
      <c r="C128" s="13" t="s">
        <v>401</v>
      </c>
      <c r="D128" s="13" t="s">
        <v>579</v>
      </c>
      <c r="E128" s="13" t="s">
        <v>580</v>
      </c>
      <c r="F128" s="13" t="s">
        <v>174</v>
      </c>
      <c r="G128" s="13" t="s">
        <v>178</v>
      </c>
      <c r="H128" s="13" t="s">
        <v>139</v>
      </c>
      <c r="I128" s="13" t="s">
        <v>401</v>
      </c>
      <c r="J128" s="13" t="s">
        <v>577</v>
      </c>
    </row>
    <row r="129" spans="1:10" ht="25.5">
      <c r="A129" s="13" t="s">
        <v>98</v>
      </c>
      <c r="B129" s="13" t="s">
        <v>100</v>
      </c>
      <c r="C129" s="13" t="s">
        <v>466</v>
      </c>
      <c r="D129" s="13" t="s">
        <v>579</v>
      </c>
      <c r="E129" s="13" t="s">
        <v>581</v>
      </c>
      <c r="F129" s="13" t="s">
        <v>174</v>
      </c>
      <c r="G129" s="13" t="s">
        <v>178</v>
      </c>
      <c r="H129" s="13" t="s">
        <v>139</v>
      </c>
      <c r="I129" s="13" t="s">
        <v>466</v>
      </c>
      <c r="J129" s="13" t="s">
        <v>577</v>
      </c>
    </row>
    <row r="130" spans="1:10" ht="25.5">
      <c r="A130" s="13" t="s">
        <v>59</v>
      </c>
      <c r="B130" s="13" t="s">
        <v>62</v>
      </c>
      <c r="C130" s="13" t="s">
        <v>407</v>
      </c>
      <c r="D130" s="13" t="s">
        <v>23</v>
      </c>
      <c r="E130" s="13" t="s">
        <v>576</v>
      </c>
      <c r="F130" s="13" t="s">
        <v>174</v>
      </c>
      <c r="G130" s="13" t="s">
        <v>180</v>
      </c>
      <c r="H130" s="13" t="s">
        <v>84</v>
      </c>
      <c r="I130" s="13" t="s">
        <v>407</v>
      </c>
      <c r="J130" s="13" t="s">
        <v>577</v>
      </c>
    </row>
    <row r="131" spans="1:10" ht="25.5">
      <c r="A131" s="13" t="s">
        <v>49</v>
      </c>
      <c r="B131" s="13" t="s">
        <v>50</v>
      </c>
      <c r="C131" s="13" t="s">
        <v>379</v>
      </c>
      <c r="D131" s="13" t="s">
        <v>23</v>
      </c>
      <c r="E131" s="13" t="s">
        <v>576</v>
      </c>
      <c r="F131" s="13" t="s">
        <v>174</v>
      </c>
      <c r="G131" s="13" t="s">
        <v>180</v>
      </c>
      <c r="H131" s="13" t="s">
        <v>84</v>
      </c>
      <c r="I131" s="13" t="s">
        <v>379</v>
      </c>
      <c r="J131" s="13" t="s">
        <v>577</v>
      </c>
    </row>
    <row r="132" spans="1:10" ht="25.5">
      <c r="A132" s="13" t="s">
        <v>49</v>
      </c>
      <c r="B132" s="13" t="s">
        <v>56</v>
      </c>
      <c r="C132" s="13" t="s">
        <v>392</v>
      </c>
      <c r="D132" s="13" t="s">
        <v>23</v>
      </c>
      <c r="E132" s="13" t="s">
        <v>576</v>
      </c>
      <c r="F132" s="13" t="s">
        <v>174</v>
      </c>
      <c r="G132" s="13" t="s">
        <v>180</v>
      </c>
      <c r="H132" s="13" t="s">
        <v>84</v>
      </c>
      <c r="I132" s="13" t="s">
        <v>392</v>
      </c>
      <c r="J132" s="13" t="s">
        <v>577</v>
      </c>
    </row>
    <row r="133" spans="1:10" ht="25.5">
      <c r="A133" s="13" t="s">
        <v>59</v>
      </c>
      <c r="B133" s="13" t="s">
        <v>83</v>
      </c>
      <c r="C133" s="13" t="s">
        <v>83</v>
      </c>
      <c r="D133" s="13" t="s">
        <v>23</v>
      </c>
      <c r="E133" s="13" t="s">
        <v>576</v>
      </c>
      <c r="F133" s="13" t="s">
        <v>174</v>
      </c>
      <c r="G133" s="13" t="s">
        <v>180</v>
      </c>
      <c r="H133" s="13" t="s">
        <v>84</v>
      </c>
      <c r="I133" s="13" t="s">
        <v>83</v>
      </c>
      <c r="J133" s="13" t="s">
        <v>577</v>
      </c>
    </row>
    <row r="134" spans="1:10" ht="25.5">
      <c r="A134" s="13" t="s">
        <v>59</v>
      </c>
      <c r="B134" s="13" t="s">
        <v>66</v>
      </c>
      <c r="C134" s="13" t="s">
        <v>417</v>
      </c>
      <c r="D134" s="13" t="s">
        <v>23</v>
      </c>
      <c r="E134" s="13" t="s">
        <v>583</v>
      </c>
      <c r="F134" s="13" t="s">
        <v>174</v>
      </c>
      <c r="G134" s="13" t="s">
        <v>180</v>
      </c>
      <c r="H134" s="13" t="s">
        <v>84</v>
      </c>
      <c r="I134" s="13" t="s">
        <v>417</v>
      </c>
      <c r="J134" s="13" t="s">
        <v>577</v>
      </c>
    </row>
    <row r="135" spans="1:10" ht="25.5">
      <c r="A135" s="13" t="s">
        <v>59</v>
      </c>
      <c r="B135" s="13" t="s">
        <v>91</v>
      </c>
      <c r="C135" s="13" t="s">
        <v>444</v>
      </c>
      <c r="D135" s="13" t="s">
        <v>579</v>
      </c>
      <c r="E135" s="13" t="s">
        <v>580</v>
      </c>
      <c r="F135" s="13" t="s">
        <v>174</v>
      </c>
      <c r="G135" s="13" t="s">
        <v>180</v>
      </c>
      <c r="H135" s="13" t="s">
        <v>84</v>
      </c>
      <c r="I135" s="13" t="s">
        <v>444</v>
      </c>
      <c r="J135" s="13" t="s">
        <v>577</v>
      </c>
    </row>
    <row r="136" spans="1:10" ht="25.5">
      <c r="A136" s="13" t="s">
        <v>59</v>
      </c>
      <c r="B136" s="13" t="s">
        <v>93</v>
      </c>
      <c r="C136" s="13" t="s">
        <v>450</v>
      </c>
      <c r="D136" s="13" t="s">
        <v>579</v>
      </c>
      <c r="E136" s="13" t="s">
        <v>580</v>
      </c>
      <c r="F136" s="13" t="s">
        <v>174</v>
      </c>
      <c r="G136" s="13" t="s">
        <v>180</v>
      </c>
      <c r="H136" s="13" t="s">
        <v>84</v>
      </c>
      <c r="I136" s="13" t="s">
        <v>450</v>
      </c>
      <c r="J136" s="13" t="s">
        <v>577</v>
      </c>
    </row>
    <row r="137" spans="1:10" ht="25.5">
      <c r="A137" s="13" t="s">
        <v>36</v>
      </c>
      <c r="B137" s="13" t="s">
        <v>37</v>
      </c>
      <c r="C137" s="13" t="s">
        <v>351</v>
      </c>
      <c r="D137" s="13" t="s">
        <v>23</v>
      </c>
      <c r="E137" s="13" t="s">
        <v>576</v>
      </c>
      <c r="F137" s="13" t="s">
        <v>183</v>
      </c>
      <c r="G137" s="13" t="s">
        <v>184</v>
      </c>
      <c r="H137" s="13" t="s">
        <v>81</v>
      </c>
      <c r="I137" s="13" t="s">
        <v>351</v>
      </c>
      <c r="J137" s="13" t="s">
        <v>577</v>
      </c>
    </row>
    <row r="138" spans="1:10" ht="25.5">
      <c r="A138" s="13" t="s">
        <v>49</v>
      </c>
      <c r="B138" s="13" t="s">
        <v>50</v>
      </c>
      <c r="C138" s="13" t="s">
        <v>379</v>
      </c>
      <c r="D138" s="13" t="s">
        <v>23</v>
      </c>
      <c r="E138" s="13" t="s">
        <v>576</v>
      </c>
      <c r="F138" s="13" t="s">
        <v>183</v>
      </c>
      <c r="G138" s="13" t="s">
        <v>184</v>
      </c>
      <c r="H138" s="13" t="s">
        <v>81</v>
      </c>
      <c r="I138" s="13" t="s">
        <v>379</v>
      </c>
      <c r="J138" s="13" t="s">
        <v>577</v>
      </c>
    </row>
    <row r="139" spans="1:10" ht="25.5">
      <c r="A139" s="13" t="s">
        <v>49</v>
      </c>
      <c r="B139" s="13" t="s">
        <v>53</v>
      </c>
      <c r="C139" s="13" t="s">
        <v>382</v>
      </c>
      <c r="D139" s="13" t="s">
        <v>23</v>
      </c>
      <c r="E139" s="13" t="s">
        <v>576</v>
      </c>
      <c r="F139" s="13" t="s">
        <v>183</v>
      </c>
      <c r="G139" s="13" t="s">
        <v>184</v>
      </c>
      <c r="H139" s="13" t="s">
        <v>81</v>
      </c>
      <c r="I139" s="13" t="s">
        <v>382</v>
      </c>
      <c r="J139" s="13" t="s">
        <v>577</v>
      </c>
    </row>
    <row r="140" spans="1:10" ht="25.5">
      <c r="A140" s="13" t="s">
        <v>59</v>
      </c>
      <c r="B140" s="13" t="s">
        <v>90</v>
      </c>
      <c r="C140" s="13" t="s">
        <v>90</v>
      </c>
      <c r="D140" s="13" t="s">
        <v>23</v>
      </c>
      <c r="E140" s="13" t="s">
        <v>576</v>
      </c>
      <c r="F140" s="13" t="s">
        <v>183</v>
      </c>
      <c r="G140" s="13" t="s">
        <v>184</v>
      </c>
      <c r="H140" s="13" t="s">
        <v>81</v>
      </c>
      <c r="I140" s="13" t="s">
        <v>90</v>
      </c>
      <c r="J140" s="13" t="s">
        <v>577</v>
      </c>
    </row>
    <row r="141" spans="1:10" ht="25.5">
      <c r="A141" s="13" t="s">
        <v>59</v>
      </c>
      <c r="B141" s="13" t="s">
        <v>68</v>
      </c>
      <c r="C141" s="13" t="s">
        <v>420</v>
      </c>
      <c r="D141" s="13" t="s">
        <v>23</v>
      </c>
      <c r="E141" s="13" t="s">
        <v>583</v>
      </c>
      <c r="F141" s="13" t="s">
        <v>183</v>
      </c>
      <c r="G141" s="13" t="s">
        <v>184</v>
      </c>
      <c r="H141" s="13" t="s">
        <v>81</v>
      </c>
      <c r="I141" s="13" t="s">
        <v>420</v>
      </c>
      <c r="J141" s="13" t="s">
        <v>577</v>
      </c>
    </row>
    <row r="142" spans="1:10" ht="25.5">
      <c r="A142" s="13" t="s">
        <v>59</v>
      </c>
      <c r="B142" s="13" t="s">
        <v>77</v>
      </c>
      <c r="C142" s="13" t="s">
        <v>430</v>
      </c>
      <c r="D142" s="13" t="s">
        <v>579</v>
      </c>
      <c r="E142" s="13" t="s">
        <v>580</v>
      </c>
      <c r="F142" s="13" t="s">
        <v>183</v>
      </c>
      <c r="G142" s="13" t="s">
        <v>184</v>
      </c>
      <c r="H142" s="13" t="s">
        <v>81</v>
      </c>
      <c r="I142" s="13" t="s">
        <v>430</v>
      </c>
      <c r="J142" s="13" t="s">
        <v>577</v>
      </c>
    </row>
    <row r="143" spans="1:10" ht="25.5">
      <c r="A143" s="13" t="s">
        <v>49</v>
      </c>
      <c r="B143" s="13" t="s">
        <v>57</v>
      </c>
      <c r="C143" s="13" t="s">
        <v>57</v>
      </c>
      <c r="D143" s="13" t="s">
        <v>579</v>
      </c>
      <c r="E143" s="13" t="s">
        <v>580</v>
      </c>
      <c r="F143" s="13" t="s">
        <v>183</v>
      </c>
      <c r="G143" s="13" t="s">
        <v>184</v>
      </c>
      <c r="H143" s="13" t="s">
        <v>81</v>
      </c>
      <c r="I143" s="13" t="s">
        <v>57</v>
      </c>
      <c r="J143" s="13" t="s">
        <v>577</v>
      </c>
    </row>
    <row r="144" spans="1:10" ht="25.5">
      <c r="A144" s="13" t="s">
        <v>36</v>
      </c>
      <c r="B144" s="13" t="s">
        <v>37</v>
      </c>
      <c r="C144" s="13" t="s">
        <v>351</v>
      </c>
      <c r="D144" s="13" t="s">
        <v>23</v>
      </c>
      <c r="E144" s="13" t="s">
        <v>576</v>
      </c>
      <c r="F144" s="13" t="s">
        <v>183</v>
      </c>
      <c r="G144" s="13" t="s">
        <v>186</v>
      </c>
      <c r="H144" s="13" t="s">
        <v>78</v>
      </c>
      <c r="I144" s="13" t="s">
        <v>351</v>
      </c>
      <c r="J144" s="13" t="s">
        <v>577</v>
      </c>
    </row>
    <row r="145" spans="1:10" ht="25.5">
      <c r="A145" s="13" t="s">
        <v>49</v>
      </c>
      <c r="B145" s="13" t="s">
        <v>50</v>
      </c>
      <c r="C145" s="13" t="s">
        <v>379</v>
      </c>
      <c r="D145" s="13" t="s">
        <v>23</v>
      </c>
      <c r="E145" s="13" t="s">
        <v>576</v>
      </c>
      <c r="F145" s="13" t="s">
        <v>183</v>
      </c>
      <c r="G145" s="13" t="s">
        <v>186</v>
      </c>
      <c r="H145" s="13" t="s">
        <v>78</v>
      </c>
      <c r="I145" s="13" t="s">
        <v>379</v>
      </c>
      <c r="J145" s="13" t="s">
        <v>577</v>
      </c>
    </row>
    <row r="146" spans="1:10" ht="25.5">
      <c r="A146" s="13" t="s">
        <v>49</v>
      </c>
      <c r="B146" s="13" t="s">
        <v>53</v>
      </c>
      <c r="C146" s="13" t="s">
        <v>382</v>
      </c>
      <c r="D146" s="13" t="s">
        <v>23</v>
      </c>
      <c r="E146" s="13" t="s">
        <v>576</v>
      </c>
      <c r="F146" s="13" t="s">
        <v>183</v>
      </c>
      <c r="G146" s="13" t="s">
        <v>186</v>
      </c>
      <c r="H146" s="13" t="s">
        <v>78</v>
      </c>
      <c r="I146" s="13" t="s">
        <v>382</v>
      </c>
      <c r="J146" s="13" t="s">
        <v>577</v>
      </c>
    </row>
    <row r="147" spans="1:10" ht="25.5">
      <c r="A147" s="13" t="s">
        <v>59</v>
      </c>
      <c r="B147" s="13" t="s">
        <v>90</v>
      </c>
      <c r="C147" s="13" t="s">
        <v>90</v>
      </c>
      <c r="D147" s="13" t="s">
        <v>23</v>
      </c>
      <c r="E147" s="13" t="s">
        <v>576</v>
      </c>
      <c r="F147" s="13" t="s">
        <v>183</v>
      </c>
      <c r="G147" s="13" t="s">
        <v>186</v>
      </c>
      <c r="H147" s="13" t="s">
        <v>78</v>
      </c>
      <c r="I147" s="13" t="s">
        <v>90</v>
      </c>
      <c r="J147" s="13" t="s">
        <v>577</v>
      </c>
    </row>
    <row r="148" spans="1:10" ht="25.5">
      <c r="A148" s="13" t="s">
        <v>59</v>
      </c>
      <c r="B148" s="13" t="s">
        <v>68</v>
      </c>
      <c r="C148" s="13" t="s">
        <v>420</v>
      </c>
      <c r="D148" s="13" t="s">
        <v>23</v>
      </c>
      <c r="E148" s="13" t="s">
        <v>583</v>
      </c>
      <c r="F148" s="13" t="s">
        <v>183</v>
      </c>
      <c r="G148" s="13" t="s">
        <v>186</v>
      </c>
      <c r="H148" s="13" t="s">
        <v>78</v>
      </c>
      <c r="I148" s="13" t="s">
        <v>420</v>
      </c>
      <c r="J148" s="13" t="s">
        <v>577</v>
      </c>
    </row>
    <row r="149" spans="1:10" ht="25.5">
      <c r="A149" s="13" t="s">
        <v>104</v>
      </c>
      <c r="B149" s="13" t="s">
        <v>106</v>
      </c>
      <c r="C149" s="13" t="s">
        <v>477</v>
      </c>
      <c r="D149" s="13" t="s">
        <v>579</v>
      </c>
      <c r="E149" s="13" t="s">
        <v>580</v>
      </c>
      <c r="F149" s="13" t="s">
        <v>183</v>
      </c>
      <c r="G149" s="13" t="s">
        <v>186</v>
      </c>
      <c r="H149" s="13" t="s">
        <v>78</v>
      </c>
      <c r="I149" s="13" t="s">
        <v>477</v>
      </c>
      <c r="J149" s="13" t="s">
        <v>577</v>
      </c>
    </row>
    <row r="150" spans="1:10" ht="25.5">
      <c r="A150" s="13" t="s">
        <v>104</v>
      </c>
      <c r="B150" s="13" t="s">
        <v>107</v>
      </c>
      <c r="C150" s="13" t="s">
        <v>480</v>
      </c>
      <c r="D150" s="13" t="s">
        <v>579</v>
      </c>
      <c r="E150" s="13" t="s">
        <v>580</v>
      </c>
      <c r="F150" s="13" t="s">
        <v>183</v>
      </c>
      <c r="G150" s="13" t="s">
        <v>186</v>
      </c>
      <c r="H150" s="13" t="s">
        <v>78</v>
      </c>
      <c r="I150" s="13" t="s">
        <v>480</v>
      </c>
      <c r="J150" s="13" t="s">
        <v>577</v>
      </c>
    </row>
    <row r="151" spans="1:10" ht="25.5">
      <c r="A151" s="13" t="s">
        <v>104</v>
      </c>
      <c r="B151" s="13" t="s">
        <v>105</v>
      </c>
      <c r="C151" s="13" t="s">
        <v>105</v>
      </c>
      <c r="D151" s="13" t="s">
        <v>579</v>
      </c>
      <c r="E151" s="13" t="s">
        <v>581</v>
      </c>
      <c r="F151" s="13" t="s">
        <v>183</v>
      </c>
      <c r="G151" s="13" t="s">
        <v>186</v>
      </c>
      <c r="H151" s="13" t="s">
        <v>78</v>
      </c>
      <c r="I151" s="13" t="s">
        <v>105</v>
      </c>
      <c r="J151" s="13" t="s">
        <v>577</v>
      </c>
    </row>
    <row r="152" spans="1:10" ht="25.5">
      <c r="A152" s="13" t="s">
        <v>36</v>
      </c>
      <c r="B152" s="13" t="s">
        <v>37</v>
      </c>
      <c r="C152" s="13" t="s">
        <v>351</v>
      </c>
      <c r="D152" s="13" t="s">
        <v>23</v>
      </c>
      <c r="E152" s="13" t="s">
        <v>576</v>
      </c>
      <c r="F152" s="13" t="s">
        <v>183</v>
      </c>
      <c r="G152" s="13" t="s">
        <v>189</v>
      </c>
      <c r="H152" s="13" t="s">
        <v>139</v>
      </c>
      <c r="I152" s="13" t="s">
        <v>351</v>
      </c>
      <c r="J152" s="13" t="s">
        <v>577</v>
      </c>
    </row>
    <row r="153" spans="1:10" ht="25.5">
      <c r="A153" s="13" t="s">
        <v>49</v>
      </c>
      <c r="B153" s="13" t="s">
        <v>50</v>
      </c>
      <c r="C153" s="13" t="s">
        <v>379</v>
      </c>
      <c r="D153" s="13" t="s">
        <v>23</v>
      </c>
      <c r="E153" s="13" t="s">
        <v>576</v>
      </c>
      <c r="F153" s="13" t="s">
        <v>183</v>
      </c>
      <c r="G153" s="13" t="s">
        <v>189</v>
      </c>
      <c r="H153" s="13" t="s">
        <v>139</v>
      </c>
      <c r="I153" s="13" t="s">
        <v>379</v>
      </c>
      <c r="J153" s="13" t="s">
        <v>577</v>
      </c>
    </row>
    <row r="154" spans="1:10" ht="25.5">
      <c r="A154" s="13" t="s">
        <v>49</v>
      </c>
      <c r="B154" s="13" t="s">
        <v>53</v>
      </c>
      <c r="C154" s="13" t="s">
        <v>382</v>
      </c>
      <c r="D154" s="13" t="s">
        <v>23</v>
      </c>
      <c r="E154" s="13" t="s">
        <v>576</v>
      </c>
      <c r="F154" s="13" t="s">
        <v>183</v>
      </c>
      <c r="G154" s="13" t="s">
        <v>189</v>
      </c>
      <c r="H154" s="13" t="s">
        <v>139</v>
      </c>
      <c r="I154" s="13" t="s">
        <v>382</v>
      </c>
      <c r="J154" s="13" t="s">
        <v>577</v>
      </c>
    </row>
    <row r="155" spans="1:10" ht="25.5">
      <c r="A155" s="13" t="s">
        <v>59</v>
      </c>
      <c r="B155" s="13" t="s">
        <v>90</v>
      </c>
      <c r="C155" s="13" t="s">
        <v>90</v>
      </c>
      <c r="D155" s="13" t="s">
        <v>23</v>
      </c>
      <c r="E155" s="13" t="s">
        <v>576</v>
      </c>
      <c r="F155" s="13" t="s">
        <v>183</v>
      </c>
      <c r="G155" s="13" t="s">
        <v>189</v>
      </c>
      <c r="H155" s="13" t="s">
        <v>139</v>
      </c>
      <c r="I155" s="13" t="s">
        <v>90</v>
      </c>
      <c r="J155" s="13" t="s">
        <v>577</v>
      </c>
    </row>
    <row r="156" spans="1:10" ht="25.5">
      <c r="A156" s="13" t="s">
        <v>59</v>
      </c>
      <c r="B156" s="13" t="s">
        <v>68</v>
      </c>
      <c r="C156" s="13" t="s">
        <v>420</v>
      </c>
      <c r="D156" s="13" t="s">
        <v>23</v>
      </c>
      <c r="E156" s="13" t="s">
        <v>583</v>
      </c>
      <c r="F156" s="13" t="s">
        <v>183</v>
      </c>
      <c r="G156" s="13" t="s">
        <v>189</v>
      </c>
      <c r="H156" s="13" t="s">
        <v>139</v>
      </c>
      <c r="I156" s="13" t="s">
        <v>420</v>
      </c>
      <c r="J156" s="13" t="s">
        <v>577</v>
      </c>
    </row>
    <row r="157" spans="1:10" ht="25.5">
      <c r="A157" s="13" t="s">
        <v>49</v>
      </c>
      <c r="B157" s="13" t="s">
        <v>54</v>
      </c>
      <c r="C157" s="13" t="s">
        <v>385</v>
      </c>
      <c r="D157" s="13" t="s">
        <v>579</v>
      </c>
      <c r="E157" s="13" t="s">
        <v>580</v>
      </c>
      <c r="F157" s="13" t="s">
        <v>183</v>
      </c>
      <c r="G157" s="13" t="s">
        <v>189</v>
      </c>
      <c r="H157" s="13" t="s">
        <v>139</v>
      </c>
      <c r="I157" s="13" t="s">
        <v>385</v>
      </c>
      <c r="J157" s="13" t="s">
        <v>577</v>
      </c>
    </row>
    <row r="158" spans="1:10" ht="25.5">
      <c r="A158" s="13" t="s">
        <v>49</v>
      </c>
      <c r="B158" s="13" t="s">
        <v>55</v>
      </c>
      <c r="C158" s="13" t="s">
        <v>389</v>
      </c>
      <c r="D158" s="13" t="s">
        <v>579</v>
      </c>
      <c r="E158" s="13" t="s">
        <v>580</v>
      </c>
      <c r="F158" s="13" t="s">
        <v>183</v>
      </c>
      <c r="G158" s="13" t="s">
        <v>189</v>
      </c>
      <c r="H158" s="13" t="s">
        <v>139</v>
      </c>
      <c r="I158" s="13" t="s">
        <v>389</v>
      </c>
      <c r="J158" s="13" t="s">
        <v>577</v>
      </c>
    </row>
    <row r="159" spans="1:10" ht="25.5">
      <c r="A159" s="13" t="s">
        <v>98</v>
      </c>
      <c r="B159" s="13" t="s">
        <v>101</v>
      </c>
      <c r="C159" s="13" t="s">
        <v>469</v>
      </c>
      <c r="D159" s="13" t="s">
        <v>579</v>
      </c>
      <c r="E159" s="13" t="s">
        <v>581</v>
      </c>
      <c r="F159" s="13" t="s">
        <v>183</v>
      </c>
      <c r="G159" s="13" t="s">
        <v>189</v>
      </c>
      <c r="H159" s="13" t="s">
        <v>139</v>
      </c>
      <c r="I159" s="13" t="s">
        <v>469</v>
      </c>
      <c r="J159" s="13" t="s">
        <v>577</v>
      </c>
    </row>
    <row r="160" spans="1:10" ht="25.5">
      <c r="A160" s="13" t="s">
        <v>104</v>
      </c>
      <c r="B160" s="13" t="s">
        <v>107</v>
      </c>
      <c r="C160" s="13" t="s">
        <v>480</v>
      </c>
      <c r="D160" s="13" t="s">
        <v>579</v>
      </c>
      <c r="E160" s="13" t="s">
        <v>581</v>
      </c>
      <c r="F160" s="13" t="s">
        <v>183</v>
      </c>
      <c r="G160" s="13" t="s">
        <v>189</v>
      </c>
      <c r="H160" s="13" t="s">
        <v>139</v>
      </c>
      <c r="I160" s="13" t="s">
        <v>480</v>
      </c>
      <c r="J160" s="13" t="s">
        <v>577</v>
      </c>
    </row>
    <row r="161" spans="1:10" ht="25.5">
      <c r="A161" s="13" t="s">
        <v>36</v>
      </c>
      <c r="B161" s="13" t="s">
        <v>37</v>
      </c>
      <c r="C161" s="13" t="s">
        <v>351</v>
      </c>
      <c r="D161" s="13" t="s">
        <v>23</v>
      </c>
      <c r="E161" s="13" t="s">
        <v>576</v>
      </c>
      <c r="F161" s="13" t="s">
        <v>183</v>
      </c>
      <c r="G161" s="13" t="s">
        <v>192</v>
      </c>
      <c r="H161" s="13" t="s">
        <v>135</v>
      </c>
      <c r="I161" s="13" t="s">
        <v>351</v>
      </c>
      <c r="J161" s="13" t="s">
        <v>577</v>
      </c>
    </row>
    <row r="162" spans="1:10" ht="25.5">
      <c r="A162" s="13" t="s">
        <v>49</v>
      </c>
      <c r="B162" s="13" t="s">
        <v>50</v>
      </c>
      <c r="C162" s="13" t="s">
        <v>379</v>
      </c>
      <c r="D162" s="13" t="s">
        <v>23</v>
      </c>
      <c r="E162" s="13" t="s">
        <v>576</v>
      </c>
      <c r="F162" s="13" t="s">
        <v>183</v>
      </c>
      <c r="G162" s="13" t="s">
        <v>192</v>
      </c>
      <c r="H162" s="13" t="s">
        <v>135</v>
      </c>
      <c r="I162" s="13" t="s">
        <v>379</v>
      </c>
      <c r="J162" s="13" t="s">
        <v>577</v>
      </c>
    </row>
    <row r="163" spans="1:10" ht="25.5">
      <c r="A163" s="13" t="s">
        <v>49</v>
      </c>
      <c r="B163" s="13" t="s">
        <v>53</v>
      </c>
      <c r="C163" s="13" t="s">
        <v>382</v>
      </c>
      <c r="D163" s="13" t="s">
        <v>23</v>
      </c>
      <c r="E163" s="13" t="s">
        <v>576</v>
      </c>
      <c r="F163" s="13" t="s">
        <v>183</v>
      </c>
      <c r="G163" s="13" t="s">
        <v>192</v>
      </c>
      <c r="H163" s="13" t="s">
        <v>135</v>
      </c>
      <c r="I163" s="13" t="s">
        <v>382</v>
      </c>
      <c r="J163" s="13" t="s">
        <v>577</v>
      </c>
    </row>
    <row r="164" spans="1:10" ht="25.5">
      <c r="A164" s="13" t="s">
        <v>59</v>
      </c>
      <c r="B164" s="13" t="s">
        <v>90</v>
      </c>
      <c r="C164" s="13" t="s">
        <v>90</v>
      </c>
      <c r="D164" s="13" t="s">
        <v>23</v>
      </c>
      <c r="E164" s="13" t="s">
        <v>576</v>
      </c>
      <c r="F164" s="13" t="s">
        <v>183</v>
      </c>
      <c r="G164" s="13" t="s">
        <v>192</v>
      </c>
      <c r="H164" s="13" t="s">
        <v>135</v>
      </c>
      <c r="I164" s="13" t="s">
        <v>90</v>
      </c>
      <c r="J164" s="13" t="s">
        <v>577</v>
      </c>
    </row>
    <row r="165" spans="1:10" ht="25.5">
      <c r="A165" s="13" t="s">
        <v>59</v>
      </c>
      <c r="B165" s="13" t="s">
        <v>68</v>
      </c>
      <c r="C165" s="13" t="s">
        <v>420</v>
      </c>
      <c r="D165" s="13" t="s">
        <v>23</v>
      </c>
      <c r="E165" s="13" t="s">
        <v>583</v>
      </c>
      <c r="F165" s="13" t="s">
        <v>183</v>
      </c>
      <c r="G165" s="13" t="s">
        <v>192</v>
      </c>
      <c r="H165" s="13" t="s">
        <v>135</v>
      </c>
      <c r="I165" s="13" t="s">
        <v>420</v>
      </c>
      <c r="J165" s="13" t="s">
        <v>577</v>
      </c>
    </row>
    <row r="166" spans="1:10" ht="25.5">
      <c r="A166" s="13" t="s">
        <v>104</v>
      </c>
      <c r="B166" s="13" t="s">
        <v>108</v>
      </c>
      <c r="C166" s="13" t="s">
        <v>483</v>
      </c>
      <c r="D166" s="13" t="s">
        <v>579</v>
      </c>
      <c r="E166" s="13" t="s">
        <v>580</v>
      </c>
      <c r="F166" s="13" t="s">
        <v>183</v>
      </c>
      <c r="G166" s="13" t="s">
        <v>192</v>
      </c>
      <c r="H166" s="13" t="s">
        <v>135</v>
      </c>
      <c r="I166" s="13" t="s">
        <v>483</v>
      </c>
      <c r="J166" s="13" t="s">
        <v>577</v>
      </c>
    </row>
    <row r="167" spans="1:10" ht="25.5">
      <c r="A167" s="13" t="s">
        <v>98</v>
      </c>
      <c r="B167" s="13" t="s">
        <v>99</v>
      </c>
      <c r="C167" s="13" t="s">
        <v>462</v>
      </c>
      <c r="D167" s="13" t="s">
        <v>579</v>
      </c>
      <c r="E167" s="13" t="s">
        <v>581</v>
      </c>
      <c r="F167" s="13" t="s">
        <v>183</v>
      </c>
      <c r="G167" s="13" t="s">
        <v>192</v>
      </c>
      <c r="H167" s="13" t="s">
        <v>135</v>
      </c>
      <c r="I167" s="13" t="s">
        <v>462</v>
      </c>
      <c r="J167" s="13" t="s">
        <v>577</v>
      </c>
    </row>
    <row r="168" spans="1:10" ht="25.5">
      <c r="A168" s="13" t="s">
        <v>104</v>
      </c>
      <c r="B168" s="13" t="s">
        <v>105</v>
      </c>
      <c r="C168" s="13" t="s">
        <v>105</v>
      </c>
      <c r="D168" s="13" t="s">
        <v>579</v>
      </c>
      <c r="E168" s="13" t="s">
        <v>581</v>
      </c>
      <c r="F168" s="13" t="s">
        <v>183</v>
      </c>
      <c r="G168" s="13" t="s">
        <v>192</v>
      </c>
      <c r="H168" s="13" t="s">
        <v>135</v>
      </c>
      <c r="I168" s="13" t="s">
        <v>105</v>
      </c>
      <c r="J168" s="13" t="s">
        <v>577</v>
      </c>
    </row>
    <row r="169" spans="1:10" ht="25.5">
      <c r="A169" s="13" t="s">
        <v>36</v>
      </c>
      <c r="B169" s="13" t="s">
        <v>42</v>
      </c>
      <c r="C169" s="13" t="s">
        <v>360</v>
      </c>
      <c r="D169" s="13" t="s">
        <v>23</v>
      </c>
      <c r="E169" s="13" t="s">
        <v>576</v>
      </c>
      <c r="F169" s="13" t="s">
        <v>194</v>
      </c>
      <c r="G169" s="13" t="s">
        <v>195</v>
      </c>
      <c r="H169" s="13" t="s">
        <v>135</v>
      </c>
      <c r="I169" s="13" t="s">
        <v>360</v>
      </c>
      <c r="J169" s="13" t="s">
        <v>577</v>
      </c>
    </row>
    <row r="170" spans="1:10" ht="25.5">
      <c r="A170" s="13" t="s">
        <v>36</v>
      </c>
      <c r="B170" s="13" t="s">
        <v>43</v>
      </c>
      <c r="C170" s="13" t="s">
        <v>363</v>
      </c>
      <c r="D170" s="13" t="s">
        <v>23</v>
      </c>
      <c r="E170" s="13" t="s">
        <v>576</v>
      </c>
      <c r="F170" s="13" t="s">
        <v>194</v>
      </c>
      <c r="G170" s="13" t="s">
        <v>195</v>
      </c>
      <c r="H170" s="13" t="s">
        <v>135</v>
      </c>
      <c r="I170" s="13" t="s">
        <v>363</v>
      </c>
      <c r="J170" s="13" t="s">
        <v>577</v>
      </c>
    </row>
    <row r="171" spans="1:10" ht="25.5">
      <c r="A171" s="13" t="s">
        <v>49</v>
      </c>
      <c r="B171" s="13" t="s">
        <v>50</v>
      </c>
      <c r="C171" s="13" t="s">
        <v>379</v>
      </c>
      <c r="D171" s="13" t="s">
        <v>23</v>
      </c>
      <c r="E171" s="13" t="s">
        <v>576</v>
      </c>
      <c r="F171" s="13" t="s">
        <v>194</v>
      </c>
      <c r="G171" s="13" t="s">
        <v>195</v>
      </c>
      <c r="H171" s="13" t="s">
        <v>135</v>
      </c>
      <c r="I171" s="13" t="s">
        <v>379</v>
      </c>
      <c r="J171" s="13" t="s">
        <v>577</v>
      </c>
    </row>
    <row r="172" spans="1:10" ht="25.5">
      <c r="A172" s="13" t="s">
        <v>59</v>
      </c>
      <c r="B172" s="13" t="s">
        <v>72</v>
      </c>
      <c r="C172" s="13" t="s">
        <v>426</v>
      </c>
      <c r="D172" s="13" t="s">
        <v>23</v>
      </c>
      <c r="E172" s="13" t="s">
        <v>576</v>
      </c>
      <c r="F172" s="13" t="s">
        <v>194</v>
      </c>
      <c r="G172" s="13" t="s">
        <v>195</v>
      </c>
      <c r="H172" s="13" t="s">
        <v>135</v>
      </c>
      <c r="I172" s="13" t="s">
        <v>426</v>
      </c>
      <c r="J172" s="13" t="s">
        <v>577</v>
      </c>
    </row>
    <row r="173" spans="1:10" ht="25.5">
      <c r="A173" s="13" t="s">
        <v>59</v>
      </c>
      <c r="B173" s="13" t="s">
        <v>63</v>
      </c>
      <c r="C173" s="13" t="s">
        <v>410</v>
      </c>
      <c r="D173" s="13" t="s">
        <v>23</v>
      </c>
      <c r="E173" s="13" t="s">
        <v>583</v>
      </c>
      <c r="F173" s="13" t="s">
        <v>194</v>
      </c>
      <c r="G173" s="13" t="s">
        <v>195</v>
      </c>
      <c r="H173" s="13" t="s">
        <v>135</v>
      </c>
      <c r="I173" s="13" t="s">
        <v>410</v>
      </c>
      <c r="J173" s="13" t="s">
        <v>577</v>
      </c>
    </row>
    <row r="174" spans="1:10" ht="25.5">
      <c r="A174" s="13" t="s">
        <v>59</v>
      </c>
      <c r="B174" s="13" t="s">
        <v>65</v>
      </c>
      <c r="C174" s="13" t="s">
        <v>414</v>
      </c>
      <c r="D174" s="13" t="s">
        <v>23</v>
      </c>
      <c r="E174" s="13" t="s">
        <v>583</v>
      </c>
      <c r="F174" s="13" t="s">
        <v>194</v>
      </c>
      <c r="G174" s="13" t="s">
        <v>195</v>
      </c>
      <c r="H174" s="13" t="s">
        <v>135</v>
      </c>
      <c r="I174" s="13" t="s">
        <v>414</v>
      </c>
      <c r="J174" s="13" t="s">
        <v>577</v>
      </c>
    </row>
    <row r="175" spans="1:10" ht="25.5">
      <c r="A175" s="13" t="s">
        <v>59</v>
      </c>
      <c r="B175" s="13" t="s">
        <v>68</v>
      </c>
      <c r="C175" s="13" t="s">
        <v>420</v>
      </c>
      <c r="D175" s="13" t="s">
        <v>23</v>
      </c>
      <c r="E175" s="13" t="s">
        <v>583</v>
      </c>
      <c r="F175" s="13" t="s">
        <v>194</v>
      </c>
      <c r="G175" s="13" t="s">
        <v>195</v>
      </c>
      <c r="H175" s="13" t="s">
        <v>135</v>
      </c>
      <c r="I175" s="13" t="s">
        <v>420</v>
      </c>
      <c r="J175" s="13" t="s">
        <v>577</v>
      </c>
    </row>
    <row r="176" spans="1:10" ht="25.5">
      <c r="A176" s="13" t="s">
        <v>59</v>
      </c>
      <c r="B176" s="13" t="s">
        <v>69</v>
      </c>
      <c r="C176" s="13" t="s">
        <v>423</v>
      </c>
      <c r="D176" s="13" t="s">
        <v>23</v>
      </c>
      <c r="E176" s="13" t="s">
        <v>583</v>
      </c>
      <c r="F176" s="13" t="s">
        <v>194</v>
      </c>
      <c r="G176" s="13" t="s">
        <v>195</v>
      </c>
      <c r="H176" s="13" t="s">
        <v>135</v>
      </c>
      <c r="I176" s="13" t="s">
        <v>423</v>
      </c>
      <c r="J176" s="13" t="s">
        <v>577</v>
      </c>
    </row>
    <row r="177" spans="1:10" ht="25.5">
      <c r="A177" s="13" t="s">
        <v>36</v>
      </c>
      <c r="B177" s="13" t="s">
        <v>46</v>
      </c>
      <c r="C177" s="13" t="s">
        <v>373</v>
      </c>
      <c r="D177" s="13" t="s">
        <v>579</v>
      </c>
      <c r="E177" s="13" t="s">
        <v>580</v>
      </c>
      <c r="F177" s="13" t="s">
        <v>194</v>
      </c>
      <c r="G177" s="13" t="s">
        <v>195</v>
      </c>
      <c r="H177" s="13" t="s">
        <v>135</v>
      </c>
      <c r="I177" s="13" t="s">
        <v>373</v>
      </c>
      <c r="J177" s="13" t="s">
        <v>577</v>
      </c>
    </row>
    <row r="178" spans="1:10" ht="25.5">
      <c r="A178" s="13" t="s">
        <v>59</v>
      </c>
      <c r="B178" s="13" t="s">
        <v>61</v>
      </c>
      <c r="C178" s="13" t="s">
        <v>404</v>
      </c>
      <c r="D178" s="13" t="s">
        <v>579</v>
      </c>
      <c r="E178" s="13" t="s">
        <v>580</v>
      </c>
      <c r="F178" s="13" t="s">
        <v>194</v>
      </c>
      <c r="G178" s="13" t="s">
        <v>195</v>
      </c>
      <c r="H178" s="13" t="s">
        <v>135</v>
      </c>
      <c r="I178" s="13" t="s">
        <v>404</v>
      </c>
      <c r="J178" s="13" t="s">
        <v>577</v>
      </c>
    </row>
    <row r="179" spans="1:10" ht="25.5">
      <c r="A179" s="13" t="s">
        <v>98</v>
      </c>
      <c r="B179" s="13" t="s">
        <v>100</v>
      </c>
      <c r="C179" s="13" t="s">
        <v>466</v>
      </c>
      <c r="D179" s="13" t="s">
        <v>579</v>
      </c>
      <c r="E179" s="13" t="s">
        <v>580</v>
      </c>
      <c r="F179" s="13" t="s">
        <v>194</v>
      </c>
      <c r="G179" s="13" t="s">
        <v>195</v>
      </c>
      <c r="H179" s="13" t="s">
        <v>135</v>
      </c>
      <c r="I179" s="13" t="s">
        <v>466</v>
      </c>
      <c r="J179" s="13" t="s">
        <v>577</v>
      </c>
    </row>
    <row r="180" spans="1:10" ht="25.5">
      <c r="A180" s="13" t="s">
        <v>104</v>
      </c>
      <c r="B180" s="13" t="s">
        <v>109</v>
      </c>
      <c r="C180" s="13" t="s">
        <v>486</v>
      </c>
      <c r="D180" s="13" t="s">
        <v>579</v>
      </c>
      <c r="E180" s="13" t="s">
        <v>581</v>
      </c>
      <c r="F180" s="13" t="s">
        <v>194</v>
      </c>
      <c r="G180" s="13" t="s">
        <v>195</v>
      </c>
      <c r="H180" s="13" t="s">
        <v>135</v>
      </c>
      <c r="I180" s="13" t="s">
        <v>486</v>
      </c>
      <c r="J180" s="13" t="s">
        <v>577</v>
      </c>
    </row>
    <row r="181" spans="1:10" ht="25.5">
      <c r="A181" s="13" t="s">
        <v>36</v>
      </c>
      <c r="B181" s="13" t="s">
        <v>42</v>
      </c>
      <c r="C181" s="13" t="s">
        <v>360</v>
      </c>
      <c r="D181" s="13" t="s">
        <v>23</v>
      </c>
      <c r="E181" s="13" t="s">
        <v>576</v>
      </c>
      <c r="F181" s="13" t="s">
        <v>194</v>
      </c>
      <c r="G181" s="13" t="s">
        <v>198</v>
      </c>
      <c r="H181" s="13" t="s">
        <v>135</v>
      </c>
      <c r="I181" s="13" t="s">
        <v>360</v>
      </c>
      <c r="J181" s="13" t="s">
        <v>577</v>
      </c>
    </row>
    <row r="182" spans="1:10" ht="25.5">
      <c r="A182" s="13" t="s">
        <v>36</v>
      </c>
      <c r="B182" s="13" t="s">
        <v>43</v>
      </c>
      <c r="C182" s="13" t="s">
        <v>363</v>
      </c>
      <c r="D182" s="13" t="s">
        <v>23</v>
      </c>
      <c r="E182" s="13" t="s">
        <v>576</v>
      </c>
      <c r="F182" s="13" t="s">
        <v>194</v>
      </c>
      <c r="G182" s="13" t="s">
        <v>198</v>
      </c>
      <c r="H182" s="13" t="s">
        <v>135</v>
      </c>
      <c r="I182" s="13" t="s">
        <v>363</v>
      </c>
      <c r="J182" s="13" t="s">
        <v>577</v>
      </c>
    </row>
    <row r="183" spans="1:10" ht="25.5">
      <c r="A183" s="13" t="s">
        <v>49</v>
      </c>
      <c r="B183" s="13" t="s">
        <v>50</v>
      </c>
      <c r="C183" s="13" t="s">
        <v>379</v>
      </c>
      <c r="D183" s="13" t="s">
        <v>23</v>
      </c>
      <c r="E183" s="13" t="s">
        <v>576</v>
      </c>
      <c r="F183" s="13" t="s">
        <v>194</v>
      </c>
      <c r="G183" s="13" t="s">
        <v>198</v>
      </c>
      <c r="H183" s="13" t="s">
        <v>135</v>
      </c>
      <c r="I183" s="13" t="s">
        <v>379</v>
      </c>
      <c r="J183" s="13" t="s">
        <v>577</v>
      </c>
    </row>
    <row r="184" spans="1:10" ht="25.5">
      <c r="A184" s="13" t="s">
        <v>59</v>
      </c>
      <c r="B184" s="13" t="s">
        <v>72</v>
      </c>
      <c r="C184" s="13" t="s">
        <v>426</v>
      </c>
      <c r="D184" s="13" t="s">
        <v>23</v>
      </c>
      <c r="E184" s="13" t="s">
        <v>576</v>
      </c>
      <c r="F184" s="13" t="s">
        <v>194</v>
      </c>
      <c r="G184" s="13" t="s">
        <v>198</v>
      </c>
      <c r="H184" s="13" t="s">
        <v>135</v>
      </c>
      <c r="I184" s="13" t="s">
        <v>426</v>
      </c>
      <c r="J184" s="13" t="s">
        <v>577</v>
      </c>
    </row>
    <row r="185" spans="1:10" ht="25.5">
      <c r="A185" s="13" t="s">
        <v>59</v>
      </c>
      <c r="B185" s="13" t="s">
        <v>63</v>
      </c>
      <c r="C185" s="13" t="s">
        <v>410</v>
      </c>
      <c r="D185" s="13" t="s">
        <v>23</v>
      </c>
      <c r="E185" s="13" t="s">
        <v>583</v>
      </c>
      <c r="F185" s="13" t="s">
        <v>194</v>
      </c>
      <c r="G185" s="13" t="s">
        <v>198</v>
      </c>
      <c r="H185" s="13" t="s">
        <v>135</v>
      </c>
      <c r="I185" s="13" t="s">
        <v>410</v>
      </c>
      <c r="J185" s="13" t="s">
        <v>577</v>
      </c>
    </row>
    <row r="186" spans="1:10" ht="25.5">
      <c r="A186" s="13" t="s">
        <v>59</v>
      </c>
      <c r="B186" s="13" t="s">
        <v>65</v>
      </c>
      <c r="C186" s="13" t="s">
        <v>414</v>
      </c>
      <c r="D186" s="13" t="s">
        <v>23</v>
      </c>
      <c r="E186" s="13" t="s">
        <v>583</v>
      </c>
      <c r="F186" s="13" t="s">
        <v>194</v>
      </c>
      <c r="G186" s="13" t="s">
        <v>198</v>
      </c>
      <c r="H186" s="13" t="s">
        <v>135</v>
      </c>
      <c r="I186" s="13" t="s">
        <v>414</v>
      </c>
      <c r="J186" s="13" t="s">
        <v>577</v>
      </c>
    </row>
    <row r="187" spans="1:10" ht="25.5">
      <c r="A187" s="13" t="s">
        <v>59</v>
      </c>
      <c r="B187" s="13" t="s">
        <v>68</v>
      </c>
      <c r="C187" s="13" t="s">
        <v>420</v>
      </c>
      <c r="D187" s="13" t="s">
        <v>23</v>
      </c>
      <c r="E187" s="13" t="s">
        <v>583</v>
      </c>
      <c r="F187" s="13" t="s">
        <v>194</v>
      </c>
      <c r="G187" s="13" t="s">
        <v>198</v>
      </c>
      <c r="H187" s="13" t="s">
        <v>135</v>
      </c>
      <c r="I187" s="13" t="s">
        <v>420</v>
      </c>
      <c r="J187" s="13" t="s">
        <v>577</v>
      </c>
    </row>
    <row r="188" spans="1:10" ht="25.5">
      <c r="A188" s="13" t="s">
        <v>59</v>
      </c>
      <c r="B188" s="13" t="s">
        <v>69</v>
      </c>
      <c r="C188" s="13" t="s">
        <v>423</v>
      </c>
      <c r="D188" s="13" t="s">
        <v>23</v>
      </c>
      <c r="E188" s="13" t="s">
        <v>583</v>
      </c>
      <c r="F188" s="13" t="s">
        <v>194</v>
      </c>
      <c r="G188" s="13" t="s">
        <v>198</v>
      </c>
      <c r="H188" s="13" t="s">
        <v>135</v>
      </c>
      <c r="I188" s="13" t="s">
        <v>423</v>
      </c>
      <c r="J188" s="13" t="s">
        <v>577</v>
      </c>
    </row>
    <row r="189" spans="1:10" ht="25.5">
      <c r="A189" s="13" t="s">
        <v>59</v>
      </c>
      <c r="B189" s="13" t="s">
        <v>60</v>
      </c>
      <c r="C189" s="13" t="s">
        <v>401</v>
      </c>
      <c r="D189" s="13" t="s">
        <v>579</v>
      </c>
      <c r="E189" s="13" t="s">
        <v>580</v>
      </c>
      <c r="F189" s="13" t="s">
        <v>194</v>
      </c>
      <c r="G189" s="13" t="s">
        <v>198</v>
      </c>
      <c r="H189" s="13" t="s">
        <v>135</v>
      </c>
      <c r="I189" s="13" t="s">
        <v>401</v>
      </c>
      <c r="J189" s="13" t="s">
        <v>577</v>
      </c>
    </row>
    <row r="190" spans="1:10" ht="25.5">
      <c r="A190" s="13" t="s">
        <v>94</v>
      </c>
      <c r="B190" s="13" t="s">
        <v>95</v>
      </c>
      <c r="C190" s="13" t="s">
        <v>453</v>
      </c>
      <c r="D190" s="13" t="s">
        <v>579</v>
      </c>
      <c r="E190" s="13" t="s">
        <v>581</v>
      </c>
      <c r="F190" s="13" t="s">
        <v>194</v>
      </c>
      <c r="G190" s="13" t="s">
        <v>198</v>
      </c>
      <c r="H190" s="13" t="s">
        <v>135</v>
      </c>
      <c r="I190" s="13" t="s">
        <v>453</v>
      </c>
      <c r="J190" s="13" t="s">
        <v>577</v>
      </c>
    </row>
    <row r="191" spans="1:10" ht="25.5">
      <c r="A191" s="13" t="s">
        <v>104</v>
      </c>
      <c r="B191" s="13" t="s">
        <v>108</v>
      </c>
      <c r="C191" s="13" t="s">
        <v>483</v>
      </c>
      <c r="D191" s="13" t="s">
        <v>579</v>
      </c>
      <c r="E191" s="13" t="s">
        <v>581</v>
      </c>
      <c r="F191" s="13" t="s">
        <v>194</v>
      </c>
      <c r="G191" s="13" t="s">
        <v>198</v>
      </c>
      <c r="H191" s="13" t="s">
        <v>135</v>
      </c>
      <c r="I191" s="13" t="s">
        <v>483</v>
      </c>
      <c r="J191" s="13" t="s">
        <v>577</v>
      </c>
    </row>
    <row r="192" spans="1:10" ht="25.5">
      <c r="A192" s="13" t="s">
        <v>94</v>
      </c>
      <c r="B192" s="13" t="s">
        <v>97</v>
      </c>
      <c r="C192" s="13" t="s">
        <v>459</v>
      </c>
      <c r="D192" s="13" t="s">
        <v>579</v>
      </c>
      <c r="E192" s="13" t="s">
        <v>581</v>
      </c>
      <c r="F192" s="13" t="s">
        <v>194</v>
      </c>
      <c r="G192" s="13" t="s">
        <v>198</v>
      </c>
      <c r="H192" s="13" t="s">
        <v>135</v>
      </c>
      <c r="I192" s="13" t="s">
        <v>459</v>
      </c>
      <c r="J192" s="13" t="s">
        <v>577</v>
      </c>
    </row>
    <row r="193" spans="1:10" ht="25.5">
      <c r="A193" s="13" t="s">
        <v>36</v>
      </c>
      <c r="B193" s="13" t="s">
        <v>42</v>
      </c>
      <c r="C193" s="13" t="s">
        <v>360</v>
      </c>
      <c r="D193" s="13" t="s">
        <v>23</v>
      </c>
      <c r="E193" s="13" t="s">
        <v>576</v>
      </c>
      <c r="F193" s="13" t="s">
        <v>194</v>
      </c>
      <c r="G193" s="13" t="s">
        <v>201</v>
      </c>
      <c r="H193" s="13" t="s">
        <v>78</v>
      </c>
      <c r="I193" s="13" t="s">
        <v>360</v>
      </c>
      <c r="J193" s="13" t="s">
        <v>577</v>
      </c>
    </row>
    <row r="194" spans="1:10" ht="25.5">
      <c r="A194" s="13" t="s">
        <v>36</v>
      </c>
      <c r="B194" s="13" t="s">
        <v>43</v>
      </c>
      <c r="C194" s="13" t="s">
        <v>363</v>
      </c>
      <c r="D194" s="13" t="s">
        <v>23</v>
      </c>
      <c r="E194" s="13" t="s">
        <v>576</v>
      </c>
      <c r="F194" s="13" t="s">
        <v>194</v>
      </c>
      <c r="G194" s="13" t="s">
        <v>201</v>
      </c>
      <c r="H194" s="13" t="s">
        <v>78</v>
      </c>
      <c r="I194" s="13" t="s">
        <v>363</v>
      </c>
      <c r="J194" s="13" t="s">
        <v>577</v>
      </c>
    </row>
    <row r="195" spans="1:10" ht="25.5">
      <c r="A195" s="13" t="s">
        <v>49</v>
      </c>
      <c r="B195" s="13" t="s">
        <v>50</v>
      </c>
      <c r="C195" s="13" t="s">
        <v>379</v>
      </c>
      <c r="D195" s="13" t="s">
        <v>23</v>
      </c>
      <c r="E195" s="13" t="s">
        <v>576</v>
      </c>
      <c r="F195" s="13" t="s">
        <v>194</v>
      </c>
      <c r="G195" s="13" t="s">
        <v>201</v>
      </c>
      <c r="H195" s="13" t="s">
        <v>78</v>
      </c>
      <c r="I195" s="13" t="s">
        <v>379</v>
      </c>
      <c r="J195" s="13" t="s">
        <v>577</v>
      </c>
    </row>
    <row r="196" spans="1:10" ht="25.5">
      <c r="A196" s="13" t="s">
        <v>59</v>
      </c>
      <c r="B196" s="13" t="s">
        <v>72</v>
      </c>
      <c r="C196" s="13" t="s">
        <v>426</v>
      </c>
      <c r="D196" s="13" t="s">
        <v>23</v>
      </c>
      <c r="E196" s="13" t="s">
        <v>576</v>
      </c>
      <c r="F196" s="13" t="s">
        <v>194</v>
      </c>
      <c r="G196" s="13" t="s">
        <v>201</v>
      </c>
      <c r="H196" s="13" t="s">
        <v>78</v>
      </c>
      <c r="I196" s="13" t="s">
        <v>426</v>
      </c>
      <c r="J196" s="13" t="s">
        <v>577</v>
      </c>
    </row>
    <row r="197" spans="1:10" ht="25.5">
      <c r="A197" s="13" t="s">
        <v>59</v>
      </c>
      <c r="B197" s="13" t="s">
        <v>63</v>
      </c>
      <c r="C197" s="13" t="s">
        <v>410</v>
      </c>
      <c r="D197" s="13" t="s">
        <v>23</v>
      </c>
      <c r="E197" s="13" t="s">
        <v>583</v>
      </c>
      <c r="F197" s="13" t="s">
        <v>194</v>
      </c>
      <c r="G197" s="13" t="s">
        <v>201</v>
      </c>
      <c r="H197" s="13" t="s">
        <v>78</v>
      </c>
      <c r="I197" s="13" t="s">
        <v>410</v>
      </c>
      <c r="J197" s="13" t="s">
        <v>577</v>
      </c>
    </row>
    <row r="198" spans="1:10" ht="25.5">
      <c r="A198" s="13" t="s">
        <v>59</v>
      </c>
      <c r="B198" s="13" t="s">
        <v>65</v>
      </c>
      <c r="C198" s="13" t="s">
        <v>414</v>
      </c>
      <c r="D198" s="13" t="s">
        <v>23</v>
      </c>
      <c r="E198" s="13" t="s">
        <v>583</v>
      </c>
      <c r="F198" s="13" t="s">
        <v>194</v>
      </c>
      <c r="G198" s="13" t="s">
        <v>201</v>
      </c>
      <c r="H198" s="13" t="s">
        <v>78</v>
      </c>
      <c r="I198" s="13" t="s">
        <v>414</v>
      </c>
      <c r="J198" s="13" t="s">
        <v>577</v>
      </c>
    </row>
    <row r="199" spans="1:10" ht="25.5">
      <c r="A199" s="13" t="s">
        <v>59</v>
      </c>
      <c r="B199" s="13" t="s">
        <v>68</v>
      </c>
      <c r="C199" s="13" t="s">
        <v>420</v>
      </c>
      <c r="D199" s="13" t="s">
        <v>23</v>
      </c>
      <c r="E199" s="13" t="s">
        <v>583</v>
      </c>
      <c r="F199" s="13" t="s">
        <v>194</v>
      </c>
      <c r="G199" s="13" t="s">
        <v>201</v>
      </c>
      <c r="H199" s="13" t="s">
        <v>78</v>
      </c>
      <c r="I199" s="13" t="s">
        <v>420</v>
      </c>
      <c r="J199" s="13" t="s">
        <v>577</v>
      </c>
    </row>
    <row r="200" spans="1:10" ht="25.5">
      <c r="A200" s="13" t="s">
        <v>59</v>
      </c>
      <c r="B200" s="13" t="s">
        <v>69</v>
      </c>
      <c r="C200" s="13" t="s">
        <v>423</v>
      </c>
      <c r="D200" s="13" t="s">
        <v>23</v>
      </c>
      <c r="E200" s="13" t="s">
        <v>583</v>
      </c>
      <c r="F200" s="13" t="s">
        <v>194</v>
      </c>
      <c r="G200" s="13" t="s">
        <v>201</v>
      </c>
      <c r="H200" s="13" t="s">
        <v>78</v>
      </c>
      <c r="I200" s="13" t="s">
        <v>423</v>
      </c>
      <c r="J200" s="13" t="s">
        <v>577</v>
      </c>
    </row>
    <row r="201" spans="1:10" ht="25.5">
      <c r="A201" s="13" t="s">
        <v>104</v>
      </c>
      <c r="B201" s="13" t="s">
        <v>105</v>
      </c>
      <c r="C201" s="13" t="s">
        <v>105</v>
      </c>
      <c r="D201" s="13" t="s">
        <v>579</v>
      </c>
      <c r="E201" s="13" t="s">
        <v>580</v>
      </c>
      <c r="F201" s="13" t="s">
        <v>194</v>
      </c>
      <c r="G201" s="13" t="s">
        <v>201</v>
      </c>
      <c r="H201" s="13" t="s">
        <v>78</v>
      </c>
      <c r="I201" s="13" t="s">
        <v>105</v>
      </c>
      <c r="J201" s="13" t="s">
        <v>577</v>
      </c>
    </row>
    <row r="202" spans="1:10" ht="25.5">
      <c r="A202" s="13" t="s">
        <v>104</v>
      </c>
      <c r="B202" s="13" t="s">
        <v>106</v>
      </c>
      <c r="C202" s="13" t="s">
        <v>477</v>
      </c>
      <c r="D202" s="13" t="s">
        <v>579</v>
      </c>
      <c r="E202" s="13" t="s">
        <v>580</v>
      </c>
      <c r="F202" s="13" t="s">
        <v>194</v>
      </c>
      <c r="G202" s="13" t="s">
        <v>201</v>
      </c>
      <c r="H202" s="13" t="s">
        <v>78</v>
      </c>
      <c r="I202" s="13" t="s">
        <v>477</v>
      </c>
      <c r="J202" s="13" t="s">
        <v>577</v>
      </c>
    </row>
    <row r="203" spans="1:10" ht="25.5">
      <c r="A203" s="13" t="s">
        <v>98</v>
      </c>
      <c r="B203" s="13" t="s">
        <v>99</v>
      </c>
      <c r="C203" s="13" t="s">
        <v>462</v>
      </c>
      <c r="D203" s="13" t="s">
        <v>579</v>
      </c>
      <c r="E203" s="13" t="s">
        <v>581</v>
      </c>
      <c r="F203" s="13" t="s">
        <v>194</v>
      </c>
      <c r="G203" s="13" t="s">
        <v>201</v>
      </c>
      <c r="H203" s="13" t="s">
        <v>78</v>
      </c>
      <c r="I203" s="13" t="s">
        <v>462</v>
      </c>
      <c r="J203" s="13" t="s">
        <v>577</v>
      </c>
    </row>
    <row r="204" spans="1:10" ht="25.5">
      <c r="A204" s="13" t="s">
        <v>94</v>
      </c>
      <c r="B204" s="13" t="s">
        <v>97</v>
      </c>
      <c r="C204" s="13" t="s">
        <v>459</v>
      </c>
      <c r="D204" s="13" t="s">
        <v>579</v>
      </c>
      <c r="E204" s="13" t="s">
        <v>581</v>
      </c>
      <c r="F204" s="13" t="s">
        <v>194</v>
      </c>
      <c r="G204" s="13" t="s">
        <v>201</v>
      </c>
      <c r="H204" s="13" t="s">
        <v>78</v>
      </c>
      <c r="I204" s="13" t="s">
        <v>459</v>
      </c>
      <c r="J204" s="13" t="s">
        <v>577</v>
      </c>
    </row>
    <row r="205" spans="1:10" ht="25.5">
      <c r="A205" s="13" t="s">
        <v>36</v>
      </c>
      <c r="B205" s="13" t="s">
        <v>43</v>
      </c>
      <c r="C205" s="13" t="s">
        <v>363</v>
      </c>
      <c r="D205" s="13" t="s">
        <v>23</v>
      </c>
      <c r="E205" s="13" t="s">
        <v>576</v>
      </c>
      <c r="F205" s="13" t="s">
        <v>204</v>
      </c>
      <c r="G205" s="13" t="s">
        <v>205</v>
      </c>
      <c r="H205" s="13" t="s">
        <v>78</v>
      </c>
      <c r="I205" s="13" t="s">
        <v>363</v>
      </c>
      <c r="J205" s="13" t="s">
        <v>577</v>
      </c>
    </row>
    <row r="206" spans="1:10" ht="25.5">
      <c r="A206" s="13" t="s">
        <v>59</v>
      </c>
      <c r="B206" s="13" t="s">
        <v>66</v>
      </c>
      <c r="C206" s="13" t="s">
        <v>417</v>
      </c>
      <c r="D206" s="13" t="s">
        <v>23</v>
      </c>
      <c r="E206" s="13" t="s">
        <v>583</v>
      </c>
      <c r="F206" s="13" t="s">
        <v>204</v>
      </c>
      <c r="G206" s="13" t="s">
        <v>205</v>
      </c>
      <c r="H206" s="13" t="s">
        <v>78</v>
      </c>
      <c r="I206" s="13" t="s">
        <v>417</v>
      </c>
      <c r="J206" s="13" t="s">
        <v>577</v>
      </c>
    </row>
    <row r="207" spans="1:10" ht="25.5">
      <c r="A207" s="13" t="s">
        <v>59</v>
      </c>
      <c r="B207" s="13" t="s">
        <v>77</v>
      </c>
      <c r="C207" s="13" t="s">
        <v>430</v>
      </c>
      <c r="D207" s="13" t="s">
        <v>579</v>
      </c>
      <c r="E207" s="13" t="s">
        <v>580</v>
      </c>
      <c r="F207" s="13" t="s">
        <v>204</v>
      </c>
      <c r="G207" s="13" t="s">
        <v>205</v>
      </c>
      <c r="H207" s="13" t="s">
        <v>78</v>
      </c>
      <c r="I207" s="13" t="s">
        <v>430</v>
      </c>
      <c r="J207" s="13" t="s">
        <v>577</v>
      </c>
    </row>
    <row r="208" spans="1:10" ht="25.5">
      <c r="A208" s="13" t="s">
        <v>104</v>
      </c>
      <c r="B208" s="13" t="s">
        <v>106</v>
      </c>
      <c r="C208" s="13" t="s">
        <v>477</v>
      </c>
      <c r="D208" s="13" t="s">
        <v>579</v>
      </c>
      <c r="E208" s="13" t="s">
        <v>580</v>
      </c>
      <c r="F208" s="13" t="s">
        <v>204</v>
      </c>
      <c r="G208" s="13" t="s">
        <v>205</v>
      </c>
      <c r="H208" s="13" t="s">
        <v>78</v>
      </c>
      <c r="I208" s="13" t="s">
        <v>477</v>
      </c>
      <c r="J208" s="13" t="s">
        <v>577</v>
      </c>
    </row>
    <row r="209" spans="1:10" ht="25.5">
      <c r="A209" s="13" t="s">
        <v>94</v>
      </c>
      <c r="B209" s="13" t="s">
        <v>97</v>
      </c>
      <c r="C209" s="13" t="s">
        <v>459</v>
      </c>
      <c r="D209" s="13" t="s">
        <v>579</v>
      </c>
      <c r="E209" s="13" t="s">
        <v>581</v>
      </c>
      <c r="F209" s="13" t="s">
        <v>204</v>
      </c>
      <c r="G209" s="13" t="s">
        <v>205</v>
      </c>
      <c r="H209" s="13" t="s">
        <v>78</v>
      </c>
      <c r="I209" s="13" t="s">
        <v>459</v>
      </c>
      <c r="J209" s="13" t="s">
        <v>577</v>
      </c>
    </row>
    <row r="210" spans="1:10" ht="25.5">
      <c r="A210" s="13" t="s">
        <v>104</v>
      </c>
      <c r="B210" s="13" t="s">
        <v>105</v>
      </c>
      <c r="C210" s="13" t="s">
        <v>105</v>
      </c>
      <c r="D210" s="13" t="s">
        <v>579</v>
      </c>
      <c r="E210" s="13" t="s">
        <v>581</v>
      </c>
      <c r="F210" s="13" t="s">
        <v>204</v>
      </c>
      <c r="G210" s="13" t="s">
        <v>205</v>
      </c>
      <c r="H210" s="13" t="s">
        <v>78</v>
      </c>
      <c r="I210" s="13" t="s">
        <v>105</v>
      </c>
      <c r="J210" s="13" t="s">
        <v>577</v>
      </c>
    </row>
    <row r="211" spans="1:10" ht="25.5">
      <c r="A211" s="13" t="s">
        <v>36</v>
      </c>
      <c r="B211" s="13" t="s">
        <v>43</v>
      </c>
      <c r="C211" s="13" t="s">
        <v>363</v>
      </c>
      <c r="D211" s="13" t="s">
        <v>23</v>
      </c>
      <c r="E211" s="13" t="s">
        <v>576</v>
      </c>
      <c r="F211" s="13" t="s">
        <v>204</v>
      </c>
      <c r="G211" s="13" t="s">
        <v>208</v>
      </c>
      <c r="H211" s="13" t="s">
        <v>135</v>
      </c>
      <c r="I211" s="13" t="s">
        <v>363</v>
      </c>
      <c r="J211" s="13" t="s">
        <v>577</v>
      </c>
    </row>
    <row r="212" spans="1:10" ht="25.5">
      <c r="A212" s="13" t="s">
        <v>59</v>
      </c>
      <c r="B212" s="13" t="s">
        <v>66</v>
      </c>
      <c r="C212" s="13" t="s">
        <v>417</v>
      </c>
      <c r="D212" s="13" t="s">
        <v>23</v>
      </c>
      <c r="E212" s="13" t="s">
        <v>583</v>
      </c>
      <c r="F212" s="13" t="s">
        <v>204</v>
      </c>
      <c r="G212" s="13" t="s">
        <v>208</v>
      </c>
      <c r="H212" s="13" t="s">
        <v>135</v>
      </c>
      <c r="I212" s="13" t="s">
        <v>417</v>
      </c>
      <c r="J212" s="13" t="s">
        <v>577</v>
      </c>
    </row>
    <row r="213" spans="1:10" ht="25.5">
      <c r="A213" s="13" t="s">
        <v>36</v>
      </c>
      <c r="B213" s="13" t="s">
        <v>46</v>
      </c>
      <c r="C213" s="13" t="s">
        <v>373</v>
      </c>
      <c r="D213" s="13" t="s">
        <v>579</v>
      </c>
      <c r="E213" s="13" t="s">
        <v>580</v>
      </c>
      <c r="F213" s="13" t="s">
        <v>204</v>
      </c>
      <c r="G213" s="13" t="s">
        <v>208</v>
      </c>
      <c r="H213" s="13" t="s">
        <v>135</v>
      </c>
      <c r="I213" s="13" t="s">
        <v>373</v>
      </c>
      <c r="J213" s="13" t="s">
        <v>577</v>
      </c>
    </row>
    <row r="214" spans="1:10" ht="25.5">
      <c r="A214" s="13" t="s">
        <v>94</v>
      </c>
      <c r="B214" s="13" t="s">
        <v>95</v>
      </c>
      <c r="C214" s="13" t="s">
        <v>453</v>
      </c>
      <c r="D214" s="13" t="s">
        <v>579</v>
      </c>
      <c r="E214" s="13" t="s">
        <v>581</v>
      </c>
      <c r="F214" s="13" t="s">
        <v>204</v>
      </c>
      <c r="G214" s="13" t="s">
        <v>208</v>
      </c>
      <c r="H214" s="13" t="s">
        <v>135</v>
      </c>
      <c r="I214" s="13" t="s">
        <v>453</v>
      </c>
      <c r="J214" s="13" t="s">
        <v>577</v>
      </c>
    </row>
    <row r="215" spans="1:10" ht="25.5">
      <c r="A215" s="13" t="s">
        <v>104</v>
      </c>
      <c r="B215" s="13" t="s">
        <v>108</v>
      </c>
      <c r="C215" s="13" t="s">
        <v>483</v>
      </c>
      <c r="D215" s="13" t="s">
        <v>579</v>
      </c>
      <c r="E215" s="13" t="s">
        <v>581</v>
      </c>
      <c r="F215" s="13" t="s">
        <v>204</v>
      </c>
      <c r="G215" s="13" t="s">
        <v>208</v>
      </c>
      <c r="H215" s="13" t="s">
        <v>135</v>
      </c>
      <c r="I215" s="13" t="s">
        <v>483</v>
      </c>
      <c r="J215" s="13" t="s">
        <v>577</v>
      </c>
    </row>
    <row r="216" spans="1:10" ht="25.5">
      <c r="A216" s="13" t="s">
        <v>94</v>
      </c>
      <c r="B216" s="13" t="s">
        <v>97</v>
      </c>
      <c r="C216" s="13" t="s">
        <v>459</v>
      </c>
      <c r="D216" s="13" t="s">
        <v>579</v>
      </c>
      <c r="E216" s="13" t="s">
        <v>581</v>
      </c>
      <c r="F216" s="13" t="s">
        <v>204</v>
      </c>
      <c r="G216" s="13" t="s">
        <v>208</v>
      </c>
      <c r="H216" s="13" t="s">
        <v>135</v>
      </c>
      <c r="I216" s="13" t="s">
        <v>459</v>
      </c>
      <c r="J216" s="13" t="s">
        <v>577</v>
      </c>
    </row>
    <row r="217" spans="1:10" ht="25.5">
      <c r="A217" s="13" t="s">
        <v>36</v>
      </c>
      <c r="B217" s="13" t="s">
        <v>43</v>
      </c>
      <c r="C217" s="13" t="s">
        <v>363</v>
      </c>
      <c r="D217" s="13" t="s">
        <v>23</v>
      </c>
      <c r="E217" s="13" t="s">
        <v>576</v>
      </c>
      <c r="F217" s="13" t="s">
        <v>204</v>
      </c>
      <c r="G217" s="13" t="s">
        <v>210</v>
      </c>
      <c r="H217" s="13" t="s">
        <v>84</v>
      </c>
      <c r="I217" s="13" t="s">
        <v>363</v>
      </c>
      <c r="J217" s="13" t="s">
        <v>577</v>
      </c>
    </row>
    <row r="218" spans="1:10" ht="25.5">
      <c r="A218" s="13" t="s">
        <v>59</v>
      </c>
      <c r="B218" s="13" t="s">
        <v>66</v>
      </c>
      <c r="C218" s="13" t="s">
        <v>417</v>
      </c>
      <c r="D218" s="13" t="s">
        <v>23</v>
      </c>
      <c r="E218" s="13" t="s">
        <v>583</v>
      </c>
      <c r="F218" s="13" t="s">
        <v>204</v>
      </c>
      <c r="G218" s="13" t="s">
        <v>210</v>
      </c>
      <c r="H218" s="13" t="s">
        <v>84</v>
      </c>
      <c r="I218" s="13" t="s">
        <v>417</v>
      </c>
      <c r="J218" s="13" t="s">
        <v>577</v>
      </c>
    </row>
    <row r="219" spans="1:10" ht="25.5">
      <c r="A219" s="13" t="s">
        <v>59</v>
      </c>
      <c r="B219" s="13" t="s">
        <v>91</v>
      </c>
      <c r="C219" s="13" t="s">
        <v>444</v>
      </c>
      <c r="D219" s="13" t="s">
        <v>579</v>
      </c>
      <c r="E219" s="13" t="s">
        <v>580</v>
      </c>
      <c r="F219" s="13" t="s">
        <v>204</v>
      </c>
      <c r="G219" s="13" t="s">
        <v>210</v>
      </c>
      <c r="H219" s="13" t="s">
        <v>84</v>
      </c>
      <c r="I219" s="13" t="s">
        <v>444</v>
      </c>
      <c r="J219" s="13" t="s">
        <v>577</v>
      </c>
    </row>
    <row r="220" spans="1:10" ht="25.5">
      <c r="A220" s="13" t="s">
        <v>59</v>
      </c>
      <c r="B220" s="13" t="s">
        <v>93</v>
      </c>
      <c r="C220" s="13" t="s">
        <v>450</v>
      </c>
      <c r="D220" s="13" t="s">
        <v>579</v>
      </c>
      <c r="E220" s="13" t="s">
        <v>580</v>
      </c>
      <c r="F220" s="13" t="s">
        <v>204</v>
      </c>
      <c r="G220" s="13" t="s">
        <v>210</v>
      </c>
      <c r="H220" s="13" t="s">
        <v>84</v>
      </c>
      <c r="I220" s="13" t="s">
        <v>450</v>
      </c>
      <c r="J220" s="13" t="s">
        <v>577</v>
      </c>
    </row>
    <row r="221" spans="1:10" ht="25.5">
      <c r="A221" s="13" t="s">
        <v>98</v>
      </c>
      <c r="B221" s="13" t="s">
        <v>102</v>
      </c>
      <c r="C221" s="13" t="s">
        <v>472</v>
      </c>
      <c r="D221" s="13" t="s">
        <v>579</v>
      </c>
      <c r="E221" s="13" t="s">
        <v>580</v>
      </c>
      <c r="F221" s="13" t="s">
        <v>204</v>
      </c>
      <c r="G221" s="13" t="s">
        <v>210</v>
      </c>
      <c r="H221" s="13" t="s">
        <v>84</v>
      </c>
      <c r="I221" s="13" t="s">
        <v>472</v>
      </c>
      <c r="J221" s="13" t="s">
        <v>577</v>
      </c>
    </row>
    <row r="222" spans="1:10" ht="25.5">
      <c r="A222" s="13" t="s">
        <v>94</v>
      </c>
      <c r="B222" s="13" t="s">
        <v>97</v>
      </c>
      <c r="C222" s="13" t="s">
        <v>459</v>
      </c>
      <c r="D222" s="13" t="s">
        <v>579</v>
      </c>
      <c r="E222" s="13" t="s">
        <v>581</v>
      </c>
      <c r="F222" s="13" t="s">
        <v>204</v>
      </c>
      <c r="G222" s="13" t="s">
        <v>210</v>
      </c>
      <c r="H222" s="13" t="s">
        <v>84</v>
      </c>
      <c r="I222" s="13" t="s">
        <v>459</v>
      </c>
      <c r="J222" s="13" t="s">
        <v>577</v>
      </c>
    </row>
    <row r="223" spans="1:10" ht="25.5">
      <c r="A223" s="13" t="s">
        <v>49</v>
      </c>
      <c r="B223" s="13" t="s">
        <v>50</v>
      </c>
      <c r="C223" s="13" t="s">
        <v>379</v>
      </c>
      <c r="D223" s="13" t="s">
        <v>23</v>
      </c>
      <c r="E223" s="13" t="s">
        <v>576</v>
      </c>
      <c r="F223" s="13" t="s">
        <v>213</v>
      </c>
      <c r="G223" s="13" t="s">
        <v>214</v>
      </c>
      <c r="H223" s="13" t="s">
        <v>81</v>
      </c>
      <c r="I223" s="13" t="s">
        <v>379</v>
      </c>
      <c r="J223" s="13" t="s">
        <v>577</v>
      </c>
    </row>
    <row r="224" spans="1:10" ht="25.5">
      <c r="A224" s="13" t="s">
        <v>49</v>
      </c>
      <c r="B224" s="13" t="s">
        <v>58</v>
      </c>
      <c r="C224" s="13" t="s">
        <v>398</v>
      </c>
      <c r="D224" s="13" t="s">
        <v>23</v>
      </c>
      <c r="E224" s="13" t="s">
        <v>576</v>
      </c>
      <c r="F224" s="13" t="s">
        <v>213</v>
      </c>
      <c r="G224" s="13" t="s">
        <v>214</v>
      </c>
      <c r="H224" s="13" t="s">
        <v>81</v>
      </c>
      <c r="I224" s="13" t="s">
        <v>398</v>
      </c>
      <c r="J224" s="13" t="s">
        <v>577</v>
      </c>
    </row>
    <row r="225" spans="1:10" ht="25.5">
      <c r="A225" s="13" t="s">
        <v>59</v>
      </c>
      <c r="B225" s="13" t="s">
        <v>69</v>
      </c>
      <c r="C225" s="13" t="s">
        <v>423</v>
      </c>
      <c r="D225" s="13" t="s">
        <v>23</v>
      </c>
      <c r="E225" s="13" t="s">
        <v>583</v>
      </c>
      <c r="F225" s="13" t="s">
        <v>213</v>
      </c>
      <c r="G225" s="13" t="s">
        <v>214</v>
      </c>
      <c r="H225" s="13" t="s">
        <v>81</v>
      </c>
      <c r="I225" s="13" t="s">
        <v>423</v>
      </c>
      <c r="J225" s="13" t="s">
        <v>577</v>
      </c>
    </row>
    <row r="226" spans="1:10" ht="25.5">
      <c r="A226" s="13" t="s">
        <v>59</v>
      </c>
      <c r="B226" s="13" t="s">
        <v>60</v>
      </c>
      <c r="C226" s="13" t="s">
        <v>401</v>
      </c>
      <c r="D226" s="13" t="s">
        <v>579</v>
      </c>
      <c r="E226" s="13" t="s">
        <v>580</v>
      </c>
      <c r="F226" s="13" t="s">
        <v>213</v>
      </c>
      <c r="G226" s="13" t="s">
        <v>214</v>
      </c>
      <c r="H226" s="13" t="s">
        <v>81</v>
      </c>
      <c r="I226" s="13" t="s">
        <v>401</v>
      </c>
      <c r="J226" s="13" t="s">
        <v>577</v>
      </c>
    </row>
    <row r="227" spans="1:10" ht="25.5">
      <c r="A227" s="13" t="s">
        <v>98</v>
      </c>
      <c r="B227" s="13" t="s">
        <v>102</v>
      </c>
      <c r="C227" s="13" t="s">
        <v>472</v>
      </c>
      <c r="D227" s="13" t="s">
        <v>579</v>
      </c>
      <c r="E227" s="13" t="s">
        <v>580</v>
      </c>
      <c r="F227" s="13" t="s">
        <v>213</v>
      </c>
      <c r="G227" s="13" t="s">
        <v>214</v>
      </c>
      <c r="H227" s="13" t="s">
        <v>81</v>
      </c>
      <c r="I227" s="13" t="s">
        <v>472</v>
      </c>
      <c r="J227" s="13" t="s">
        <v>577</v>
      </c>
    </row>
    <row r="228" spans="1:10" ht="25.5">
      <c r="A228" s="13" t="s">
        <v>49</v>
      </c>
      <c r="B228" s="13" t="s">
        <v>50</v>
      </c>
      <c r="C228" s="13" t="s">
        <v>379</v>
      </c>
      <c r="D228" s="13" t="s">
        <v>23</v>
      </c>
      <c r="E228" s="13" t="s">
        <v>576</v>
      </c>
      <c r="F228" s="13" t="s">
        <v>213</v>
      </c>
      <c r="G228" s="13" t="s">
        <v>216</v>
      </c>
      <c r="H228" s="13" t="s">
        <v>135</v>
      </c>
      <c r="I228" s="13" t="s">
        <v>379</v>
      </c>
      <c r="J228" s="13" t="s">
        <v>577</v>
      </c>
    </row>
    <row r="229" spans="1:10" ht="25.5">
      <c r="A229" s="13" t="s">
        <v>49</v>
      </c>
      <c r="B229" s="13" t="s">
        <v>58</v>
      </c>
      <c r="C229" s="13" t="s">
        <v>398</v>
      </c>
      <c r="D229" s="13" t="s">
        <v>23</v>
      </c>
      <c r="E229" s="13" t="s">
        <v>576</v>
      </c>
      <c r="F229" s="13" t="s">
        <v>213</v>
      </c>
      <c r="G229" s="13" t="s">
        <v>216</v>
      </c>
      <c r="H229" s="13" t="s">
        <v>135</v>
      </c>
      <c r="I229" s="13" t="s">
        <v>398</v>
      </c>
      <c r="J229" s="13" t="s">
        <v>577</v>
      </c>
    </row>
    <row r="230" spans="1:10" ht="25.5">
      <c r="A230" s="13" t="s">
        <v>59</v>
      </c>
      <c r="B230" s="13" t="s">
        <v>69</v>
      </c>
      <c r="C230" s="13" t="s">
        <v>423</v>
      </c>
      <c r="D230" s="13" t="s">
        <v>23</v>
      </c>
      <c r="E230" s="13" t="s">
        <v>583</v>
      </c>
      <c r="F230" s="13" t="s">
        <v>213</v>
      </c>
      <c r="G230" s="13" t="s">
        <v>216</v>
      </c>
      <c r="H230" s="13" t="s">
        <v>135</v>
      </c>
      <c r="I230" s="13" t="s">
        <v>423</v>
      </c>
      <c r="J230" s="13" t="s">
        <v>577</v>
      </c>
    </row>
    <row r="231" spans="1:10" ht="25.5">
      <c r="A231" s="13" t="s">
        <v>59</v>
      </c>
      <c r="B231" s="13" t="s">
        <v>60</v>
      </c>
      <c r="C231" s="13" t="s">
        <v>401</v>
      </c>
      <c r="D231" s="13" t="s">
        <v>579</v>
      </c>
      <c r="E231" s="13" t="s">
        <v>580</v>
      </c>
      <c r="F231" s="13" t="s">
        <v>213</v>
      </c>
      <c r="G231" s="13" t="s">
        <v>216</v>
      </c>
      <c r="H231" s="13" t="s">
        <v>135</v>
      </c>
      <c r="I231" s="13" t="s">
        <v>401</v>
      </c>
      <c r="J231" s="13" t="s">
        <v>577</v>
      </c>
    </row>
    <row r="232" spans="1:10" ht="25.5">
      <c r="A232" s="13" t="s">
        <v>98</v>
      </c>
      <c r="B232" s="13" t="s">
        <v>102</v>
      </c>
      <c r="C232" s="13" t="s">
        <v>472</v>
      </c>
      <c r="D232" s="13" t="s">
        <v>579</v>
      </c>
      <c r="E232" s="13" t="s">
        <v>580</v>
      </c>
      <c r="F232" s="13" t="s">
        <v>213</v>
      </c>
      <c r="G232" s="13" t="s">
        <v>216</v>
      </c>
      <c r="H232" s="13" t="s">
        <v>135</v>
      </c>
      <c r="I232" s="13" t="s">
        <v>472</v>
      </c>
      <c r="J232" s="13" t="s">
        <v>577</v>
      </c>
    </row>
    <row r="233" spans="1:10" ht="25.5">
      <c r="A233" s="13" t="s">
        <v>104</v>
      </c>
      <c r="B233" s="13" t="s">
        <v>108</v>
      </c>
      <c r="C233" s="13" t="s">
        <v>483</v>
      </c>
      <c r="D233" s="13" t="s">
        <v>579</v>
      </c>
      <c r="E233" s="13" t="s">
        <v>581</v>
      </c>
      <c r="F233" s="13" t="s">
        <v>213</v>
      </c>
      <c r="G233" s="13" t="s">
        <v>216</v>
      </c>
      <c r="H233" s="13" t="s">
        <v>135</v>
      </c>
      <c r="I233" s="13" t="s">
        <v>483</v>
      </c>
      <c r="J233" s="13" t="s">
        <v>577</v>
      </c>
    </row>
    <row r="234" spans="1:10" ht="25.5">
      <c r="A234" s="13" t="s">
        <v>49</v>
      </c>
      <c r="B234" s="13" t="s">
        <v>50</v>
      </c>
      <c r="C234" s="13" t="s">
        <v>379</v>
      </c>
      <c r="D234" s="13" t="s">
        <v>23</v>
      </c>
      <c r="E234" s="13" t="s">
        <v>576</v>
      </c>
      <c r="F234" s="13" t="s">
        <v>213</v>
      </c>
      <c r="G234" s="13" t="s">
        <v>218</v>
      </c>
      <c r="H234" s="13" t="s">
        <v>139</v>
      </c>
      <c r="I234" s="13" t="s">
        <v>379</v>
      </c>
      <c r="J234" s="13" t="s">
        <v>577</v>
      </c>
    </row>
    <row r="235" spans="1:10" ht="25.5">
      <c r="A235" s="13" t="s">
        <v>49</v>
      </c>
      <c r="B235" s="13" t="s">
        <v>58</v>
      </c>
      <c r="C235" s="13" t="s">
        <v>398</v>
      </c>
      <c r="D235" s="13" t="s">
        <v>23</v>
      </c>
      <c r="E235" s="13" t="s">
        <v>576</v>
      </c>
      <c r="F235" s="13" t="s">
        <v>213</v>
      </c>
      <c r="G235" s="13" t="s">
        <v>218</v>
      </c>
      <c r="H235" s="13" t="s">
        <v>139</v>
      </c>
      <c r="I235" s="13" t="s">
        <v>398</v>
      </c>
      <c r="J235" s="13" t="s">
        <v>577</v>
      </c>
    </row>
    <row r="236" spans="1:10" ht="25.5">
      <c r="A236" s="13" t="s">
        <v>59</v>
      </c>
      <c r="B236" s="13" t="s">
        <v>69</v>
      </c>
      <c r="C236" s="13" t="s">
        <v>423</v>
      </c>
      <c r="D236" s="13" t="s">
        <v>23</v>
      </c>
      <c r="E236" s="13" t="s">
        <v>583</v>
      </c>
      <c r="F236" s="13" t="s">
        <v>213</v>
      </c>
      <c r="G236" s="13" t="s">
        <v>218</v>
      </c>
      <c r="H236" s="13" t="s">
        <v>139</v>
      </c>
      <c r="I236" s="13" t="s">
        <v>423</v>
      </c>
      <c r="J236" s="13" t="s">
        <v>577</v>
      </c>
    </row>
    <row r="237" spans="1:10" ht="25.5">
      <c r="A237" s="13" t="s">
        <v>36</v>
      </c>
      <c r="B237" s="13" t="s">
        <v>47</v>
      </c>
      <c r="C237" s="13" t="s">
        <v>376</v>
      </c>
      <c r="D237" s="13" t="s">
        <v>579</v>
      </c>
      <c r="E237" s="13" t="s">
        <v>580</v>
      </c>
      <c r="F237" s="13" t="s">
        <v>213</v>
      </c>
      <c r="G237" s="13" t="s">
        <v>218</v>
      </c>
      <c r="H237" s="13" t="s">
        <v>139</v>
      </c>
      <c r="I237" s="13" t="s">
        <v>376</v>
      </c>
      <c r="J237" s="13" t="s">
        <v>577</v>
      </c>
    </row>
    <row r="238" spans="1:10" ht="25.5">
      <c r="A238" s="13" t="s">
        <v>98</v>
      </c>
      <c r="B238" s="13" t="s">
        <v>102</v>
      </c>
      <c r="C238" s="13" t="s">
        <v>472</v>
      </c>
      <c r="D238" s="13" t="s">
        <v>579</v>
      </c>
      <c r="E238" s="13" t="s">
        <v>580</v>
      </c>
      <c r="F238" s="13" t="s">
        <v>213</v>
      </c>
      <c r="G238" s="13" t="s">
        <v>218</v>
      </c>
      <c r="H238" s="13" t="s">
        <v>139</v>
      </c>
      <c r="I238" s="13" t="s">
        <v>472</v>
      </c>
      <c r="J238" s="13" t="s">
        <v>577</v>
      </c>
    </row>
    <row r="239" spans="1:10" ht="25.5">
      <c r="A239" s="13" t="s">
        <v>98</v>
      </c>
      <c r="B239" s="13" t="s">
        <v>99</v>
      </c>
      <c r="C239" s="13" t="s">
        <v>462</v>
      </c>
      <c r="D239" s="13" t="s">
        <v>579</v>
      </c>
      <c r="E239" s="13" t="s">
        <v>581</v>
      </c>
      <c r="F239" s="13" t="s">
        <v>213</v>
      </c>
      <c r="G239" s="13" t="s">
        <v>218</v>
      </c>
      <c r="H239" s="13" t="s">
        <v>139</v>
      </c>
      <c r="I239" s="13" t="s">
        <v>462</v>
      </c>
      <c r="J239" s="13" t="s">
        <v>577</v>
      </c>
    </row>
    <row r="240" spans="1:10" ht="25.5">
      <c r="A240" s="13" t="s">
        <v>49</v>
      </c>
      <c r="B240" s="13" t="s">
        <v>50</v>
      </c>
      <c r="C240" s="13" t="s">
        <v>379</v>
      </c>
      <c r="D240" s="13" t="s">
        <v>23</v>
      </c>
      <c r="E240" s="13" t="s">
        <v>576</v>
      </c>
      <c r="F240" s="13" t="s">
        <v>213</v>
      </c>
      <c r="G240" s="13" t="s">
        <v>221</v>
      </c>
      <c r="H240" s="13" t="s">
        <v>78</v>
      </c>
      <c r="I240" s="13" t="s">
        <v>379</v>
      </c>
      <c r="J240" s="13" t="s">
        <v>577</v>
      </c>
    </row>
    <row r="241" spans="1:10" ht="25.5">
      <c r="A241" s="13" t="s">
        <v>49</v>
      </c>
      <c r="B241" s="13" t="s">
        <v>58</v>
      </c>
      <c r="C241" s="13" t="s">
        <v>398</v>
      </c>
      <c r="D241" s="13" t="s">
        <v>23</v>
      </c>
      <c r="E241" s="13" t="s">
        <v>576</v>
      </c>
      <c r="F241" s="13" t="s">
        <v>213</v>
      </c>
      <c r="G241" s="13" t="s">
        <v>221</v>
      </c>
      <c r="H241" s="13" t="s">
        <v>78</v>
      </c>
      <c r="I241" s="13" t="s">
        <v>398</v>
      </c>
      <c r="J241" s="13" t="s">
        <v>577</v>
      </c>
    </row>
    <row r="242" spans="1:10" ht="25.5">
      <c r="A242" s="13" t="s">
        <v>59</v>
      </c>
      <c r="B242" s="13" t="s">
        <v>69</v>
      </c>
      <c r="C242" s="13" t="s">
        <v>423</v>
      </c>
      <c r="D242" s="13" t="s">
        <v>23</v>
      </c>
      <c r="E242" s="13" t="s">
        <v>583</v>
      </c>
      <c r="F242" s="13" t="s">
        <v>213</v>
      </c>
      <c r="G242" s="13" t="s">
        <v>221</v>
      </c>
      <c r="H242" s="13" t="s">
        <v>78</v>
      </c>
      <c r="I242" s="13" t="s">
        <v>423</v>
      </c>
      <c r="J242" s="13" t="s">
        <v>577</v>
      </c>
    </row>
    <row r="243" spans="1:10" ht="25.5">
      <c r="A243" s="13" t="s">
        <v>59</v>
      </c>
      <c r="B243" s="13" t="s">
        <v>77</v>
      </c>
      <c r="C243" s="13" t="s">
        <v>430</v>
      </c>
      <c r="D243" s="13" t="s">
        <v>579</v>
      </c>
      <c r="E243" s="13" t="s">
        <v>580</v>
      </c>
      <c r="F243" s="13" t="s">
        <v>213</v>
      </c>
      <c r="G243" s="13" t="s">
        <v>221</v>
      </c>
      <c r="H243" s="13" t="s">
        <v>78</v>
      </c>
      <c r="I243" s="13" t="s">
        <v>430</v>
      </c>
      <c r="J243" s="13" t="s">
        <v>577</v>
      </c>
    </row>
    <row r="244" spans="1:10" ht="25.5">
      <c r="A244" s="13" t="s">
        <v>98</v>
      </c>
      <c r="B244" s="13" t="s">
        <v>102</v>
      </c>
      <c r="C244" s="13" t="s">
        <v>472</v>
      </c>
      <c r="D244" s="13" t="s">
        <v>579</v>
      </c>
      <c r="E244" s="13" t="s">
        <v>580</v>
      </c>
      <c r="F244" s="13" t="s">
        <v>213</v>
      </c>
      <c r="G244" s="13" t="s">
        <v>221</v>
      </c>
      <c r="H244" s="13" t="s">
        <v>78</v>
      </c>
      <c r="I244" s="13" t="s">
        <v>472</v>
      </c>
      <c r="J244" s="13" t="s">
        <v>577</v>
      </c>
    </row>
    <row r="245" spans="1:10" ht="25.5">
      <c r="A245" s="13" t="s">
        <v>98</v>
      </c>
      <c r="B245" s="13" t="s">
        <v>99</v>
      </c>
      <c r="C245" s="13" t="s">
        <v>462</v>
      </c>
      <c r="D245" s="13" t="s">
        <v>579</v>
      </c>
      <c r="E245" s="13" t="s">
        <v>581</v>
      </c>
      <c r="F245" s="13" t="s">
        <v>213</v>
      </c>
      <c r="G245" s="13" t="s">
        <v>221</v>
      </c>
      <c r="H245" s="13" t="s">
        <v>78</v>
      </c>
      <c r="I245" s="13" t="s">
        <v>462</v>
      </c>
      <c r="J245" s="13" t="s">
        <v>577</v>
      </c>
    </row>
    <row r="246" spans="1:10" ht="25.5">
      <c r="A246" s="13" t="s">
        <v>104</v>
      </c>
      <c r="B246" s="13" t="s">
        <v>106</v>
      </c>
      <c r="C246" s="13" t="s">
        <v>477</v>
      </c>
      <c r="D246" s="13" t="s">
        <v>579</v>
      </c>
      <c r="E246" s="13" t="s">
        <v>581</v>
      </c>
      <c r="F246" s="13" t="s">
        <v>213</v>
      </c>
      <c r="G246" s="13" t="s">
        <v>221</v>
      </c>
      <c r="H246" s="13" t="s">
        <v>78</v>
      </c>
      <c r="I246" s="13" t="s">
        <v>477</v>
      </c>
      <c r="J246" s="13" t="s">
        <v>577</v>
      </c>
    </row>
    <row r="247" spans="1:10" ht="25.5">
      <c r="A247" s="13" t="s">
        <v>104</v>
      </c>
      <c r="B247" s="13" t="s">
        <v>107</v>
      </c>
      <c r="C247" s="13" t="s">
        <v>480</v>
      </c>
      <c r="D247" s="13" t="s">
        <v>579</v>
      </c>
      <c r="E247" s="13" t="s">
        <v>581</v>
      </c>
      <c r="F247" s="13" t="s">
        <v>213</v>
      </c>
      <c r="G247" s="13" t="s">
        <v>221</v>
      </c>
      <c r="H247" s="13" t="s">
        <v>78</v>
      </c>
      <c r="I247" s="13" t="s">
        <v>480</v>
      </c>
      <c r="J247" s="13" t="s">
        <v>577</v>
      </c>
    </row>
    <row r="248" spans="1:10" ht="25.5">
      <c r="A248" s="13" t="s">
        <v>36</v>
      </c>
      <c r="B248" s="13" t="s">
        <v>37</v>
      </c>
      <c r="C248" s="13" t="s">
        <v>351</v>
      </c>
      <c r="D248" s="13" t="s">
        <v>23</v>
      </c>
      <c r="E248" s="13" t="s">
        <v>576</v>
      </c>
      <c r="F248" s="13" t="s">
        <v>224</v>
      </c>
      <c r="G248" s="13" t="s">
        <v>225</v>
      </c>
      <c r="H248" s="13" t="s">
        <v>81</v>
      </c>
      <c r="I248" s="13" t="s">
        <v>351</v>
      </c>
      <c r="J248" s="13" t="s">
        <v>577</v>
      </c>
    </row>
    <row r="249" spans="1:10" ht="25.5">
      <c r="A249" s="13" t="s">
        <v>36</v>
      </c>
      <c r="B249" s="13" t="s">
        <v>45</v>
      </c>
      <c r="C249" s="13" t="s">
        <v>369</v>
      </c>
      <c r="D249" s="13" t="s">
        <v>23</v>
      </c>
      <c r="E249" s="13" t="s">
        <v>576</v>
      </c>
      <c r="F249" s="13" t="s">
        <v>224</v>
      </c>
      <c r="G249" s="13" t="s">
        <v>225</v>
      </c>
      <c r="H249" s="13" t="s">
        <v>81</v>
      </c>
      <c r="I249" s="13" t="s">
        <v>369</v>
      </c>
      <c r="J249" s="13" t="s">
        <v>577</v>
      </c>
    </row>
    <row r="250" spans="1:10" ht="25.5">
      <c r="A250" s="13" t="s">
        <v>49</v>
      </c>
      <c r="B250" s="13" t="s">
        <v>54</v>
      </c>
      <c r="C250" s="13" t="s">
        <v>385</v>
      </c>
      <c r="D250" s="13" t="s">
        <v>23</v>
      </c>
      <c r="E250" s="13" t="s">
        <v>576</v>
      </c>
      <c r="F250" s="13" t="s">
        <v>224</v>
      </c>
      <c r="G250" s="13" t="s">
        <v>225</v>
      </c>
      <c r="H250" s="13" t="s">
        <v>81</v>
      </c>
      <c r="I250" s="13" t="s">
        <v>385</v>
      </c>
      <c r="J250" s="13" t="s">
        <v>577</v>
      </c>
    </row>
    <row r="251" spans="1:10" ht="25.5">
      <c r="A251" s="13" t="s">
        <v>49</v>
      </c>
      <c r="B251" s="13" t="s">
        <v>56</v>
      </c>
      <c r="C251" s="13" t="s">
        <v>392</v>
      </c>
      <c r="D251" s="13" t="s">
        <v>23</v>
      </c>
      <c r="E251" s="13" t="s">
        <v>576</v>
      </c>
      <c r="F251" s="13" t="s">
        <v>224</v>
      </c>
      <c r="G251" s="13" t="s">
        <v>225</v>
      </c>
      <c r="H251" s="13" t="s">
        <v>81</v>
      </c>
      <c r="I251" s="13" t="s">
        <v>392</v>
      </c>
      <c r="J251" s="13" t="s">
        <v>577</v>
      </c>
    </row>
    <row r="252" spans="1:10" ht="25.5">
      <c r="A252" s="13" t="s">
        <v>59</v>
      </c>
      <c r="B252" s="13" t="s">
        <v>72</v>
      </c>
      <c r="C252" s="13" t="s">
        <v>426</v>
      </c>
      <c r="D252" s="13" t="s">
        <v>23</v>
      </c>
      <c r="E252" s="13" t="s">
        <v>576</v>
      </c>
      <c r="F252" s="13" t="s">
        <v>224</v>
      </c>
      <c r="G252" s="13" t="s">
        <v>225</v>
      </c>
      <c r="H252" s="13" t="s">
        <v>81</v>
      </c>
      <c r="I252" s="13" t="s">
        <v>426</v>
      </c>
      <c r="J252" s="13" t="s">
        <v>577</v>
      </c>
    </row>
    <row r="253" spans="1:10" ht="25.5">
      <c r="A253" s="13" t="s">
        <v>49</v>
      </c>
      <c r="B253" s="13" t="s">
        <v>55</v>
      </c>
      <c r="C253" s="13" t="s">
        <v>389</v>
      </c>
      <c r="D253" s="13" t="s">
        <v>579</v>
      </c>
      <c r="E253" s="13" t="s">
        <v>580</v>
      </c>
      <c r="F253" s="13" t="s">
        <v>224</v>
      </c>
      <c r="G253" s="13" t="s">
        <v>225</v>
      </c>
      <c r="H253" s="13" t="s">
        <v>81</v>
      </c>
      <c r="I253" s="13" t="s">
        <v>389</v>
      </c>
      <c r="J253" s="13" t="s">
        <v>577</v>
      </c>
    </row>
    <row r="254" spans="1:10" ht="25.5">
      <c r="A254" s="13" t="s">
        <v>98</v>
      </c>
      <c r="B254" s="13" t="s">
        <v>102</v>
      </c>
      <c r="C254" s="13" t="s">
        <v>472</v>
      </c>
      <c r="D254" s="13" t="s">
        <v>579</v>
      </c>
      <c r="E254" s="13" t="s">
        <v>580</v>
      </c>
      <c r="F254" s="13" t="s">
        <v>224</v>
      </c>
      <c r="G254" s="13" t="s">
        <v>225</v>
      </c>
      <c r="H254" s="13" t="s">
        <v>81</v>
      </c>
      <c r="I254" s="13" t="s">
        <v>472</v>
      </c>
      <c r="J254" s="13" t="s">
        <v>577</v>
      </c>
    </row>
    <row r="255" spans="1:10" ht="25.5">
      <c r="A255" s="13" t="s">
        <v>36</v>
      </c>
      <c r="B255" s="13" t="s">
        <v>37</v>
      </c>
      <c r="C255" s="13" t="s">
        <v>351</v>
      </c>
      <c r="D255" s="13" t="s">
        <v>23</v>
      </c>
      <c r="E255" s="13" t="s">
        <v>576</v>
      </c>
      <c r="F255" s="13" t="s">
        <v>224</v>
      </c>
      <c r="G255" s="13" t="s">
        <v>227</v>
      </c>
      <c r="H255" s="13" t="s">
        <v>135</v>
      </c>
      <c r="I255" s="13" t="s">
        <v>351</v>
      </c>
      <c r="J255" s="13" t="s">
        <v>577</v>
      </c>
    </row>
    <row r="256" spans="1:10" ht="25.5">
      <c r="A256" s="13" t="s">
        <v>36</v>
      </c>
      <c r="B256" s="13" t="s">
        <v>45</v>
      </c>
      <c r="C256" s="13" t="s">
        <v>369</v>
      </c>
      <c r="D256" s="13" t="s">
        <v>23</v>
      </c>
      <c r="E256" s="13" t="s">
        <v>576</v>
      </c>
      <c r="F256" s="13" t="s">
        <v>224</v>
      </c>
      <c r="G256" s="13" t="s">
        <v>227</v>
      </c>
      <c r="H256" s="13" t="s">
        <v>135</v>
      </c>
      <c r="I256" s="13" t="s">
        <v>369</v>
      </c>
      <c r="J256" s="13" t="s">
        <v>577</v>
      </c>
    </row>
    <row r="257" spans="1:10" ht="25.5">
      <c r="A257" s="13" t="s">
        <v>49</v>
      </c>
      <c r="B257" s="13" t="s">
        <v>54</v>
      </c>
      <c r="C257" s="13" t="s">
        <v>385</v>
      </c>
      <c r="D257" s="13" t="s">
        <v>23</v>
      </c>
      <c r="E257" s="13" t="s">
        <v>576</v>
      </c>
      <c r="F257" s="13" t="s">
        <v>224</v>
      </c>
      <c r="G257" s="13" t="s">
        <v>227</v>
      </c>
      <c r="H257" s="13" t="s">
        <v>135</v>
      </c>
      <c r="I257" s="13" t="s">
        <v>385</v>
      </c>
      <c r="J257" s="13" t="s">
        <v>577</v>
      </c>
    </row>
    <row r="258" spans="1:10" ht="25.5">
      <c r="A258" s="13" t="s">
        <v>49</v>
      </c>
      <c r="B258" s="13" t="s">
        <v>56</v>
      </c>
      <c r="C258" s="13" t="s">
        <v>392</v>
      </c>
      <c r="D258" s="13" t="s">
        <v>23</v>
      </c>
      <c r="E258" s="13" t="s">
        <v>576</v>
      </c>
      <c r="F258" s="13" t="s">
        <v>224</v>
      </c>
      <c r="G258" s="13" t="s">
        <v>227</v>
      </c>
      <c r="H258" s="13" t="s">
        <v>135</v>
      </c>
      <c r="I258" s="13" t="s">
        <v>392</v>
      </c>
      <c r="J258" s="13" t="s">
        <v>577</v>
      </c>
    </row>
    <row r="259" spans="1:10" ht="25.5">
      <c r="A259" s="13" t="s">
        <v>59</v>
      </c>
      <c r="B259" s="13" t="s">
        <v>72</v>
      </c>
      <c r="C259" s="13" t="s">
        <v>426</v>
      </c>
      <c r="D259" s="13" t="s">
        <v>23</v>
      </c>
      <c r="E259" s="13" t="s">
        <v>576</v>
      </c>
      <c r="F259" s="13" t="s">
        <v>224</v>
      </c>
      <c r="G259" s="13" t="s">
        <v>227</v>
      </c>
      <c r="H259" s="13" t="s">
        <v>135</v>
      </c>
      <c r="I259" s="13" t="s">
        <v>426</v>
      </c>
      <c r="J259" s="13" t="s">
        <v>577</v>
      </c>
    </row>
    <row r="260" spans="1:10" ht="25.5">
      <c r="A260" s="13" t="s">
        <v>59</v>
      </c>
      <c r="B260" s="13" t="s">
        <v>61</v>
      </c>
      <c r="C260" s="13" t="s">
        <v>404</v>
      </c>
      <c r="D260" s="13" t="s">
        <v>579</v>
      </c>
      <c r="E260" s="13" t="s">
        <v>580</v>
      </c>
      <c r="F260" s="13" t="s">
        <v>224</v>
      </c>
      <c r="G260" s="13" t="s">
        <v>227</v>
      </c>
      <c r="H260" s="13" t="s">
        <v>135</v>
      </c>
      <c r="I260" s="13" t="s">
        <v>404</v>
      </c>
      <c r="J260" s="13" t="s">
        <v>577</v>
      </c>
    </row>
    <row r="261" spans="1:10" ht="25.5">
      <c r="A261" s="13" t="s">
        <v>98</v>
      </c>
      <c r="B261" s="13" t="s">
        <v>102</v>
      </c>
      <c r="C261" s="13" t="s">
        <v>472</v>
      </c>
      <c r="D261" s="13" t="s">
        <v>579</v>
      </c>
      <c r="E261" s="13" t="s">
        <v>580</v>
      </c>
      <c r="F261" s="13" t="s">
        <v>224</v>
      </c>
      <c r="G261" s="13" t="s">
        <v>227</v>
      </c>
      <c r="H261" s="13" t="s">
        <v>135</v>
      </c>
      <c r="I261" s="13" t="s">
        <v>472</v>
      </c>
      <c r="J261" s="13" t="s">
        <v>577</v>
      </c>
    </row>
    <row r="262" spans="1:10" ht="25.5">
      <c r="A262" s="13" t="s">
        <v>104</v>
      </c>
      <c r="B262" s="13" t="s">
        <v>106</v>
      </c>
      <c r="C262" s="13" t="s">
        <v>477</v>
      </c>
      <c r="D262" s="13" t="s">
        <v>579</v>
      </c>
      <c r="E262" s="13" t="s">
        <v>581</v>
      </c>
      <c r="F262" s="13" t="s">
        <v>224</v>
      </c>
      <c r="G262" s="13" t="s">
        <v>227</v>
      </c>
      <c r="H262" s="13" t="s">
        <v>135</v>
      </c>
      <c r="I262" s="13" t="s">
        <v>477</v>
      </c>
      <c r="J262" s="13" t="s">
        <v>577</v>
      </c>
    </row>
    <row r="263" spans="1:10" ht="25.5">
      <c r="A263" s="13" t="s">
        <v>36</v>
      </c>
      <c r="B263" s="13" t="s">
        <v>37</v>
      </c>
      <c r="C263" s="13" t="s">
        <v>351</v>
      </c>
      <c r="D263" s="13" t="s">
        <v>23</v>
      </c>
      <c r="E263" s="13" t="s">
        <v>576</v>
      </c>
      <c r="F263" s="13" t="s">
        <v>224</v>
      </c>
      <c r="G263" s="13" t="s">
        <v>230</v>
      </c>
      <c r="H263" s="13" t="s">
        <v>139</v>
      </c>
      <c r="I263" s="13" t="s">
        <v>351</v>
      </c>
      <c r="J263" s="13" t="s">
        <v>577</v>
      </c>
    </row>
    <row r="264" spans="1:10" ht="25.5">
      <c r="A264" s="13" t="s">
        <v>36</v>
      </c>
      <c r="B264" s="13" t="s">
        <v>45</v>
      </c>
      <c r="C264" s="13" t="s">
        <v>369</v>
      </c>
      <c r="D264" s="13" t="s">
        <v>23</v>
      </c>
      <c r="E264" s="13" t="s">
        <v>576</v>
      </c>
      <c r="F264" s="13" t="s">
        <v>224</v>
      </c>
      <c r="G264" s="13" t="s">
        <v>230</v>
      </c>
      <c r="H264" s="13" t="s">
        <v>139</v>
      </c>
      <c r="I264" s="13" t="s">
        <v>369</v>
      </c>
      <c r="J264" s="13" t="s">
        <v>577</v>
      </c>
    </row>
    <row r="265" spans="1:10" ht="25.5">
      <c r="A265" s="13" t="s">
        <v>49</v>
      </c>
      <c r="B265" s="13" t="s">
        <v>54</v>
      </c>
      <c r="C265" s="13" t="s">
        <v>385</v>
      </c>
      <c r="D265" s="13" t="s">
        <v>23</v>
      </c>
      <c r="E265" s="13" t="s">
        <v>576</v>
      </c>
      <c r="F265" s="13" t="s">
        <v>224</v>
      </c>
      <c r="G265" s="13" t="s">
        <v>230</v>
      </c>
      <c r="H265" s="13" t="s">
        <v>139</v>
      </c>
      <c r="I265" s="13" t="s">
        <v>385</v>
      </c>
      <c r="J265" s="13" t="s">
        <v>577</v>
      </c>
    </row>
    <row r="266" spans="1:10" ht="25.5">
      <c r="A266" s="13" t="s">
        <v>49</v>
      </c>
      <c r="B266" s="13" t="s">
        <v>56</v>
      </c>
      <c r="C266" s="13" t="s">
        <v>392</v>
      </c>
      <c r="D266" s="13" t="s">
        <v>23</v>
      </c>
      <c r="E266" s="13" t="s">
        <v>576</v>
      </c>
      <c r="F266" s="13" t="s">
        <v>224</v>
      </c>
      <c r="G266" s="13" t="s">
        <v>230</v>
      </c>
      <c r="H266" s="13" t="s">
        <v>139</v>
      </c>
      <c r="I266" s="13" t="s">
        <v>392</v>
      </c>
      <c r="J266" s="13" t="s">
        <v>577</v>
      </c>
    </row>
    <row r="267" spans="1:10" ht="25.5">
      <c r="A267" s="13" t="s">
        <v>59</v>
      </c>
      <c r="B267" s="13" t="s">
        <v>72</v>
      </c>
      <c r="C267" s="13" t="s">
        <v>426</v>
      </c>
      <c r="D267" s="13" t="s">
        <v>23</v>
      </c>
      <c r="E267" s="13" t="s">
        <v>576</v>
      </c>
      <c r="F267" s="13" t="s">
        <v>224</v>
      </c>
      <c r="G267" s="13" t="s">
        <v>230</v>
      </c>
      <c r="H267" s="13" t="s">
        <v>139</v>
      </c>
      <c r="I267" s="13" t="s">
        <v>426</v>
      </c>
      <c r="J267" s="13" t="s">
        <v>577</v>
      </c>
    </row>
    <row r="268" spans="1:10" ht="25.5">
      <c r="A268" s="13" t="s">
        <v>49</v>
      </c>
      <c r="B268" s="13" t="s">
        <v>57</v>
      </c>
      <c r="C268" s="13" t="s">
        <v>57</v>
      </c>
      <c r="D268" s="13" t="s">
        <v>579</v>
      </c>
      <c r="E268" s="13" t="s">
        <v>580</v>
      </c>
      <c r="F268" s="13" t="s">
        <v>224</v>
      </c>
      <c r="G268" s="13" t="s">
        <v>230</v>
      </c>
      <c r="H268" s="13" t="s">
        <v>139</v>
      </c>
      <c r="I268" s="13" t="s">
        <v>57</v>
      </c>
      <c r="J268" s="13" t="s">
        <v>577</v>
      </c>
    </row>
    <row r="269" spans="1:10" ht="25.5">
      <c r="A269" s="13" t="s">
        <v>98</v>
      </c>
      <c r="B269" s="13" t="s">
        <v>102</v>
      </c>
      <c r="C269" s="13" t="s">
        <v>472</v>
      </c>
      <c r="D269" s="13" t="s">
        <v>579</v>
      </c>
      <c r="E269" s="13" t="s">
        <v>580</v>
      </c>
      <c r="F269" s="13" t="s">
        <v>224</v>
      </c>
      <c r="G269" s="13" t="s">
        <v>230</v>
      </c>
      <c r="H269" s="13" t="s">
        <v>139</v>
      </c>
      <c r="I269" s="13" t="s">
        <v>472</v>
      </c>
      <c r="J269" s="13" t="s">
        <v>577</v>
      </c>
    </row>
    <row r="270" spans="1:10" ht="25.5">
      <c r="A270" s="13" t="s">
        <v>98</v>
      </c>
      <c r="B270" s="13" t="s">
        <v>101</v>
      </c>
      <c r="C270" s="13" t="s">
        <v>469</v>
      </c>
      <c r="D270" s="13" t="s">
        <v>579</v>
      </c>
      <c r="E270" s="13" t="s">
        <v>581</v>
      </c>
      <c r="F270" s="13" t="s">
        <v>224</v>
      </c>
      <c r="G270" s="13" t="s">
        <v>230</v>
      </c>
      <c r="H270" s="13" t="s">
        <v>139</v>
      </c>
      <c r="I270" s="13" t="s">
        <v>469</v>
      </c>
      <c r="J270" s="13" t="s">
        <v>577</v>
      </c>
    </row>
    <row r="271" spans="1:10" ht="25.5">
      <c r="A271" s="13" t="s">
        <v>104</v>
      </c>
      <c r="B271" s="13" t="s">
        <v>107</v>
      </c>
      <c r="C271" s="13" t="s">
        <v>480</v>
      </c>
      <c r="D271" s="13" t="s">
        <v>579</v>
      </c>
      <c r="E271" s="13" t="s">
        <v>581</v>
      </c>
      <c r="F271" s="13" t="s">
        <v>224</v>
      </c>
      <c r="G271" s="13" t="s">
        <v>230</v>
      </c>
      <c r="H271" s="13" t="s">
        <v>139</v>
      </c>
      <c r="I271" s="13" t="s">
        <v>480</v>
      </c>
      <c r="J271" s="13" t="s">
        <v>577</v>
      </c>
    </row>
    <row r="272" spans="1:10" ht="25.5">
      <c r="A272" s="13" t="s">
        <v>36</v>
      </c>
      <c r="B272" s="13" t="s">
        <v>37</v>
      </c>
      <c r="C272" s="13" t="s">
        <v>351</v>
      </c>
      <c r="D272" s="13" t="s">
        <v>23</v>
      </c>
      <c r="E272" s="13" t="s">
        <v>576</v>
      </c>
      <c r="F272" s="13" t="s">
        <v>224</v>
      </c>
      <c r="G272" s="13" t="s">
        <v>233</v>
      </c>
      <c r="H272" s="13" t="s">
        <v>78</v>
      </c>
      <c r="I272" s="13" t="s">
        <v>351</v>
      </c>
      <c r="J272" s="13" t="s">
        <v>577</v>
      </c>
    </row>
    <row r="273" spans="1:10" ht="25.5">
      <c r="A273" s="13" t="s">
        <v>36</v>
      </c>
      <c r="B273" s="13" t="s">
        <v>45</v>
      </c>
      <c r="C273" s="13" t="s">
        <v>369</v>
      </c>
      <c r="D273" s="13" t="s">
        <v>23</v>
      </c>
      <c r="E273" s="13" t="s">
        <v>576</v>
      </c>
      <c r="F273" s="13" t="s">
        <v>224</v>
      </c>
      <c r="G273" s="13" t="s">
        <v>233</v>
      </c>
      <c r="H273" s="13" t="s">
        <v>78</v>
      </c>
      <c r="I273" s="13" t="s">
        <v>369</v>
      </c>
      <c r="J273" s="13" t="s">
        <v>577</v>
      </c>
    </row>
    <row r="274" spans="1:10" ht="25.5">
      <c r="A274" s="13" t="s">
        <v>49</v>
      </c>
      <c r="B274" s="13" t="s">
        <v>54</v>
      </c>
      <c r="C274" s="13" t="s">
        <v>385</v>
      </c>
      <c r="D274" s="13" t="s">
        <v>23</v>
      </c>
      <c r="E274" s="13" t="s">
        <v>576</v>
      </c>
      <c r="F274" s="13" t="s">
        <v>224</v>
      </c>
      <c r="G274" s="13" t="s">
        <v>233</v>
      </c>
      <c r="H274" s="13" t="s">
        <v>78</v>
      </c>
      <c r="I274" s="13" t="s">
        <v>385</v>
      </c>
      <c r="J274" s="13" t="s">
        <v>577</v>
      </c>
    </row>
    <row r="275" spans="1:10" ht="25.5">
      <c r="A275" s="13" t="s">
        <v>49</v>
      </c>
      <c r="B275" s="13" t="s">
        <v>56</v>
      </c>
      <c r="C275" s="13" t="s">
        <v>392</v>
      </c>
      <c r="D275" s="13" t="s">
        <v>23</v>
      </c>
      <c r="E275" s="13" t="s">
        <v>576</v>
      </c>
      <c r="F275" s="13" t="s">
        <v>224</v>
      </c>
      <c r="G275" s="13" t="s">
        <v>233</v>
      </c>
      <c r="H275" s="13" t="s">
        <v>78</v>
      </c>
      <c r="I275" s="13" t="s">
        <v>392</v>
      </c>
      <c r="J275" s="13" t="s">
        <v>577</v>
      </c>
    </row>
    <row r="276" spans="1:10" ht="25.5">
      <c r="A276" s="13" t="s">
        <v>59</v>
      </c>
      <c r="B276" s="13" t="s">
        <v>72</v>
      </c>
      <c r="C276" s="13" t="s">
        <v>426</v>
      </c>
      <c r="D276" s="13" t="s">
        <v>23</v>
      </c>
      <c r="E276" s="13" t="s">
        <v>576</v>
      </c>
      <c r="F276" s="13" t="s">
        <v>224</v>
      </c>
      <c r="G276" s="13" t="s">
        <v>233</v>
      </c>
      <c r="H276" s="13" t="s">
        <v>78</v>
      </c>
      <c r="I276" s="13" t="s">
        <v>426</v>
      </c>
      <c r="J276" s="13" t="s">
        <v>577</v>
      </c>
    </row>
    <row r="277" spans="1:10" ht="25.5">
      <c r="A277" s="13" t="s">
        <v>59</v>
      </c>
      <c r="B277" s="13" t="s">
        <v>80</v>
      </c>
      <c r="C277" s="13" t="s">
        <v>434</v>
      </c>
      <c r="D277" s="13" t="s">
        <v>579</v>
      </c>
      <c r="E277" s="13" t="s">
        <v>580</v>
      </c>
      <c r="F277" s="13" t="s">
        <v>224</v>
      </c>
      <c r="G277" s="13" t="s">
        <v>233</v>
      </c>
      <c r="H277" s="13" t="s">
        <v>78</v>
      </c>
      <c r="I277" s="13" t="s">
        <v>434</v>
      </c>
      <c r="J277" s="13" t="s">
        <v>577</v>
      </c>
    </row>
    <row r="278" spans="1:10" ht="25.5">
      <c r="A278" s="13" t="s">
        <v>59</v>
      </c>
      <c r="B278" s="13" t="s">
        <v>92</v>
      </c>
      <c r="C278" s="13" t="s">
        <v>447</v>
      </c>
      <c r="D278" s="13" t="s">
        <v>579</v>
      </c>
      <c r="E278" s="13" t="s">
        <v>580</v>
      </c>
      <c r="F278" s="13" t="s">
        <v>224</v>
      </c>
      <c r="G278" s="13" t="s">
        <v>233</v>
      </c>
      <c r="H278" s="13" t="s">
        <v>78</v>
      </c>
      <c r="I278" s="13" t="s">
        <v>447</v>
      </c>
      <c r="J278" s="13" t="s">
        <v>577</v>
      </c>
    </row>
    <row r="279" spans="1:10" ht="25.5">
      <c r="A279" s="13" t="s">
        <v>104</v>
      </c>
      <c r="B279" s="13" t="s">
        <v>106</v>
      </c>
      <c r="C279" s="13" t="s">
        <v>477</v>
      </c>
      <c r="D279" s="13" t="s">
        <v>579</v>
      </c>
      <c r="E279" s="13" t="s">
        <v>581</v>
      </c>
      <c r="F279" s="13" t="s">
        <v>224</v>
      </c>
      <c r="G279" s="13" t="s">
        <v>233</v>
      </c>
      <c r="H279" s="13" t="s">
        <v>78</v>
      </c>
      <c r="I279" s="13" t="s">
        <v>477</v>
      </c>
      <c r="J279" s="13" t="s">
        <v>577</v>
      </c>
    </row>
    <row r="280" spans="1:10" ht="25.5">
      <c r="A280" s="13" t="s">
        <v>104</v>
      </c>
      <c r="B280" s="13" t="s">
        <v>107</v>
      </c>
      <c r="C280" s="13" t="s">
        <v>480</v>
      </c>
      <c r="D280" s="13" t="s">
        <v>579</v>
      </c>
      <c r="E280" s="13" t="s">
        <v>581</v>
      </c>
      <c r="F280" s="13" t="s">
        <v>224</v>
      </c>
      <c r="G280" s="13" t="s">
        <v>233</v>
      </c>
      <c r="H280" s="13" t="s">
        <v>78</v>
      </c>
      <c r="I280" s="13" t="s">
        <v>480</v>
      </c>
      <c r="J280" s="13" t="s">
        <v>577</v>
      </c>
    </row>
    <row r="281" spans="1:10" ht="25.5">
      <c r="A281" s="13" t="s">
        <v>104</v>
      </c>
      <c r="B281" s="13" t="s">
        <v>110</v>
      </c>
      <c r="C281" s="13" t="s">
        <v>489</v>
      </c>
      <c r="D281" s="13" t="s">
        <v>579</v>
      </c>
      <c r="E281" s="13" t="s">
        <v>581</v>
      </c>
      <c r="F281" s="13" t="s">
        <v>224</v>
      </c>
      <c r="G281" s="13" t="s">
        <v>233</v>
      </c>
      <c r="H281" s="13" t="s">
        <v>78</v>
      </c>
      <c r="I281" s="13" t="s">
        <v>489</v>
      </c>
      <c r="J281" s="13" t="s">
        <v>577</v>
      </c>
    </row>
    <row r="282" spans="1:10" ht="25.5">
      <c r="A282" s="13" t="s">
        <v>36</v>
      </c>
      <c r="B282" s="13" t="s">
        <v>37</v>
      </c>
      <c r="C282" s="13" t="s">
        <v>351</v>
      </c>
      <c r="D282" s="13" t="s">
        <v>23</v>
      </c>
      <c r="E282" s="13" t="s">
        <v>576</v>
      </c>
      <c r="F282" s="13" t="s">
        <v>236</v>
      </c>
      <c r="G282" s="13" t="s">
        <v>237</v>
      </c>
      <c r="H282" s="13" t="s">
        <v>135</v>
      </c>
      <c r="I282" s="13" t="s">
        <v>351</v>
      </c>
      <c r="J282" s="13" t="s">
        <v>577</v>
      </c>
    </row>
    <row r="283" spans="1:10" ht="25.5">
      <c r="A283" s="13" t="s">
        <v>36</v>
      </c>
      <c r="B283" s="13" t="s">
        <v>44</v>
      </c>
      <c r="C283" s="13" t="s">
        <v>366</v>
      </c>
      <c r="D283" s="13" t="s">
        <v>23</v>
      </c>
      <c r="E283" s="13" t="s">
        <v>576</v>
      </c>
      <c r="F283" s="13" t="s">
        <v>236</v>
      </c>
      <c r="G283" s="13" t="s">
        <v>237</v>
      </c>
      <c r="H283" s="13" t="s">
        <v>135</v>
      </c>
      <c r="I283" s="13" t="s">
        <v>366</v>
      </c>
      <c r="J283" s="13" t="s">
        <v>577</v>
      </c>
    </row>
    <row r="284" spans="1:10" ht="25.5">
      <c r="A284" s="13" t="s">
        <v>36</v>
      </c>
      <c r="B284" s="13" t="s">
        <v>47</v>
      </c>
      <c r="C284" s="13" t="s">
        <v>376</v>
      </c>
      <c r="D284" s="13" t="s">
        <v>579</v>
      </c>
      <c r="E284" s="13" t="s">
        <v>580</v>
      </c>
      <c r="F284" s="13" t="s">
        <v>236</v>
      </c>
      <c r="G284" s="13" t="s">
        <v>237</v>
      </c>
      <c r="H284" s="13" t="s">
        <v>135</v>
      </c>
      <c r="I284" s="13" t="s">
        <v>376</v>
      </c>
      <c r="J284" s="13" t="s">
        <v>577</v>
      </c>
    </row>
    <row r="285" spans="1:10" ht="25.5">
      <c r="A285" s="13" t="s">
        <v>94</v>
      </c>
      <c r="B285" s="13" t="s">
        <v>97</v>
      </c>
      <c r="C285" s="13" t="s">
        <v>459</v>
      </c>
      <c r="D285" s="13" t="s">
        <v>579</v>
      </c>
      <c r="E285" s="13" t="s">
        <v>581</v>
      </c>
      <c r="F285" s="13" t="s">
        <v>236</v>
      </c>
      <c r="G285" s="13" t="s">
        <v>237</v>
      </c>
      <c r="H285" s="13" t="s">
        <v>135</v>
      </c>
      <c r="I285" s="13" t="s">
        <v>459</v>
      </c>
      <c r="J285" s="13" t="s">
        <v>577</v>
      </c>
    </row>
    <row r="286" spans="1:10" ht="25.5">
      <c r="A286" s="13" t="s">
        <v>36</v>
      </c>
      <c r="B286" s="13" t="s">
        <v>37</v>
      </c>
      <c r="C286" s="13" t="s">
        <v>351</v>
      </c>
      <c r="D286" s="13" t="s">
        <v>23</v>
      </c>
      <c r="E286" s="13" t="s">
        <v>576</v>
      </c>
      <c r="F286" s="13" t="s">
        <v>236</v>
      </c>
      <c r="G286" s="13" t="s">
        <v>239</v>
      </c>
      <c r="H286" s="13" t="s">
        <v>135</v>
      </c>
      <c r="I286" s="13" t="s">
        <v>351</v>
      </c>
      <c r="J286" s="13" t="s">
        <v>577</v>
      </c>
    </row>
    <row r="287" spans="1:10" ht="25.5">
      <c r="A287" s="13" t="s">
        <v>36</v>
      </c>
      <c r="B287" s="13" t="s">
        <v>44</v>
      </c>
      <c r="C287" s="13" t="s">
        <v>366</v>
      </c>
      <c r="D287" s="13" t="s">
        <v>23</v>
      </c>
      <c r="E287" s="13" t="s">
        <v>576</v>
      </c>
      <c r="F287" s="13" t="s">
        <v>236</v>
      </c>
      <c r="G287" s="13" t="s">
        <v>239</v>
      </c>
      <c r="H287" s="13" t="s">
        <v>135</v>
      </c>
      <c r="I287" s="13" t="s">
        <v>366</v>
      </c>
      <c r="J287" s="13" t="s">
        <v>577</v>
      </c>
    </row>
    <row r="288" spans="1:10" ht="25.5">
      <c r="A288" s="13" t="s">
        <v>59</v>
      </c>
      <c r="B288" s="13" t="s">
        <v>61</v>
      </c>
      <c r="C288" s="13" t="s">
        <v>404</v>
      </c>
      <c r="D288" s="13" t="s">
        <v>579</v>
      </c>
      <c r="E288" s="13" t="s">
        <v>580</v>
      </c>
      <c r="F288" s="13" t="s">
        <v>236</v>
      </c>
      <c r="G288" s="13" t="s">
        <v>239</v>
      </c>
      <c r="H288" s="13" t="s">
        <v>135</v>
      </c>
      <c r="I288" s="13" t="s">
        <v>404</v>
      </c>
      <c r="J288" s="13" t="s">
        <v>577</v>
      </c>
    </row>
    <row r="289" spans="1:10" ht="25.5">
      <c r="A289" s="13" t="s">
        <v>104</v>
      </c>
      <c r="B289" s="13" t="s">
        <v>105</v>
      </c>
      <c r="C289" s="13" t="s">
        <v>105</v>
      </c>
      <c r="D289" s="13" t="s">
        <v>579</v>
      </c>
      <c r="E289" s="13" t="s">
        <v>581</v>
      </c>
      <c r="F289" s="13" t="s">
        <v>236</v>
      </c>
      <c r="G289" s="13" t="s">
        <v>239</v>
      </c>
      <c r="H289" s="13" t="s">
        <v>135</v>
      </c>
      <c r="I289" s="13" t="s">
        <v>105</v>
      </c>
      <c r="J289" s="13" t="s">
        <v>577</v>
      </c>
    </row>
    <row r="290" spans="1:10" ht="25.5">
      <c r="A290" s="13" t="s">
        <v>36</v>
      </c>
      <c r="B290" s="13" t="s">
        <v>37</v>
      </c>
      <c r="C290" s="13" t="s">
        <v>351</v>
      </c>
      <c r="D290" s="13" t="s">
        <v>23</v>
      </c>
      <c r="E290" s="13" t="s">
        <v>576</v>
      </c>
      <c r="F290" s="13" t="s">
        <v>236</v>
      </c>
      <c r="G290" s="13" t="s">
        <v>241</v>
      </c>
      <c r="H290" s="13" t="s">
        <v>78</v>
      </c>
      <c r="I290" s="13" t="s">
        <v>351</v>
      </c>
      <c r="J290" s="13" t="s">
        <v>577</v>
      </c>
    </row>
    <row r="291" spans="1:10" ht="25.5">
      <c r="A291" s="13" t="s">
        <v>36</v>
      </c>
      <c r="B291" s="13" t="s">
        <v>44</v>
      </c>
      <c r="C291" s="13" t="s">
        <v>366</v>
      </c>
      <c r="D291" s="13" t="s">
        <v>23</v>
      </c>
      <c r="E291" s="13" t="s">
        <v>576</v>
      </c>
      <c r="F291" s="13" t="s">
        <v>236</v>
      </c>
      <c r="G291" s="13" t="s">
        <v>241</v>
      </c>
      <c r="H291" s="13" t="s">
        <v>78</v>
      </c>
      <c r="I291" s="13" t="s">
        <v>366</v>
      </c>
      <c r="J291" s="13" t="s">
        <v>577</v>
      </c>
    </row>
    <row r="292" spans="1:10" ht="25.5">
      <c r="A292" s="13" t="s">
        <v>36</v>
      </c>
      <c r="B292" s="13" t="s">
        <v>46</v>
      </c>
      <c r="C292" s="13" t="s">
        <v>373</v>
      </c>
      <c r="D292" s="13" t="s">
        <v>579</v>
      </c>
      <c r="E292" s="13" t="s">
        <v>580</v>
      </c>
      <c r="F292" s="13" t="s">
        <v>236</v>
      </c>
      <c r="G292" s="13" t="s">
        <v>241</v>
      </c>
      <c r="H292" s="13" t="s">
        <v>78</v>
      </c>
      <c r="I292" s="13" t="s">
        <v>373</v>
      </c>
      <c r="J292" s="13" t="s">
        <v>577</v>
      </c>
    </row>
    <row r="293" spans="1:10" ht="25.5">
      <c r="A293" s="13" t="s">
        <v>59</v>
      </c>
      <c r="B293" s="13" t="s">
        <v>80</v>
      </c>
      <c r="C293" s="13" t="s">
        <v>434</v>
      </c>
      <c r="D293" s="13" t="s">
        <v>579</v>
      </c>
      <c r="E293" s="13" t="s">
        <v>580</v>
      </c>
      <c r="F293" s="13" t="s">
        <v>236</v>
      </c>
      <c r="G293" s="13" t="s">
        <v>241</v>
      </c>
      <c r="H293" s="13" t="s">
        <v>78</v>
      </c>
      <c r="I293" s="13" t="s">
        <v>434</v>
      </c>
      <c r="J293" s="13" t="s">
        <v>577</v>
      </c>
    </row>
    <row r="294" spans="1:10" ht="25.5">
      <c r="A294" s="13" t="s">
        <v>59</v>
      </c>
      <c r="B294" s="13" t="s">
        <v>92</v>
      </c>
      <c r="C294" s="13" t="s">
        <v>447</v>
      </c>
      <c r="D294" s="13" t="s">
        <v>579</v>
      </c>
      <c r="E294" s="13" t="s">
        <v>580</v>
      </c>
      <c r="F294" s="13" t="s">
        <v>236</v>
      </c>
      <c r="G294" s="13" t="s">
        <v>241</v>
      </c>
      <c r="H294" s="13" t="s">
        <v>78</v>
      </c>
      <c r="I294" s="13" t="s">
        <v>447</v>
      </c>
      <c r="J294" s="13" t="s">
        <v>577</v>
      </c>
    </row>
    <row r="295" spans="1:10" ht="25.5">
      <c r="A295" s="13" t="s">
        <v>104</v>
      </c>
      <c r="B295" s="13" t="s">
        <v>109</v>
      </c>
      <c r="C295" s="13" t="s">
        <v>486</v>
      </c>
      <c r="D295" s="13" t="s">
        <v>579</v>
      </c>
      <c r="E295" s="13" t="s">
        <v>581</v>
      </c>
      <c r="F295" s="13" t="s">
        <v>236</v>
      </c>
      <c r="G295" s="13" t="s">
        <v>241</v>
      </c>
      <c r="H295" s="13" t="s">
        <v>78</v>
      </c>
      <c r="I295" s="13" t="s">
        <v>486</v>
      </c>
      <c r="J295" s="13" t="s">
        <v>577</v>
      </c>
    </row>
    <row r="296" spans="1:10" ht="25.5">
      <c r="A296" s="13" t="s">
        <v>104</v>
      </c>
      <c r="B296" s="13" t="s">
        <v>107</v>
      </c>
      <c r="C296" s="13" t="s">
        <v>480</v>
      </c>
      <c r="D296" s="13" t="s">
        <v>579</v>
      </c>
      <c r="E296" s="13" t="s">
        <v>581</v>
      </c>
      <c r="F296" s="13" t="s">
        <v>236</v>
      </c>
      <c r="G296" s="13" t="s">
        <v>241</v>
      </c>
      <c r="H296" s="13" t="s">
        <v>78</v>
      </c>
      <c r="I296" s="13" t="s">
        <v>480</v>
      </c>
      <c r="J296" s="13" t="s">
        <v>577</v>
      </c>
    </row>
    <row r="297" spans="1:10" ht="25.5">
      <c r="A297" s="13" t="s">
        <v>36</v>
      </c>
      <c r="B297" s="13" t="s">
        <v>38</v>
      </c>
      <c r="C297" s="13" t="s">
        <v>356</v>
      </c>
      <c r="D297" s="13" t="s">
        <v>23</v>
      </c>
      <c r="E297" s="13" t="s">
        <v>576</v>
      </c>
      <c r="F297" s="13" t="s">
        <v>244</v>
      </c>
      <c r="G297" s="13" t="s">
        <v>245</v>
      </c>
      <c r="H297" s="13" t="s">
        <v>135</v>
      </c>
      <c r="I297" s="13" t="s">
        <v>356</v>
      </c>
      <c r="J297" s="13" t="s">
        <v>577</v>
      </c>
    </row>
    <row r="298" spans="1:10" ht="25.5">
      <c r="A298" s="13" t="s">
        <v>59</v>
      </c>
      <c r="B298" s="13" t="s">
        <v>62</v>
      </c>
      <c r="C298" s="13" t="s">
        <v>407</v>
      </c>
      <c r="D298" s="13" t="s">
        <v>23</v>
      </c>
      <c r="E298" s="13" t="s">
        <v>576</v>
      </c>
      <c r="F298" s="13" t="s">
        <v>244</v>
      </c>
      <c r="G298" s="13" t="s">
        <v>245</v>
      </c>
      <c r="H298" s="13" t="s">
        <v>135</v>
      </c>
      <c r="I298" s="13" t="s">
        <v>407</v>
      </c>
      <c r="J298" s="13" t="s">
        <v>577</v>
      </c>
    </row>
    <row r="299" spans="1:10" ht="25.5">
      <c r="A299" s="13" t="s">
        <v>36</v>
      </c>
      <c r="B299" s="13" t="s">
        <v>44</v>
      </c>
      <c r="C299" s="13" t="s">
        <v>366</v>
      </c>
      <c r="D299" s="13" t="s">
        <v>23</v>
      </c>
      <c r="E299" s="13" t="s">
        <v>576</v>
      </c>
      <c r="F299" s="13" t="s">
        <v>244</v>
      </c>
      <c r="G299" s="13" t="s">
        <v>245</v>
      </c>
      <c r="H299" s="13" t="s">
        <v>135</v>
      </c>
      <c r="I299" s="13" t="s">
        <v>366</v>
      </c>
      <c r="J299" s="13" t="s">
        <v>577</v>
      </c>
    </row>
    <row r="300" spans="1:10" ht="25.5">
      <c r="A300" s="13" t="s">
        <v>49</v>
      </c>
      <c r="B300" s="13" t="s">
        <v>53</v>
      </c>
      <c r="C300" s="13" t="s">
        <v>382</v>
      </c>
      <c r="D300" s="13" t="s">
        <v>23</v>
      </c>
      <c r="E300" s="13" t="s">
        <v>576</v>
      </c>
      <c r="F300" s="13" t="s">
        <v>244</v>
      </c>
      <c r="G300" s="13" t="s">
        <v>245</v>
      </c>
      <c r="H300" s="13" t="s">
        <v>135</v>
      </c>
      <c r="I300" s="13" t="s">
        <v>382</v>
      </c>
      <c r="J300" s="13" t="s">
        <v>577</v>
      </c>
    </row>
    <row r="301" spans="1:10" ht="25.5">
      <c r="A301" s="13" t="s">
        <v>59</v>
      </c>
      <c r="B301" s="13" t="s">
        <v>66</v>
      </c>
      <c r="C301" s="13" t="s">
        <v>417</v>
      </c>
      <c r="D301" s="13" t="s">
        <v>23</v>
      </c>
      <c r="E301" s="13" t="s">
        <v>583</v>
      </c>
      <c r="F301" s="13" t="s">
        <v>244</v>
      </c>
      <c r="G301" s="13" t="s">
        <v>245</v>
      </c>
      <c r="H301" s="13" t="s">
        <v>135</v>
      </c>
      <c r="I301" s="13" t="s">
        <v>417</v>
      </c>
      <c r="J301" s="13" t="s">
        <v>577</v>
      </c>
    </row>
    <row r="302" spans="1:10" ht="25.5">
      <c r="A302" s="13" t="s">
        <v>59</v>
      </c>
      <c r="B302" s="13" t="s">
        <v>69</v>
      </c>
      <c r="C302" s="13" t="s">
        <v>423</v>
      </c>
      <c r="D302" s="13" t="s">
        <v>23</v>
      </c>
      <c r="E302" s="13" t="s">
        <v>583</v>
      </c>
      <c r="F302" s="13" t="s">
        <v>244</v>
      </c>
      <c r="G302" s="13" t="s">
        <v>245</v>
      </c>
      <c r="H302" s="13" t="s">
        <v>135</v>
      </c>
      <c r="I302" s="13" t="s">
        <v>423</v>
      </c>
      <c r="J302" s="13" t="s">
        <v>577</v>
      </c>
    </row>
    <row r="303" spans="1:10" ht="25.5">
      <c r="A303" s="13" t="s">
        <v>36</v>
      </c>
      <c r="B303" s="13" t="s">
        <v>46</v>
      </c>
      <c r="C303" s="13" t="s">
        <v>373</v>
      </c>
      <c r="D303" s="13" t="s">
        <v>579</v>
      </c>
      <c r="E303" s="13" t="s">
        <v>580</v>
      </c>
      <c r="F303" s="13" t="s">
        <v>244</v>
      </c>
      <c r="G303" s="13" t="s">
        <v>245</v>
      </c>
      <c r="H303" s="13" t="s">
        <v>135</v>
      </c>
      <c r="I303" s="13" t="s">
        <v>373</v>
      </c>
      <c r="J303" s="13" t="s">
        <v>577</v>
      </c>
    </row>
    <row r="304" spans="1:10" ht="25.5">
      <c r="A304" s="13" t="s">
        <v>94</v>
      </c>
      <c r="B304" s="13" t="s">
        <v>95</v>
      </c>
      <c r="C304" s="13" t="s">
        <v>453</v>
      </c>
      <c r="D304" s="13" t="s">
        <v>579</v>
      </c>
      <c r="E304" s="13" t="s">
        <v>581</v>
      </c>
      <c r="F304" s="13" t="s">
        <v>244</v>
      </c>
      <c r="G304" s="13" t="s">
        <v>245</v>
      </c>
      <c r="H304" s="13" t="s">
        <v>135</v>
      </c>
      <c r="I304" s="13" t="s">
        <v>453</v>
      </c>
      <c r="J304" s="13" t="s">
        <v>577</v>
      </c>
    </row>
    <row r="305" spans="1:10" ht="25.5">
      <c r="A305" s="13" t="s">
        <v>94</v>
      </c>
      <c r="B305" s="13" t="s">
        <v>96</v>
      </c>
      <c r="C305" s="13" t="s">
        <v>456</v>
      </c>
      <c r="D305" s="13" t="s">
        <v>579</v>
      </c>
      <c r="E305" s="13" t="s">
        <v>581</v>
      </c>
      <c r="F305" s="13" t="s">
        <v>244</v>
      </c>
      <c r="G305" s="13" t="s">
        <v>245</v>
      </c>
      <c r="H305" s="13" t="s">
        <v>135</v>
      </c>
      <c r="I305" s="13" t="s">
        <v>456</v>
      </c>
      <c r="J305" s="13" t="s">
        <v>577</v>
      </c>
    </row>
    <row r="306" spans="1:10" ht="25.5">
      <c r="A306" s="13" t="s">
        <v>36</v>
      </c>
      <c r="B306" s="13" t="s">
        <v>38</v>
      </c>
      <c r="C306" s="13" t="s">
        <v>356</v>
      </c>
      <c r="D306" s="13" t="s">
        <v>23</v>
      </c>
      <c r="E306" s="13" t="s">
        <v>576</v>
      </c>
      <c r="F306" s="13" t="s">
        <v>244</v>
      </c>
      <c r="G306" s="13" t="s">
        <v>248</v>
      </c>
      <c r="H306" s="13" t="s">
        <v>78</v>
      </c>
      <c r="I306" s="13" t="s">
        <v>356</v>
      </c>
      <c r="J306" s="13" t="s">
        <v>577</v>
      </c>
    </row>
    <row r="307" spans="1:10" ht="25.5">
      <c r="A307" s="13" t="s">
        <v>59</v>
      </c>
      <c r="B307" s="13" t="s">
        <v>62</v>
      </c>
      <c r="C307" s="13" t="s">
        <v>407</v>
      </c>
      <c r="D307" s="13" t="s">
        <v>23</v>
      </c>
      <c r="E307" s="13" t="s">
        <v>576</v>
      </c>
      <c r="F307" s="13" t="s">
        <v>244</v>
      </c>
      <c r="G307" s="13" t="s">
        <v>248</v>
      </c>
      <c r="H307" s="13" t="s">
        <v>78</v>
      </c>
      <c r="I307" s="13" t="s">
        <v>407</v>
      </c>
      <c r="J307" s="13" t="s">
        <v>577</v>
      </c>
    </row>
    <row r="308" spans="1:10" ht="25.5">
      <c r="A308" s="13" t="s">
        <v>36</v>
      </c>
      <c r="B308" s="13" t="s">
        <v>44</v>
      </c>
      <c r="C308" s="13" t="s">
        <v>366</v>
      </c>
      <c r="D308" s="13" t="s">
        <v>23</v>
      </c>
      <c r="E308" s="13" t="s">
        <v>576</v>
      </c>
      <c r="F308" s="13" t="s">
        <v>244</v>
      </c>
      <c r="G308" s="13" t="s">
        <v>248</v>
      </c>
      <c r="H308" s="13" t="s">
        <v>78</v>
      </c>
      <c r="I308" s="13" t="s">
        <v>366</v>
      </c>
      <c r="J308" s="13" t="s">
        <v>577</v>
      </c>
    </row>
    <row r="309" spans="1:10" ht="25.5">
      <c r="A309" s="13" t="s">
        <v>49</v>
      </c>
      <c r="B309" s="13" t="s">
        <v>53</v>
      </c>
      <c r="C309" s="13" t="s">
        <v>382</v>
      </c>
      <c r="D309" s="13" t="s">
        <v>23</v>
      </c>
      <c r="E309" s="13" t="s">
        <v>576</v>
      </c>
      <c r="F309" s="13" t="s">
        <v>244</v>
      </c>
      <c r="G309" s="13" t="s">
        <v>248</v>
      </c>
      <c r="H309" s="13" t="s">
        <v>78</v>
      </c>
      <c r="I309" s="13" t="s">
        <v>382</v>
      </c>
      <c r="J309" s="13" t="s">
        <v>577</v>
      </c>
    </row>
    <row r="310" spans="1:10" ht="25.5">
      <c r="A310" s="13" t="s">
        <v>59</v>
      </c>
      <c r="B310" s="13" t="s">
        <v>66</v>
      </c>
      <c r="C310" s="13" t="s">
        <v>417</v>
      </c>
      <c r="D310" s="13" t="s">
        <v>23</v>
      </c>
      <c r="E310" s="13" t="s">
        <v>583</v>
      </c>
      <c r="F310" s="13" t="s">
        <v>244</v>
      </c>
      <c r="G310" s="13" t="s">
        <v>248</v>
      </c>
      <c r="H310" s="13" t="s">
        <v>78</v>
      </c>
      <c r="I310" s="13" t="s">
        <v>417</v>
      </c>
      <c r="J310" s="13" t="s">
        <v>577</v>
      </c>
    </row>
    <row r="311" spans="1:10" ht="25.5">
      <c r="A311" s="13" t="s">
        <v>59</v>
      </c>
      <c r="B311" s="13" t="s">
        <v>69</v>
      </c>
      <c r="C311" s="13" t="s">
        <v>423</v>
      </c>
      <c r="D311" s="13" t="s">
        <v>23</v>
      </c>
      <c r="E311" s="13" t="s">
        <v>583</v>
      </c>
      <c r="F311" s="13" t="s">
        <v>244</v>
      </c>
      <c r="G311" s="13" t="s">
        <v>248</v>
      </c>
      <c r="H311" s="13" t="s">
        <v>78</v>
      </c>
      <c r="I311" s="13" t="s">
        <v>423</v>
      </c>
      <c r="J311" s="13" t="s">
        <v>577</v>
      </c>
    </row>
    <row r="312" spans="1:10" ht="25.5">
      <c r="A312" s="13" t="s">
        <v>49</v>
      </c>
      <c r="B312" s="13" t="s">
        <v>57</v>
      </c>
      <c r="C312" s="13" t="s">
        <v>57</v>
      </c>
      <c r="D312" s="13" t="s">
        <v>579</v>
      </c>
      <c r="E312" s="13" t="s">
        <v>580</v>
      </c>
      <c r="F312" s="13" t="s">
        <v>244</v>
      </c>
      <c r="G312" s="13" t="s">
        <v>248</v>
      </c>
      <c r="H312" s="13" t="s">
        <v>78</v>
      </c>
      <c r="I312" s="13" t="s">
        <v>57</v>
      </c>
      <c r="J312" s="13" t="s">
        <v>577</v>
      </c>
    </row>
    <row r="313" spans="1:10" ht="25.5">
      <c r="A313" s="13" t="s">
        <v>94</v>
      </c>
      <c r="B313" s="13" t="s">
        <v>95</v>
      </c>
      <c r="C313" s="13" t="s">
        <v>453</v>
      </c>
      <c r="D313" s="13" t="s">
        <v>579</v>
      </c>
      <c r="E313" s="13" t="s">
        <v>580</v>
      </c>
      <c r="F313" s="13" t="s">
        <v>244</v>
      </c>
      <c r="G313" s="13" t="s">
        <v>248</v>
      </c>
      <c r="H313" s="13" t="s">
        <v>78</v>
      </c>
      <c r="I313" s="13" t="s">
        <v>453</v>
      </c>
      <c r="J313" s="13" t="s">
        <v>577</v>
      </c>
    </row>
    <row r="314" spans="1:10" ht="25.5">
      <c r="A314" s="13" t="s">
        <v>104</v>
      </c>
      <c r="B314" s="13" t="s">
        <v>106</v>
      </c>
      <c r="C314" s="13" t="s">
        <v>477</v>
      </c>
      <c r="D314" s="13" t="s">
        <v>579</v>
      </c>
      <c r="E314" s="13" t="s">
        <v>581</v>
      </c>
      <c r="F314" s="13" t="s">
        <v>244</v>
      </c>
      <c r="G314" s="13" t="s">
        <v>248</v>
      </c>
      <c r="H314" s="13" t="s">
        <v>78</v>
      </c>
      <c r="I314" s="13" t="s">
        <v>477</v>
      </c>
      <c r="J314" s="13" t="s">
        <v>577</v>
      </c>
    </row>
    <row r="315" spans="1:10" ht="25.5">
      <c r="A315" s="13" t="s">
        <v>104</v>
      </c>
      <c r="B315" s="13" t="s">
        <v>107</v>
      </c>
      <c r="C315" s="13" t="s">
        <v>480</v>
      </c>
      <c r="D315" s="13" t="s">
        <v>579</v>
      </c>
      <c r="E315" s="13" t="s">
        <v>581</v>
      </c>
      <c r="F315" s="13" t="s">
        <v>244</v>
      </c>
      <c r="G315" s="13" t="s">
        <v>248</v>
      </c>
      <c r="H315" s="13" t="s">
        <v>78</v>
      </c>
      <c r="I315" s="13" t="s">
        <v>480</v>
      </c>
      <c r="J315" s="13" t="s">
        <v>577</v>
      </c>
    </row>
    <row r="316" spans="1:10" ht="25.5">
      <c r="A316" s="13" t="s">
        <v>36</v>
      </c>
      <c r="B316" s="13" t="s">
        <v>38</v>
      </c>
      <c r="C316" s="13" t="s">
        <v>356</v>
      </c>
      <c r="D316" s="13" t="s">
        <v>23</v>
      </c>
      <c r="E316" s="13" t="s">
        <v>576</v>
      </c>
      <c r="F316" s="13" t="s">
        <v>244</v>
      </c>
      <c r="G316" s="13" t="s">
        <v>251</v>
      </c>
      <c r="H316" s="13" t="s">
        <v>139</v>
      </c>
      <c r="I316" s="13" t="s">
        <v>356</v>
      </c>
      <c r="J316" s="13" t="s">
        <v>577</v>
      </c>
    </row>
    <row r="317" spans="1:10" ht="25.5">
      <c r="A317" s="13" t="s">
        <v>59</v>
      </c>
      <c r="B317" s="13" t="s">
        <v>62</v>
      </c>
      <c r="C317" s="13" t="s">
        <v>407</v>
      </c>
      <c r="D317" s="13" t="s">
        <v>23</v>
      </c>
      <c r="E317" s="13" t="s">
        <v>576</v>
      </c>
      <c r="F317" s="13" t="s">
        <v>244</v>
      </c>
      <c r="G317" s="13" t="s">
        <v>251</v>
      </c>
      <c r="H317" s="13" t="s">
        <v>139</v>
      </c>
      <c r="I317" s="13" t="s">
        <v>407</v>
      </c>
      <c r="J317" s="13" t="s">
        <v>577</v>
      </c>
    </row>
    <row r="318" spans="1:10" ht="25.5">
      <c r="A318" s="13" t="s">
        <v>36</v>
      </c>
      <c r="B318" s="13" t="s">
        <v>44</v>
      </c>
      <c r="C318" s="13" t="s">
        <v>366</v>
      </c>
      <c r="D318" s="13" t="s">
        <v>23</v>
      </c>
      <c r="E318" s="13" t="s">
        <v>576</v>
      </c>
      <c r="F318" s="13" t="s">
        <v>244</v>
      </c>
      <c r="G318" s="13" t="s">
        <v>251</v>
      </c>
      <c r="H318" s="13" t="s">
        <v>139</v>
      </c>
      <c r="I318" s="13" t="s">
        <v>366</v>
      </c>
      <c r="J318" s="13" t="s">
        <v>577</v>
      </c>
    </row>
    <row r="319" spans="1:10" ht="25.5">
      <c r="A319" s="13" t="s">
        <v>49</v>
      </c>
      <c r="B319" s="13" t="s">
        <v>53</v>
      </c>
      <c r="C319" s="13" t="s">
        <v>382</v>
      </c>
      <c r="D319" s="13" t="s">
        <v>23</v>
      </c>
      <c r="E319" s="13" t="s">
        <v>576</v>
      </c>
      <c r="F319" s="13" t="s">
        <v>244</v>
      </c>
      <c r="G319" s="13" t="s">
        <v>251</v>
      </c>
      <c r="H319" s="13" t="s">
        <v>139</v>
      </c>
      <c r="I319" s="13" t="s">
        <v>382</v>
      </c>
      <c r="J319" s="13" t="s">
        <v>577</v>
      </c>
    </row>
    <row r="320" spans="1:10" ht="25.5">
      <c r="A320" s="13" t="s">
        <v>59</v>
      </c>
      <c r="B320" s="13" t="s">
        <v>66</v>
      </c>
      <c r="C320" s="13" t="s">
        <v>417</v>
      </c>
      <c r="D320" s="13" t="s">
        <v>23</v>
      </c>
      <c r="E320" s="13" t="s">
        <v>583</v>
      </c>
      <c r="F320" s="13" t="s">
        <v>244</v>
      </c>
      <c r="G320" s="13" t="s">
        <v>251</v>
      </c>
      <c r="H320" s="13" t="s">
        <v>139</v>
      </c>
      <c r="I320" s="13" t="s">
        <v>417</v>
      </c>
      <c r="J320" s="13" t="s">
        <v>577</v>
      </c>
    </row>
    <row r="321" spans="1:10" ht="25.5">
      <c r="A321" s="13" t="s">
        <v>59</v>
      </c>
      <c r="B321" s="13" t="s">
        <v>69</v>
      </c>
      <c r="C321" s="13" t="s">
        <v>423</v>
      </c>
      <c r="D321" s="13" t="s">
        <v>23</v>
      </c>
      <c r="E321" s="13" t="s">
        <v>583</v>
      </c>
      <c r="F321" s="13" t="s">
        <v>244</v>
      </c>
      <c r="G321" s="13" t="s">
        <v>251</v>
      </c>
      <c r="H321" s="13" t="s">
        <v>139</v>
      </c>
      <c r="I321" s="13" t="s">
        <v>423</v>
      </c>
      <c r="J321" s="13" t="s">
        <v>577</v>
      </c>
    </row>
    <row r="322" spans="1:10" ht="25.5">
      <c r="A322" s="13" t="s">
        <v>49</v>
      </c>
      <c r="B322" s="13" t="s">
        <v>55</v>
      </c>
      <c r="C322" s="13" t="s">
        <v>389</v>
      </c>
      <c r="D322" s="13" t="s">
        <v>579</v>
      </c>
      <c r="E322" s="13" t="s">
        <v>580</v>
      </c>
      <c r="F322" s="13" t="s">
        <v>244</v>
      </c>
      <c r="G322" s="13" t="s">
        <v>251</v>
      </c>
      <c r="H322" s="13" t="s">
        <v>139</v>
      </c>
      <c r="I322" s="13" t="s">
        <v>389</v>
      </c>
      <c r="J322" s="13" t="s">
        <v>577</v>
      </c>
    </row>
    <row r="323" spans="1:10" ht="25.5">
      <c r="A323" s="13" t="s">
        <v>98</v>
      </c>
      <c r="B323" s="13" t="s">
        <v>101</v>
      </c>
      <c r="C323" s="13" t="s">
        <v>469</v>
      </c>
      <c r="D323" s="13" t="s">
        <v>579</v>
      </c>
      <c r="E323" s="13" t="s">
        <v>580</v>
      </c>
      <c r="F323" s="13" t="s">
        <v>244</v>
      </c>
      <c r="G323" s="13" t="s">
        <v>251</v>
      </c>
      <c r="H323" s="13" t="s">
        <v>139</v>
      </c>
      <c r="I323" s="13" t="s">
        <v>469</v>
      </c>
      <c r="J323" s="13" t="s">
        <v>577</v>
      </c>
    </row>
    <row r="324" spans="1:10" ht="25.5">
      <c r="A324" s="13" t="s">
        <v>98</v>
      </c>
      <c r="B324" s="13" t="s">
        <v>100</v>
      </c>
      <c r="C324" s="13" t="s">
        <v>466</v>
      </c>
      <c r="D324" s="13" t="s">
        <v>579</v>
      </c>
      <c r="E324" s="13" t="s">
        <v>581</v>
      </c>
      <c r="F324" s="13" t="s">
        <v>244</v>
      </c>
      <c r="G324" s="13" t="s">
        <v>251</v>
      </c>
      <c r="H324" s="13" t="s">
        <v>139</v>
      </c>
      <c r="I324" s="13" t="s">
        <v>466</v>
      </c>
      <c r="J324" s="13" t="s">
        <v>577</v>
      </c>
    </row>
    <row r="325" spans="1:10" ht="25.5">
      <c r="A325" s="13" t="s">
        <v>104</v>
      </c>
      <c r="B325" s="13" t="s">
        <v>107</v>
      </c>
      <c r="C325" s="13" t="s">
        <v>480</v>
      </c>
      <c r="D325" s="13" t="s">
        <v>579</v>
      </c>
      <c r="E325" s="13" t="s">
        <v>581</v>
      </c>
      <c r="F325" s="13" t="s">
        <v>244</v>
      </c>
      <c r="G325" s="13" t="s">
        <v>251</v>
      </c>
      <c r="H325" s="13" t="s">
        <v>139</v>
      </c>
      <c r="I325" s="13" t="s">
        <v>480</v>
      </c>
      <c r="J325" s="13" t="s">
        <v>577</v>
      </c>
    </row>
    <row r="326" spans="1:10" ht="25.5">
      <c r="A326" s="13" t="s">
        <v>36</v>
      </c>
      <c r="B326" s="13" t="s">
        <v>38</v>
      </c>
      <c r="C326" s="13" t="s">
        <v>356</v>
      </c>
      <c r="D326" s="13" t="s">
        <v>23</v>
      </c>
      <c r="E326" s="13" t="s">
        <v>576</v>
      </c>
      <c r="F326" s="13" t="s">
        <v>244</v>
      </c>
      <c r="G326" s="13" t="s">
        <v>254</v>
      </c>
      <c r="H326" s="13" t="s">
        <v>84</v>
      </c>
      <c r="I326" s="13" t="s">
        <v>356</v>
      </c>
      <c r="J326" s="13" t="s">
        <v>577</v>
      </c>
    </row>
    <row r="327" spans="1:10" ht="25.5">
      <c r="A327" s="13" t="s">
        <v>59</v>
      </c>
      <c r="B327" s="13" t="s">
        <v>62</v>
      </c>
      <c r="C327" s="13" t="s">
        <v>407</v>
      </c>
      <c r="D327" s="13" t="s">
        <v>23</v>
      </c>
      <c r="E327" s="13" t="s">
        <v>576</v>
      </c>
      <c r="F327" s="13" t="s">
        <v>244</v>
      </c>
      <c r="G327" s="13" t="s">
        <v>254</v>
      </c>
      <c r="H327" s="13" t="s">
        <v>84</v>
      </c>
      <c r="I327" s="13" t="s">
        <v>407</v>
      </c>
      <c r="J327" s="13" t="s">
        <v>577</v>
      </c>
    </row>
    <row r="328" spans="1:10" ht="25.5">
      <c r="A328" s="13" t="s">
        <v>36</v>
      </c>
      <c r="B328" s="13" t="s">
        <v>44</v>
      </c>
      <c r="C328" s="13" t="s">
        <v>366</v>
      </c>
      <c r="D328" s="13" t="s">
        <v>23</v>
      </c>
      <c r="E328" s="13" t="s">
        <v>576</v>
      </c>
      <c r="F328" s="13" t="s">
        <v>244</v>
      </c>
      <c r="G328" s="13" t="s">
        <v>254</v>
      </c>
      <c r="H328" s="13" t="s">
        <v>84</v>
      </c>
      <c r="I328" s="13" t="s">
        <v>366</v>
      </c>
      <c r="J328" s="13" t="s">
        <v>577</v>
      </c>
    </row>
    <row r="329" spans="1:10" ht="25.5">
      <c r="A329" s="13" t="s">
        <v>49</v>
      </c>
      <c r="B329" s="13" t="s">
        <v>53</v>
      </c>
      <c r="C329" s="13" t="s">
        <v>382</v>
      </c>
      <c r="D329" s="13" t="s">
        <v>23</v>
      </c>
      <c r="E329" s="13" t="s">
        <v>576</v>
      </c>
      <c r="F329" s="13" t="s">
        <v>244</v>
      </c>
      <c r="G329" s="13" t="s">
        <v>254</v>
      </c>
      <c r="H329" s="13" t="s">
        <v>84</v>
      </c>
      <c r="I329" s="13" t="s">
        <v>382</v>
      </c>
      <c r="J329" s="13" t="s">
        <v>577</v>
      </c>
    </row>
    <row r="330" spans="1:10" ht="25.5">
      <c r="A330" s="13" t="s">
        <v>59</v>
      </c>
      <c r="B330" s="13" t="s">
        <v>66</v>
      </c>
      <c r="C330" s="13" t="s">
        <v>417</v>
      </c>
      <c r="D330" s="13" t="s">
        <v>23</v>
      </c>
      <c r="E330" s="13" t="s">
        <v>583</v>
      </c>
      <c r="F330" s="13" t="s">
        <v>244</v>
      </c>
      <c r="G330" s="13" t="s">
        <v>254</v>
      </c>
      <c r="H330" s="13" t="s">
        <v>84</v>
      </c>
      <c r="I330" s="13" t="s">
        <v>417</v>
      </c>
      <c r="J330" s="13" t="s">
        <v>577</v>
      </c>
    </row>
    <row r="331" spans="1:10" ht="25.5">
      <c r="A331" s="13" t="s">
        <v>59</v>
      </c>
      <c r="B331" s="13" t="s">
        <v>69</v>
      </c>
      <c r="C331" s="13" t="s">
        <v>423</v>
      </c>
      <c r="D331" s="13" t="s">
        <v>23</v>
      </c>
      <c r="E331" s="13" t="s">
        <v>583</v>
      </c>
      <c r="F331" s="13" t="s">
        <v>244</v>
      </c>
      <c r="G331" s="13" t="s">
        <v>254</v>
      </c>
      <c r="H331" s="13" t="s">
        <v>84</v>
      </c>
      <c r="I331" s="13" t="s">
        <v>423</v>
      </c>
      <c r="J331" s="13" t="s">
        <v>577</v>
      </c>
    </row>
    <row r="332" spans="1:10" ht="25.5">
      <c r="A332" s="13" t="s">
        <v>59</v>
      </c>
      <c r="B332" s="13" t="s">
        <v>80</v>
      </c>
      <c r="C332" s="13" t="s">
        <v>434</v>
      </c>
      <c r="D332" s="13" t="s">
        <v>579</v>
      </c>
      <c r="E332" s="13" t="s">
        <v>580</v>
      </c>
      <c r="F332" s="13" t="s">
        <v>244</v>
      </c>
      <c r="G332" s="13" t="s">
        <v>254</v>
      </c>
      <c r="H332" s="13" t="s">
        <v>84</v>
      </c>
      <c r="I332" s="13" t="s">
        <v>434</v>
      </c>
      <c r="J332" s="13" t="s">
        <v>577</v>
      </c>
    </row>
    <row r="333" spans="1:10" ht="25.5">
      <c r="A333" s="13" t="s">
        <v>59</v>
      </c>
      <c r="B333" s="13" t="s">
        <v>91</v>
      </c>
      <c r="C333" s="13" t="s">
        <v>444</v>
      </c>
      <c r="D333" s="13" t="s">
        <v>579</v>
      </c>
      <c r="E333" s="13" t="s">
        <v>580</v>
      </c>
      <c r="F333" s="13" t="s">
        <v>244</v>
      </c>
      <c r="G333" s="13" t="s">
        <v>254</v>
      </c>
      <c r="H333" s="13" t="s">
        <v>84</v>
      </c>
      <c r="I333" s="13" t="s">
        <v>444</v>
      </c>
      <c r="J333" s="13" t="s">
        <v>577</v>
      </c>
    </row>
    <row r="334" spans="1:10" ht="25.5">
      <c r="A334" s="13" t="s">
        <v>59</v>
      </c>
      <c r="B334" s="13" t="s">
        <v>93</v>
      </c>
      <c r="C334" s="13" t="s">
        <v>450</v>
      </c>
      <c r="D334" s="13" t="s">
        <v>579</v>
      </c>
      <c r="E334" s="13" t="s">
        <v>580</v>
      </c>
      <c r="F334" s="13" t="s">
        <v>244</v>
      </c>
      <c r="G334" s="13" t="s">
        <v>254</v>
      </c>
      <c r="H334" s="13" t="s">
        <v>84</v>
      </c>
      <c r="I334" s="13" t="s">
        <v>450</v>
      </c>
      <c r="J334" s="13" t="s">
        <v>577</v>
      </c>
    </row>
    <row r="335" spans="1:10" ht="25.5">
      <c r="A335" s="13" t="s">
        <v>94</v>
      </c>
      <c r="B335" s="13" t="s">
        <v>97</v>
      </c>
      <c r="C335" s="13" t="s">
        <v>459</v>
      </c>
      <c r="D335" s="13" t="s">
        <v>579</v>
      </c>
      <c r="E335" s="13" t="s">
        <v>581</v>
      </c>
      <c r="F335" s="13" t="s">
        <v>244</v>
      </c>
      <c r="G335" s="13" t="s">
        <v>254</v>
      </c>
      <c r="H335" s="13" t="s">
        <v>84</v>
      </c>
      <c r="I335" s="13" t="s">
        <v>459</v>
      </c>
      <c r="J335" s="13" t="s">
        <v>577</v>
      </c>
    </row>
    <row r="336" spans="1:10" ht="25.5">
      <c r="A336" s="13" t="s">
        <v>36</v>
      </c>
      <c r="B336" s="13" t="s">
        <v>42</v>
      </c>
      <c r="C336" s="13" t="s">
        <v>360</v>
      </c>
      <c r="D336" s="13" t="s">
        <v>23</v>
      </c>
      <c r="E336" s="13" t="s">
        <v>576</v>
      </c>
      <c r="F336" s="13" t="s">
        <v>256</v>
      </c>
      <c r="G336" s="13" t="s">
        <v>257</v>
      </c>
      <c r="H336" s="13" t="s">
        <v>139</v>
      </c>
      <c r="I336" s="13" t="s">
        <v>360</v>
      </c>
      <c r="J336" s="13" t="s">
        <v>577</v>
      </c>
    </row>
    <row r="337" spans="1:10" ht="25.5">
      <c r="A337" s="13" t="s">
        <v>59</v>
      </c>
      <c r="B337" s="13" t="s">
        <v>83</v>
      </c>
      <c r="C337" s="13" t="s">
        <v>83</v>
      </c>
      <c r="D337" s="13" t="s">
        <v>23</v>
      </c>
      <c r="E337" s="13" t="s">
        <v>576</v>
      </c>
      <c r="F337" s="13" t="s">
        <v>256</v>
      </c>
      <c r="G337" s="13" t="s">
        <v>257</v>
      </c>
      <c r="H337" s="13" t="s">
        <v>139</v>
      </c>
      <c r="I337" s="13" t="s">
        <v>83</v>
      </c>
      <c r="J337" s="13" t="s">
        <v>577</v>
      </c>
    </row>
    <row r="338" spans="1:10" ht="25.5">
      <c r="A338" s="13" t="s">
        <v>49</v>
      </c>
      <c r="B338" s="13" t="s">
        <v>55</v>
      </c>
      <c r="C338" s="13" t="s">
        <v>389</v>
      </c>
      <c r="D338" s="13" t="s">
        <v>579</v>
      </c>
      <c r="E338" s="13" t="s">
        <v>580</v>
      </c>
      <c r="F338" s="13" t="s">
        <v>256</v>
      </c>
      <c r="G338" s="13" t="s">
        <v>257</v>
      </c>
      <c r="H338" s="13" t="s">
        <v>139</v>
      </c>
      <c r="I338" s="13" t="s">
        <v>389</v>
      </c>
      <c r="J338" s="13" t="s">
        <v>577</v>
      </c>
    </row>
    <row r="339" spans="1:10" ht="25.5">
      <c r="A339" s="13" t="s">
        <v>98</v>
      </c>
      <c r="B339" s="13" t="s">
        <v>100</v>
      </c>
      <c r="C339" s="13" t="s">
        <v>466</v>
      </c>
      <c r="D339" s="13" t="s">
        <v>579</v>
      </c>
      <c r="E339" s="13" t="s">
        <v>581</v>
      </c>
      <c r="F339" s="13" t="s">
        <v>256</v>
      </c>
      <c r="G339" s="13" t="s">
        <v>257</v>
      </c>
      <c r="H339" s="13" t="s">
        <v>139</v>
      </c>
      <c r="I339" s="13" t="s">
        <v>466</v>
      </c>
      <c r="J339" s="13" t="s">
        <v>577</v>
      </c>
    </row>
    <row r="340" spans="1:10" ht="25.5">
      <c r="A340" s="13" t="s">
        <v>94</v>
      </c>
      <c r="B340" s="13" t="s">
        <v>96</v>
      </c>
      <c r="C340" s="13" t="s">
        <v>456</v>
      </c>
      <c r="D340" s="13" t="s">
        <v>579</v>
      </c>
      <c r="E340" s="13" t="s">
        <v>581</v>
      </c>
      <c r="F340" s="13" t="s">
        <v>256</v>
      </c>
      <c r="G340" s="13" t="s">
        <v>257</v>
      </c>
      <c r="H340" s="13" t="s">
        <v>139</v>
      </c>
      <c r="I340" s="13" t="s">
        <v>456</v>
      </c>
      <c r="J340" s="13" t="s">
        <v>577</v>
      </c>
    </row>
    <row r="341" spans="1:10" ht="25.5">
      <c r="A341" s="13" t="s">
        <v>104</v>
      </c>
      <c r="B341" s="13" t="s">
        <v>106</v>
      </c>
      <c r="C341" s="13" t="s">
        <v>477</v>
      </c>
      <c r="D341" s="13" t="s">
        <v>579</v>
      </c>
      <c r="E341" s="13" t="s">
        <v>581</v>
      </c>
      <c r="F341" s="13" t="s">
        <v>256</v>
      </c>
      <c r="G341" s="13" t="s">
        <v>257</v>
      </c>
      <c r="H341" s="13" t="s">
        <v>139</v>
      </c>
      <c r="I341" s="13" t="s">
        <v>477</v>
      </c>
      <c r="J341" s="13" t="s">
        <v>577</v>
      </c>
    </row>
    <row r="342" spans="1:10" ht="25.5">
      <c r="A342" s="13" t="s">
        <v>36</v>
      </c>
      <c r="B342" s="13" t="s">
        <v>42</v>
      </c>
      <c r="C342" s="13" t="s">
        <v>360</v>
      </c>
      <c r="D342" s="13" t="s">
        <v>23</v>
      </c>
      <c r="E342" s="13" t="s">
        <v>576</v>
      </c>
      <c r="F342" s="13" t="s">
        <v>256</v>
      </c>
      <c r="G342" s="13" t="s">
        <v>260</v>
      </c>
      <c r="H342" s="13" t="s">
        <v>84</v>
      </c>
      <c r="I342" s="13" t="s">
        <v>360</v>
      </c>
      <c r="J342" s="13" t="s">
        <v>577</v>
      </c>
    </row>
    <row r="343" spans="1:10" ht="25.5">
      <c r="A343" s="13" t="s">
        <v>59</v>
      </c>
      <c r="B343" s="13" t="s">
        <v>83</v>
      </c>
      <c r="C343" s="13" t="s">
        <v>83</v>
      </c>
      <c r="D343" s="13" t="s">
        <v>23</v>
      </c>
      <c r="E343" s="13" t="s">
        <v>576</v>
      </c>
      <c r="F343" s="13" t="s">
        <v>256</v>
      </c>
      <c r="G343" s="13" t="s">
        <v>260</v>
      </c>
      <c r="H343" s="13" t="s">
        <v>84</v>
      </c>
      <c r="I343" s="13" t="s">
        <v>83</v>
      </c>
      <c r="J343" s="13" t="s">
        <v>577</v>
      </c>
    </row>
    <row r="344" spans="1:10" ht="25.5">
      <c r="A344" s="13" t="s">
        <v>59</v>
      </c>
      <c r="B344" s="13" t="s">
        <v>91</v>
      </c>
      <c r="C344" s="13" t="s">
        <v>444</v>
      </c>
      <c r="D344" s="13" t="s">
        <v>579</v>
      </c>
      <c r="E344" s="13" t="s">
        <v>580</v>
      </c>
      <c r="F344" s="13" t="s">
        <v>256</v>
      </c>
      <c r="G344" s="13" t="s">
        <v>260</v>
      </c>
      <c r="H344" s="13" t="s">
        <v>84</v>
      </c>
      <c r="I344" s="13" t="s">
        <v>444</v>
      </c>
      <c r="J344" s="13" t="s">
        <v>577</v>
      </c>
    </row>
    <row r="345" spans="1:10" ht="25.5">
      <c r="A345" s="13" t="s">
        <v>59</v>
      </c>
      <c r="B345" s="13" t="s">
        <v>93</v>
      </c>
      <c r="C345" s="13" t="s">
        <v>450</v>
      </c>
      <c r="D345" s="13" t="s">
        <v>579</v>
      </c>
      <c r="E345" s="13" t="s">
        <v>580</v>
      </c>
      <c r="F345" s="13" t="s">
        <v>256</v>
      </c>
      <c r="G345" s="13" t="s">
        <v>260</v>
      </c>
      <c r="H345" s="13" t="s">
        <v>84</v>
      </c>
      <c r="I345" s="13" t="s">
        <v>450</v>
      </c>
      <c r="J345" s="13" t="s">
        <v>577</v>
      </c>
    </row>
    <row r="346" spans="1:10" ht="25.5">
      <c r="A346" s="13" t="s">
        <v>94</v>
      </c>
      <c r="B346" s="13" t="s">
        <v>96</v>
      </c>
      <c r="C346" s="13" t="s">
        <v>456</v>
      </c>
      <c r="D346" s="13" t="s">
        <v>579</v>
      </c>
      <c r="E346" s="13" t="s">
        <v>581</v>
      </c>
      <c r="F346" s="13" t="s">
        <v>256</v>
      </c>
      <c r="G346" s="13" t="s">
        <v>260</v>
      </c>
      <c r="H346" s="13" t="s">
        <v>84</v>
      </c>
      <c r="I346" s="13" t="s">
        <v>456</v>
      </c>
      <c r="J346" s="13" t="s">
        <v>577</v>
      </c>
    </row>
    <row r="347" spans="1:10" ht="25.5">
      <c r="A347" s="13" t="s">
        <v>36</v>
      </c>
      <c r="B347" s="13" t="s">
        <v>42</v>
      </c>
      <c r="C347" s="13" t="s">
        <v>360</v>
      </c>
      <c r="D347" s="13" t="s">
        <v>23</v>
      </c>
      <c r="E347" s="13" t="s">
        <v>576</v>
      </c>
      <c r="F347" s="13" t="s">
        <v>256</v>
      </c>
      <c r="G347" s="13" t="s">
        <v>262</v>
      </c>
      <c r="H347" s="13" t="s">
        <v>135</v>
      </c>
      <c r="I347" s="13" t="s">
        <v>360</v>
      </c>
      <c r="J347" s="13" t="s">
        <v>577</v>
      </c>
    </row>
    <row r="348" spans="1:10" ht="25.5">
      <c r="A348" s="13" t="s">
        <v>59</v>
      </c>
      <c r="B348" s="13" t="s">
        <v>83</v>
      </c>
      <c r="C348" s="13" t="s">
        <v>83</v>
      </c>
      <c r="D348" s="13" t="s">
        <v>23</v>
      </c>
      <c r="E348" s="13" t="s">
        <v>576</v>
      </c>
      <c r="F348" s="13" t="s">
        <v>256</v>
      </c>
      <c r="G348" s="13" t="s">
        <v>262</v>
      </c>
      <c r="H348" s="13" t="s">
        <v>135</v>
      </c>
      <c r="I348" s="13" t="s">
        <v>83</v>
      </c>
      <c r="J348" s="13" t="s">
        <v>577</v>
      </c>
    </row>
    <row r="349" spans="1:10" ht="25.5">
      <c r="A349" s="13" t="s">
        <v>49</v>
      </c>
      <c r="B349" s="13" t="s">
        <v>55</v>
      </c>
      <c r="C349" s="13" t="s">
        <v>389</v>
      </c>
      <c r="D349" s="13" t="s">
        <v>579</v>
      </c>
      <c r="E349" s="13" t="s">
        <v>580</v>
      </c>
      <c r="F349" s="13" t="s">
        <v>256</v>
      </c>
      <c r="G349" s="13" t="s">
        <v>262</v>
      </c>
      <c r="H349" s="13" t="s">
        <v>135</v>
      </c>
      <c r="I349" s="13" t="s">
        <v>389</v>
      </c>
      <c r="J349" s="13" t="s">
        <v>577</v>
      </c>
    </row>
    <row r="350" spans="1:10" ht="25.5">
      <c r="A350" s="13" t="s">
        <v>59</v>
      </c>
      <c r="B350" s="13" t="s">
        <v>60</v>
      </c>
      <c r="C350" s="13" t="s">
        <v>401</v>
      </c>
      <c r="D350" s="13" t="s">
        <v>579</v>
      </c>
      <c r="E350" s="13" t="s">
        <v>580</v>
      </c>
      <c r="F350" s="13" t="s">
        <v>256</v>
      </c>
      <c r="G350" s="13" t="s">
        <v>262</v>
      </c>
      <c r="H350" s="13" t="s">
        <v>135</v>
      </c>
      <c r="I350" s="13" t="s">
        <v>401</v>
      </c>
      <c r="J350" s="13" t="s">
        <v>577</v>
      </c>
    </row>
    <row r="351" spans="1:10" ht="25.5">
      <c r="A351" s="13" t="s">
        <v>94</v>
      </c>
      <c r="B351" s="13" t="s">
        <v>96</v>
      </c>
      <c r="C351" s="13" t="s">
        <v>456</v>
      </c>
      <c r="D351" s="13" t="s">
        <v>579</v>
      </c>
      <c r="E351" s="13" t="s">
        <v>581</v>
      </c>
      <c r="F351" s="13" t="s">
        <v>256</v>
      </c>
      <c r="G351" s="13" t="s">
        <v>262</v>
      </c>
      <c r="H351" s="13" t="s">
        <v>135</v>
      </c>
      <c r="I351" s="13" t="s">
        <v>456</v>
      </c>
      <c r="J351" s="13" t="s">
        <v>577</v>
      </c>
    </row>
    <row r="352" spans="1:10" ht="25.5">
      <c r="A352" s="13" t="s">
        <v>104</v>
      </c>
      <c r="B352" s="13" t="s">
        <v>108</v>
      </c>
      <c r="C352" s="13" t="s">
        <v>483</v>
      </c>
      <c r="D352" s="13" t="s">
        <v>579</v>
      </c>
      <c r="E352" s="13" t="s">
        <v>581</v>
      </c>
      <c r="F352" s="13" t="s">
        <v>256</v>
      </c>
      <c r="G352" s="13" t="s">
        <v>262</v>
      </c>
      <c r="H352" s="13" t="s">
        <v>135</v>
      </c>
      <c r="I352" s="13" t="s">
        <v>483</v>
      </c>
      <c r="J352" s="13" t="s">
        <v>577</v>
      </c>
    </row>
    <row r="353" spans="1:10" ht="25.5">
      <c r="A353" s="13" t="s">
        <v>36</v>
      </c>
      <c r="B353" s="13" t="s">
        <v>42</v>
      </c>
      <c r="C353" s="13" t="s">
        <v>360</v>
      </c>
      <c r="D353" s="13" t="s">
        <v>23</v>
      </c>
      <c r="E353" s="13" t="s">
        <v>576</v>
      </c>
      <c r="F353" s="13" t="s">
        <v>256</v>
      </c>
      <c r="G353" s="13" t="s">
        <v>264</v>
      </c>
      <c r="H353" s="13" t="s">
        <v>78</v>
      </c>
      <c r="I353" s="13" t="s">
        <v>360</v>
      </c>
      <c r="J353" s="13" t="s">
        <v>577</v>
      </c>
    </row>
    <row r="354" spans="1:10" ht="25.5">
      <c r="A354" s="13" t="s">
        <v>59</v>
      </c>
      <c r="B354" s="13" t="s">
        <v>83</v>
      </c>
      <c r="C354" s="13" t="s">
        <v>83</v>
      </c>
      <c r="D354" s="13" t="s">
        <v>23</v>
      </c>
      <c r="E354" s="13" t="s">
        <v>576</v>
      </c>
      <c r="F354" s="13" t="s">
        <v>256</v>
      </c>
      <c r="G354" s="13" t="s">
        <v>264</v>
      </c>
      <c r="H354" s="13" t="s">
        <v>78</v>
      </c>
      <c r="I354" s="13" t="s">
        <v>83</v>
      </c>
      <c r="J354" s="13" t="s">
        <v>577</v>
      </c>
    </row>
    <row r="355" spans="1:10" ht="25.5">
      <c r="A355" s="13" t="s">
        <v>36</v>
      </c>
      <c r="B355" s="13" t="s">
        <v>46</v>
      </c>
      <c r="C355" s="13" t="s">
        <v>373</v>
      </c>
      <c r="D355" s="13" t="s">
        <v>579</v>
      </c>
      <c r="E355" s="13" t="s">
        <v>580</v>
      </c>
      <c r="F355" s="13" t="s">
        <v>256</v>
      </c>
      <c r="G355" s="13" t="s">
        <v>264</v>
      </c>
      <c r="H355" s="13" t="s">
        <v>78</v>
      </c>
      <c r="I355" s="13" t="s">
        <v>373</v>
      </c>
      <c r="J355" s="13" t="s">
        <v>577</v>
      </c>
    </row>
    <row r="356" spans="1:10" ht="25.5">
      <c r="A356" s="13" t="s">
        <v>59</v>
      </c>
      <c r="B356" s="13" t="s">
        <v>80</v>
      </c>
      <c r="C356" s="13" t="s">
        <v>434</v>
      </c>
      <c r="D356" s="13" t="s">
        <v>579</v>
      </c>
      <c r="E356" s="13" t="s">
        <v>580</v>
      </c>
      <c r="F356" s="13" t="s">
        <v>256</v>
      </c>
      <c r="G356" s="13" t="s">
        <v>264</v>
      </c>
      <c r="H356" s="13" t="s">
        <v>78</v>
      </c>
      <c r="I356" s="13" t="s">
        <v>434</v>
      </c>
      <c r="J356" s="13" t="s">
        <v>577</v>
      </c>
    </row>
    <row r="357" spans="1:10" ht="25.5">
      <c r="A357" s="13" t="s">
        <v>94</v>
      </c>
      <c r="B357" s="13" t="s">
        <v>96</v>
      </c>
      <c r="C357" s="13" t="s">
        <v>456</v>
      </c>
      <c r="D357" s="13" t="s">
        <v>579</v>
      </c>
      <c r="E357" s="13" t="s">
        <v>581</v>
      </c>
      <c r="F357" s="13" t="s">
        <v>256</v>
      </c>
      <c r="G357" s="13" t="s">
        <v>264</v>
      </c>
      <c r="H357" s="13" t="s">
        <v>78</v>
      </c>
      <c r="I357" s="13" t="s">
        <v>456</v>
      </c>
      <c r="J357" s="13" t="s">
        <v>577</v>
      </c>
    </row>
    <row r="358" spans="1:10" ht="25.5">
      <c r="A358" s="13" t="s">
        <v>104</v>
      </c>
      <c r="B358" s="13" t="s">
        <v>106</v>
      </c>
      <c r="C358" s="13" t="s">
        <v>477</v>
      </c>
      <c r="D358" s="13" t="s">
        <v>579</v>
      </c>
      <c r="E358" s="13" t="s">
        <v>581</v>
      </c>
      <c r="F358" s="13" t="s">
        <v>256</v>
      </c>
      <c r="G358" s="13" t="s">
        <v>264</v>
      </c>
      <c r="H358" s="13" t="s">
        <v>78</v>
      </c>
      <c r="I358" s="13" t="s">
        <v>477</v>
      </c>
      <c r="J358" s="13" t="s">
        <v>577</v>
      </c>
    </row>
    <row r="359" spans="1:10" ht="25.5">
      <c r="A359" s="13" t="s">
        <v>104</v>
      </c>
      <c r="B359" s="13" t="s">
        <v>107</v>
      </c>
      <c r="C359" s="13" t="s">
        <v>480</v>
      </c>
      <c r="D359" s="13" t="s">
        <v>579</v>
      </c>
      <c r="E359" s="13" t="s">
        <v>581</v>
      </c>
      <c r="F359" s="13" t="s">
        <v>256</v>
      </c>
      <c r="G359" s="13" t="s">
        <v>264</v>
      </c>
      <c r="H359" s="13" t="s">
        <v>78</v>
      </c>
      <c r="I359" s="13" t="s">
        <v>480</v>
      </c>
      <c r="J359" s="13" t="s">
        <v>577</v>
      </c>
    </row>
    <row r="360" spans="1:10" ht="25.5">
      <c r="A360" s="13" t="s">
        <v>49</v>
      </c>
      <c r="B360" s="13" t="s">
        <v>50</v>
      </c>
      <c r="C360" s="13" t="s">
        <v>379</v>
      </c>
      <c r="D360" s="13" t="s">
        <v>23</v>
      </c>
      <c r="E360" s="13" t="s">
        <v>576</v>
      </c>
      <c r="F360" s="13" t="s">
        <v>267</v>
      </c>
      <c r="G360" s="13" t="s">
        <v>268</v>
      </c>
      <c r="H360" s="13" t="s">
        <v>81</v>
      </c>
      <c r="I360" s="13" t="s">
        <v>379</v>
      </c>
      <c r="J360" s="13" t="s">
        <v>577</v>
      </c>
    </row>
    <row r="361" spans="1:10" ht="25.5">
      <c r="A361" s="13" t="s">
        <v>49</v>
      </c>
      <c r="B361" s="13" t="s">
        <v>53</v>
      </c>
      <c r="C361" s="13" t="s">
        <v>382</v>
      </c>
      <c r="D361" s="13" t="s">
        <v>23</v>
      </c>
      <c r="E361" s="13" t="s">
        <v>576</v>
      </c>
      <c r="F361" s="13" t="s">
        <v>267</v>
      </c>
      <c r="G361" s="13" t="s">
        <v>268</v>
      </c>
      <c r="H361" s="13" t="s">
        <v>81</v>
      </c>
      <c r="I361" s="13" t="s">
        <v>382</v>
      </c>
      <c r="J361" s="13" t="s">
        <v>577</v>
      </c>
    </row>
    <row r="362" spans="1:10" ht="25.5">
      <c r="A362" s="13" t="s">
        <v>49</v>
      </c>
      <c r="B362" s="13" t="s">
        <v>58</v>
      </c>
      <c r="C362" s="13" t="s">
        <v>398</v>
      </c>
      <c r="D362" s="13" t="s">
        <v>23</v>
      </c>
      <c r="E362" s="13" t="s">
        <v>576</v>
      </c>
      <c r="F362" s="13" t="s">
        <v>267</v>
      </c>
      <c r="G362" s="13" t="s">
        <v>268</v>
      </c>
      <c r="H362" s="13" t="s">
        <v>81</v>
      </c>
      <c r="I362" s="13" t="s">
        <v>398</v>
      </c>
      <c r="J362" s="13" t="s">
        <v>577</v>
      </c>
    </row>
    <row r="363" spans="1:10" ht="25.5">
      <c r="A363" s="13" t="s">
        <v>59</v>
      </c>
      <c r="B363" s="13" t="s">
        <v>63</v>
      </c>
      <c r="C363" s="13" t="s">
        <v>410</v>
      </c>
      <c r="D363" s="13" t="s">
        <v>23</v>
      </c>
      <c r="E363" s="13" t="s">
        <v>583</v>
      </c>
      <c r="F363" s="13" t="s">
        <v>267</v>
      </c>
      <c r="G363" s="13" t="s">
        <v>268</v>
      </c>
      <c r="H363" s="13" t="s">
        <v>81</v>
      </c>
      <c r="I363" s="13" t="s">
        <v>410</v>
      </c>
      <c r="J363" s="13" t="s">
        <v>577</v>
      </c>
    </row>
    <row r="364" spans="1:10" ht="25.5">
      <c r="A364" s="13" t="s">
        <v>59</v>
      </c>
      <c r="B364" s="13" t="s">
        <v>69</v>
      </c>
      <c r="C364" s="13" t="s">
        <v>423</v>
      </c>
      <c r="D364" s="13" t="s">
        <v>23</v>
      </c>
      <c r="E364" s="13" t="s">
        <v>583</v>
      </c>
      <c r="F364" s="13" t="s">
        <v>267</v>
      </c>
      <c r="G364" s="13" t="s">
        <v>268</v>
      </c>
      <c r="H364" s="13" t="s">
        <v>81</v>
      </c>
      <c r="I364" s="13" t="s">
        <v>423</v>
      </c>
      <c r="J364" s="13" t="s">
        <v>577</v>
      </c>
    </row>
    <row r="365" spans="1:10" ht="25.5">
      <c r="A365" s="13" t="s">
        <v>49</v>
      </c>
      <c r="B365" s="13" t="s">
        <v>57</v>
      </c>
      <c r="C365" s="13" t="s">
        <v>57</v>
      </c>
      <c r="D365" s="13" t="s">
        <v>579</v>
      </c>
      <c r="E365" s="13" t="s">
        <v>580</v>
      </c>
      <c r="F365" s="13" t="s">
        <v>267</v>
      </c>
      <c r="G365" s="13" t="s">
        <v>268</v>
      </c>
      <c r="H365" s="13" t="s">
        <v>81</v>
      </c>
      <c r="I365" s="13" t="s">
        <v>57</v>
      </c>
      <c r="J365" s="13" t="s">
        <v>577</v>
      </c>
    </row>
    <row r="366" spans="1:10" ht="25.5">
      <c r="A366" s="13" t="s">
        <v>104</v>
      </c>
      <c r="B366" s="13" t="s">
        <v>108</v>
      </c>
      <c r="C366" s="13" t="s">
        <v>483</v>
      </c>
      <c r="D366" s="13" t="s">
        <v>579</v>
      </c>
      <c r="E366" s="13" t="s">
        <v>581</v>
      </c>
      <c r="F366" s="13" t="s">
        <v>267</v>
      </c>
      <c r="G366" s="13" t="s">
        <v>268</v>
      </c>
      <c r="H366" s="13" t="s">
        <v>81</v>
      </c>
      <c r="I366" s="13" t="s">
        <v>483</v>
      </c>
      <c r="J366" s="13" t="s">
        <v>577</v>
      </c>
    </row>
    <row r="367" spans="1:10" ht="25.5">
      <c r="A367" s="13" t="s">
        <v>49</v>
      </c>
      <c r="B367" s="13" t="s">
        <v>50</v>
      </c>
      <c r="C367" s="13" t="s">
        <v>379</v>
      </c>
      <c r="D367" s="13" t="s">
        <v>23</v>
      </c>
      <c r="E367" s="13" t="s">
        <v>576</v>
      </c>
      <c r="F367" s="13" t="s">
        <v>267</v>
      </c>
      <c r="G367" s="13" t="s">
        <v>270</v>
      </c>
      <c r="H367" s="13" t="s">
        <v>139</v>
      </c>
      <c r="I367" s="13" t="s">
        <v>379</v>
      </c>
      <c r="J367" s="13" t="s">
        <v>577</v>
      </c>
    </row>
    <row r="368" spans="1:10" ht="25.5">
      <c r="A368" s="13" t="s">
        <v>49</v>
      </c>
      <c r="B368" s="13" t="s">
        <v>53</v>
      </c>
      <c r="C368" s="13" t="s">
        <v>382</v>
      </c>
      <c r="D368" s="13" t="s">
        <v>23</v>
      </c>
      <c r="E368" s="13" t="s">
        <v>576</v>
      </c>
      <c r="F368" s="13" t="s">
        <v>267</v>
      </c>
      <c r="G368" s="13" t="s">
        <v>270</v>
      </c>
      <c r="H368" s="13" t="s">
        <v>139</v>
      </c>
      <c r="I368" s="13" t="s">
        <v>382</v>
      </c>
      <c r="J368" s="13" t="s">
        <v>577</v>
      </c>
    </row>
    <row r="369" spans="1:10" ht="25.5">
      <c r="A369" s="13" t="s">
        <v>49</v>
      </c>
      <c r="B369" s="13" t="s">
        <v>58</v>
      </c>
      <c r="C369" s="13" t="s">
        <v>398</v>
      </c>
      <c r="D369" s="13" t="s">
        <v>23</v>
      </c>
      <c r="E369" s="13" t="s">
        <v>576</v>
      </c>
      <c r="F369" s="13" t="s">
        <v>267</v>
      </c>
      <c r="G369" s="13" t="s">
        <v>270</v>
      </c>
      <c r="H369" s="13" t="s">
        <v>139</v>
      </c>
      <c r="I369" s="13" t="s">
        <v>398</v>
      </c>
      <c r="J369" s="13" t="s">
        <v>577</v>
      </c>
    </row>
    <row r="370" spans="1:10" ht="25.5">
      <c r="A370" s="13" t="s">
        <v>59</v>
      </c>
      <c r="B370" s="13" t="s">
        <v>63</v>
      </c>
      <c r="C370" s="13" t="s">
        <v>410</v>
      </c>
      <c r="D370" s="13" t="s">
        <v>23</v>
      </c>
      <c r="E370" s="13" t="s">
        <v>583</v>
      </c>
      <c r="F370" s="13" t="s">
        <v>267</v>
      </c>
      <c r="G370" s="13" t="s">
        <v>270</v>
      </c>
      <c r="H370" s="13" t="s">
        <v>139</v>
      </c>
      <c r="I370" s="13" t="s">
        <v>410</v>
      </c>
      <c r="J370" s="13" t="s">
        <v>577</v>
      </c>
    </row>
    <row r="371" spans="1:10" ht="25.5">
      <c r="A371" s="13" t="s">
        <v>59</v>
      </c>
      <c r="B371" s="13" t="s">
        <v>69</v>
      </c>
      <c r="C371" s="13" t="s">
        <v>423</v>
      </c>
      <c r="D371" s="13" t="s">
        <v>23</v>
      </c>
      <c r="E371" s="13" t="s">
        <v>583</v>
      </c>
      <c r="F371" s="13" t="s">
        <v>267</v>
      </c>
      <c r="G371" s="13" t="s">
        <v>270</v>
      </c>
      <c r="H371" s="13" t="s">
        <v>139</v>
      </c>
      <c r="I371" s="13" t="s">
        <v>423</v>
      </c>
      <c r="J371" s="13" t="s">
        <v>577</v>
      </c>
    </row>
    <row r="372" spans="1:10" ht="25.5">
      <c r="A372" s="13" t="s">
        <v>49</v>
      </c>
      <c r="B372" s="13" t="s">
        <v>55</v>
      </c>
      <c r="C372" s="13" t="s">
        <v>389</v>
      </c>
      <c r="D372" s="13" t="s">
        <v>579</v>
      </c>
      <c r="E372" s="13" t="s">
        <v>580</v>
      </c>
      <c r="F372" s="13" t="s">
        <v>267</v>
      </c>
      <c r="G372" s="13" t="s">
        <v>270</v>
      </c>
      <c r="H372" s="13" t="s">
        <v>139</v>
      </c>
      <c r="I372" s="13" t="s">
        <v>389</v>
      </c>
      <c r="J372" s="13" t="s">
        <v>577</v>
      </c>
    </row>
    <row r="373" spans="1:10" ht="25.5">
      <c r="A373" s="13" t="s">
        <v>98</v>
      </c>
      <c r="B373" s="13" t="s">
        <v>101</v>
      </c>
      <c r="C373" s="13" t="s">
        <v>469</v>
      </c>
      <c r="D373" s="13" t="s">
        <v>579</v>
      </c>
      <c r="E373" s="13" t="s">
        <v>581</v>
      </c>
      <c r="F373" s="13" t="s">
        <v>267</v>
      </c>
      <c r="G373" s="13" t="s">
        <v>270</v>
      </c>
      <c r="H373" s="13" t="s">
        <v>139</v>
      </c>
      <c r="I373" s="13" t="s">
        <v>469</v>
      </c>
      <c r="J373" s="13" t="s">
        <v>577</v>
      </c>
    </row>
    <row r="374" spans="1:10" ht="25.5">
      <c r="A374" s="13" t="s">
        <v>104</v>
      </c>
      <c r="B374" s="13" t="s">
        <v>108</v>
      </c>
      <c r="C374" s="13" t="s">
        <v>483</v>
      </c>
      <c r="D374" s="13" t="s">
        <v>579</v>
      </c>
      <c r="E374" s="13" t="s">
        <v>581</v>
      </c>
      <c r="F374" s="13" t="s">
        <v>267</v>
      </c>
      <c r="G374" s="13" t="s">
        <v>270</v>
      </c>
      <c r="H374" s="13" t="s">
        <v>139</v>
      </c>
      <c r="I374" s="13" t="s">
        <v>483</v>
      </c>
      <c r="J374" s="13" t="s">
        <v>577</v>
      </c>
    </row>
    <row r="375" spans="1:10" ht="25.5">
      <c r="A375" s="13" t="s">
        <v>49</v>
      </c>
      <c r="B375" s="13" t="s">
        <v>50</v>
      </c>
      <c r="C375" s="13" t="s">
        <v>379</v>
      </c>
      <c r="D375" s="13" t="s">
        <v>23</v>
      </c>
      <c r="E375" s="13" t="s">
        <v>576</v>
      </c>
      <c r="F375" s="13" t="s">
        <v>267</v>
      </c>
      <c r="G375" s="13" t="s">
        <v>273</v>
      </c>
      <c r="H375" s="13" t="s">
        <v>139</v>
      </c>
      <c r="I375" s="13" t="s">
        <v>379</v>
      </c>
      <c r="J375" s="13" t="s">
        <v>577</v>
      </c>
    </row>
    <row r="376" spans="1:10" ht="25.5">
      <c r="A376" s="13" t="s">
        <v>49</v>
      </c>
      <c r="B376" s="13" t="s">
        <v>53</v>
      </c>
      <c r="C376" s="13" t="s">
        <v>382</v>
      </c>
      <c r="D376" s="13" t="s">
        <v>23</v>
      </c>
      <c r="E376" s="13" t="s">
        <v>576</v>
      </c>
      <c r="F376" s="13" t="s">
        <v>267</v>
      </c>
      <c r="G376" s="13" t="s">
        <v>273</v>
      </c>
      <c r="H376" s="13" t="s">
        <v>139</v>
      </c>
      <c r="I376" s="13" t="s">
        <v>382</v>
      </c>
      <c r="J376" s="13" t="s">
        <v>577</v>
      </c>
    </row>
    <row r="377" spans="1:10" ht="25.5">
      <c r="A377" s="13" t="s">
        <v>49</v>
      </c>
      <c r="B377" s="13" t="s">
        <v>58</v>
      </c>
      <c r="C377" s="13" t="s">
        <v>398</v>
      </c>
      <c r="D377" s="13" t="s">
        <v>23</v>
      </c>
      <c r="E377" s="13" t="s">
        <v>576</v>
      </c>
      <c r="F377" s="13" t="s">
        <v>267</v>
      </c>
      <c r="G377" s="13" t="s">
        <v>273</v>
      </c>
      <c r="H377" s="13" t="s">
        <v>139</v>
      </c>
      <c r="I377" s="13" t="s">
        <v>398</v>
      </c>
      <c r="J377" s="13" t="s">
        <v>577</v>
      </c>
    </row>
    <row r="378" spans="1:10" ht="25.5">
      <c r="A378" s="13" t="s">
        <v>59</v>
      </c>
      <c r="B378" s="13" t="s">
        <v>63</v>
      </c>
      <c r="C378" s="13" t="s">
        <v>410</v>
      </c>
      <c r="D378" s="13" t="s">
        <v>23</v>
      </c>
      <c r="E378" s="13" t="s">
        <v>583</v>
      </c>
      <c r="F378" s="13" t="s">
        <v>267</v>
      </c>
      <c r="G378" s="13" t="s">
        <v>273</v>
      </c>
      <c r="H378" s="13" t="s">
        <v>139</v>
      </c>
      <c r="I378" s="13" t="s">
        <v>410</v>
      </c>
      <c r="J378" s="13" t="s">
        <v>577</v>
      </c>
    </row>
    <row r="379" spans="1:10" ht="25.5">
      <c r="A379" s="13" t="s">
        <v>59</v>
      </c>
      <c r="B379" s="13" t="s">
        <v>69</v>
      </c>
      <c r="C379" s="13" t="s">
        <v>423</v>
      </c>
      <c r="D379" s="13" t="s">
        <v>23</v>
      </c>
      <c r="E379" s="13" t="s">
        <v>583</v>
      </c>
      <c r="F379" s="13" t="s">
        <v>267</v>
      </c>
      <c r="G379" s="13" t="s">
        <v>273</v>
      </c>
      <c r="H379" s="13" t="s">
        <v>139</v>
      </c>
      <c r="I379" s="13" t="s">
        <v>423</v>
      </c>
      <c r="J379" s="13" t="s">
        <v>577</v>
      </c>
    </row>
    <row r="380" spans="1:10" ht="25.5">
      <c r="A380" s="13" t="s">
        <v>59</v>
      </c>
      <c r="B380" s="13" t="s">
        <v>60</v>
      </c>
      <c r="C380" s="13" t="s">
        <v>401</v>
      </c>
      <c r="D380" s="13" t="s">
        <v>579</v>
      </c>
      <c r="E380" s="13" t="s">
        <v>580</v>
      </c>
      <c r="F380" s="13" t="s">
        <v>267</v>
      </c>
      <c r="G380" s="13" t="s">
        <v>273</v>
      </c>
      <c r="H380" s="13" t="s">
        <v>139</v>
      </c>
      <c r="I380" s="13" t="s">
        <v>401</v>
      </c>
      <c r="J380" s="13" t="s">
        <v>577</v>
      </c>
    </row>
    <row r="381" spans="1:10" ht="25.5">
      <c r="A381" s="13" t="s">
        <v>98</v>
      </c>
      <c r="B381" s="13" t="s">
        <v>100</v>
      </c>
      <c r="C381" s="13" t="s">
        <v>466</v>
      </c>
      <c r="D381" s="13" t="s">
        <v>579</v>
      </c>
      <c r="E381" s="13" t="s">
        <v>580</v>
      </c>
      <c r="F381" s="13" t="s">
        <v>267</v>
      </c>
      <c r="G381" s="13" t="s">
        <v>273</v>
      </c>
      <c r="H381" s="13" t="s">
        <v>139</v>
      </c>
      <c r="I381" s="13" t="s">
        <v>466</v>
      </c>
      <c r="J381" s="13" t="s">
        <v>577</v>
      </c>
    </row>
    <row r="382" spans="1:10" ht="25.5">
      <c r="A382" s="13" t="s">
        <v>104</v>
      </c>
      <c r="B382" s="13" t="s">
        <v>108</v>
      </c>
      <c r="C382" s="13" t="s">
        <v>483</v>
      </c>
      <c r="D382" s="13" t="s">
        <v>579</v>
      </c>
      <c r="E382" s="13" t="s">
        <v>581</v>
      </c>
      <c r="F382" s="13" t="s">
        <v>267</v>
      </c>
      <c r="G382" s="13" t="s">
        <v>273</v>
      </c>
      <c r="H382" s="13" t="s">
        <v>139</v>
      </c>
      <c r="I382" s="13" t="s">
        <v>483</v>
      </c>
      <c r="J382" s="13" t="s">
        <v>577</v>
      </c>
    </row>
    <row r="383" spans="1:10" ht="25.5">
      <c r="A383" s="13" t="s">
        <v>36</v>
      </c>
      <c r="B383" s="13" t="s">
        <v>38</v>
      </c>
      <c r="C383" s="13" t="s">
        <v>356</v>
      </c>
      <c r="D383" s="13" t="s">
        <v>23</v>
      </c>
      <c r="E383" s="13" t="s">
        <v>576</v>
      </c>
      <c r="F383" s="13" t="s">
        <v>276</v>
      </c>
      <c r="G383" s="13" t="s">
        <v>277</v>
      </c>
      <c r="H383" s="13" t="s">
        <v>135</v>
      </c>
      <c r="I383" s="13" t="s">
        <v>356</v>
      </c>
      <c r="J383" s="13" t="s">
        <v>577</v>
      </c>
    </row>
    <row r="384" spans="1:10" ht="25.5">
      <c r="A384" s="13" t="s">
        <v>36</v>
      </c>
      <c r="B384" s="13" t="s">
        <v>44</v>
      </c>
      <c r="C384" s="13" t="s">
        <v>366</v>
      </c>
      <c r="D384" s="13" t="s">
        <v>23</v>
      </c>
      <c r="E384" s="13" t="s">
        <v>576</v>
      </c>
      <c r="F384" s="13" t="s">
        <v>276</v>
      </c>
      <c r="G384" s="13" t="s">
        <v>277</v>
      </c>
      <c r="H384" s="13" t="s">
        <v>135</v>
      </c>
      <c r="I384" s="13" t="s">
        <v>366</v>
      </c>
      <c r="J384" s="13" t="s">
        <v>577</v>
      </c>
    </row>
    <row r="385" spans="1:10" ht="25.5">
      <c r="A385" s="13" t="s">
        <v>59</v>
      </c>
      <c r="B385" s="13" t="s">
        <v>66</v>
      </c>
      <c r="C385" s="13" t="s">
        <v>417</v>
      </c>
      <c r="D385" s="13" t="s">
        <v>23</v>
      </c>
      <c r="E385" s="13" t="s">
        <v>583</v>
      </c>
      <c r="F385" s="13" t="s">
        <v>276</v>
      </c>
      <c r="G385" s="13" t="s">
        <v>277</v>
      </c>
      <c r="H385" s="13" t="s">
        <v>135</v>
      </c>
      <c r="I385" s="13" t="s">
        <v>417</v>
      </c>
      <c r="J385" s="13" t="s">
        <v>577</v>
      </c>
    </row>
    <row r="386" spans="1:10" ht="25.5">
      <c r="A386" s="13" t="s">
        <v>36</v>
      </c>
      <c r="B386" s="13" t="s">
        <v>47</v>
      </c>
      <c r="C386" s="13" t="s">
        <v>376</v>
      </c>
      <c r="D386" s="13" t="s">
        <v>579</v>
      </c>
      <c r="E386" s="13" t="s">
        <v>580</v>
      </c>
      <c r="F386" s="13" t="s">
        <v>276</v>
      </c>
      <c r="G386" s="13" t="s">
        <v>277</v>
      </c>
      <c r="H386" s="13" t="s">
        <v>135</v>
      </c>
      <c r="I386" s="13" t="s">
        <v>376</v>
      </c>
      <c r="J386" s="13" t="s">
        <v>577</v>
      </c>
    </row>
    <row r="387" spans="1:10" ht="25.5">
      <c r="A387" s="13" t="s">
        <v>104</v>
      </c>
      <c r="B387" s="13" t="s">
        <v>108</v>
      </c>
      <c r="C387" s="13" t="s">
        <v>483</v>
      </c>
      <c r="D387" s="13" t="s">
        <v>579</v>
      </c>
      <c r="E387" s="13" t="s">
        <v>581</v>
      </c>
      <c r="F387" s="13" t="s">
        <v>276</v>
      </c>
      <c r="G387" s="13" t="s">
        <v>277</v>
      </c>
      <c r="H387" s="13" t="s">
        <v>135</v>
      </c>
      <c r="I387" s="13" t="s">
        <v>483</v>
      </c>
      <c r="J387" s="13" t="s">
        <v>577</v>
      </c>
    </row>
    <row r="388" spans="1:10" ht="25.5">
      <c r="A388" s="13" t="s">
        <v>104</v>
      </c>
      <c r="B388" s="13" t="s">
        <v>107</v>
      </c>
      <c r="C388" s="13" t="s">
        <v>480</v>
      </c>
      <c r="D388" s="13" t="s">
        <v>579</v>
      </c>
      <c r="E388" s="13" t="s">
        <v>581</v>
      </c>
      <c r="F388" s="13" t="s">
        <v>276</v>
      </c>
      <c r="G388" s="13" t="s">
        <v>277</v>
      </c>
      <c r="H388" s="13" t="s">
        <v>135</v>
      </c>
      <c r="I388" s="13" t="s">
        <v>480</v>
      </c>
      <c r="J388" s="13" t="s">
        <v>577</v>
      </c>
    </row>
    <row r="389" spans="1:10" ht="25.5">
      <c r="A389" s="13" t="s">
        <v>36</v>
      </c>
      <c r="B389" s="13" t="s">
        <v>38</v>
      </c>
      <c r="C389" s="13" t="s">
        <v>356</v>
      </c>
      <c r="D389" s="13" t="s">
        <v>23</v>
      </c>
      <c r="E389" s="13" t="s">
        <v>576</v>
      </c>
      <c r="F389" s="13" t="s">
        <v>276</v>
      </c>
      <c r="G389" s="13" t="s">
        <v>280</v>
      </c>
      <c r="H389" s="13" t="s">
        <v>139</v>
      </c>
      <c r="I389" s="13" t="s">
        <v>356</v>
      </c>
      <c r="J389" s="13" t="s">
        <v>577</v>
      </c>
    </row>
    <row r="390" spans="1:10" ht="25.5">
      <c r="A390" s="13" t="s">
        <v>36</v>
      </c>
      <c r="B390" s="13" t="s">
        <v>44</v>
      </c>
      <c r="C390" s="13" t="s">
        <v>366</v>
      </c>
      <c r="D390" s="13" t="s">
        <v>23</v>
      </c>
      <c r="E390" s="13" t="s">
        <v>576</v>
      </c>
      <c r="F390" s="13" t="s">
        <v>276</v>
      </c>
      <c r="G390" s="13" t="s">
        <v>280</v>
      </c>
      <c r="H390" s="13" t="s">
        <v>139</v>
      </c>
      <c r="I390" s="13" t="s">
        <v>366</v>
      </c>
      <c r="J390" s="13" t="s">
        <v>577</v>
      </c>
    </row>
    <row r="391" spans="1:10" ht="25.5">
      <c r="A391" s="13" t="s">
        <v>59</v>
      </c>
      <c r="B391" s="13" t="s">
        <v>66</v>
      </c>
      <c r="C391" s="13" t="s">
        <v>417</v>
      </c>
      <c r="D391" s="13" t="s">
        <v>23</v>
      </c>
      <c r="E391" s="13" t="s">
        <v>583</v>
      </c>
      <c r="F391" s="13" t="s">
        <v>276</v>
      </c>
      <c r="G391" s="13" t="s">
        <v>280</v>
      </c>
      <c r="H391" s="13" t="s">
        <v>139</v>
      </c>
      <c r="I391" s="13" t="s">
        <v>417</v>
      </c>
      <c r="J391" s="13" t="s">
        <v>577</v>
      </c>
    </row>
    <row r="392" spans="1:10" ht="25.5">
      <c r="A392" s="13" t="s">
        <v>36</v>
      </c>
      <c r="B392" s="13" t="s">
        <v>47</v>
      </c>
      <c r="C392" s="13" t="s">
        <v>376</v>
      </c>
      <c r="D392" s="13" t="s">
        <v>579</v>
      </c>
      <c r="E392" s="13" t="s">
        <v>580</v>
      </c>
      <c r="F392" s="13" t="s">
        <v>276</v>
      </c>
      <c r="G392" s="13" t="s">
        <v>280</v>
      </c>
      <c r="H392" s="13" t="s">
        <v>139</v>
      </c>
      <c r="I392" s="13" t="s">
        <v>376</v>
      </c>
      <c r="J392" s="13" t="s">
        <v>577</v>
      </c>
    </row>
    <row r="393" spans="1:10" ht="25.5">
      <c r="A393" s="13" t="s">
        <v>94</v>
      </c>
      <c r="B393" s="13" t="s">
        <v>95</v>
      </c>
      <c r="C393" s="13" t="s">
        <v>453</v>
      </c>
      <c r="D393" s="13" t="s">
        <v>579</v>
      </c>
      <c r="E393" s="13" t="s">
        <v>581</v>
      </c>
      <c r="F393" s="13" t="s">
        <v>276</v>
      </c>
      <c r="G393" s="13" t="s">
        <v>280</v>
      </c>
      <c r="H393" s="13" t="s">
        <v>139</v>
      </c>
      <c r="I393" s="13" t="s">
        <v>453</v>
      </c>
      <c r="J393" s="13" t="s">
        <v>577</v>
      </c>
    </row>
    <row r="394" spans="1:10" ht="25.5">
      <c r="A394" s="13" t="s">
        <v>94</v>
      </c>
      <c r="B394" s="13" t="s">
        <v>96</v>
      </c>
      <c r="C394" s="13" t="s">
        <v>456</v>
      </c>
      <c r="D394" s="13" t="s">
        <v>579</v>
      </c>
      <c r="E394" s="13" t="s">
        <v>581</v>
      </c>
      <c r="F394" s="13" t="s">
        <v>276</v>
      </c>
      <c r="G394" s="13" t="s">
        <v>280</v>
      </c>
      <c r="H394" s="13" t="s">
        <v>139</v>
      </c>
      <c r="I394" s="13" t="s">
        <v>456</v>
      </c>
      <c r="J394" s="13" t="s">
        <v>577</v>
      </c>
    </row>
    <row r="395" spans="1:10" ht="25.5">
      <c r="A395" s="13" t="s">
        <v>104</v>
      </c>
      <c r="B395" s="13" t="s">
        <v>107</v>
      </c>
      <c r="C395" s="13" t="s">
        <v>480</v>
      </c>
      <c r="D395" s="13" t="s">
        <v>579</v>
      </c>
      <c r="E395" s="13" t="s">
        <v>581</v>
      </c>
      <c r="F395" s="13" t="s">
        <v>276</v>
      </c>
      <c r="G395" s="13" t="s">
        <v>280</v>
      </c>
      <c r="H395" s="13" t="s">
        <v>139</v>
      </c>
      <c r="I395" s="13" t="s">
        <v>480</v>
      </c>
      <c r="J395" s="13" t="s">
        <v>577</v>
      </c>
    </row>
    <row r="396" spans="1:10" ht="25.5">
      <c r="A396" s="13" t="s">
        <v>36</v>
      </c>
      <c r="B396" s="13" t="s">
        <v>38</v>
      </c>
      <c r="C396" s="13" t="s">
        <v>356</v>
      </c>
      <c r="D396" s="13" t="s">
        <v>23</v>
      </c>
      <c r="E396" s="13" t="s">
        <v>576</v>
      </c>
      <c r="F396" s="13" t="s">
        <v>276</v>
      </c>
      <c r="G396" s="13" t="s">
        <v>282</v>
      </c>
      <c r="H396" s="13" t="s">
        <v>84</v>
      </c>
      <c r="I396" s="13" t="s">
        <v>356</v>
      </c>
      <c r="J396" s="13" t="s">
        <v>577</v>
      </c>
    </row>
    <row r="397" spans="1:10" ht="25.5">
      <c r="A397" s="13" t="s">
        <v>36</v>
      </c>
      <c r="B397" s="13" t="s">
        <v>44</v>
      </c>
      <c r="C397" s="13" t="s">
        <v>366</v>
      </c>
      <c r="D397" s="13" t="s">
        <v>23</v>
      </c>
      <c r="E397" s="13" t="s">
        <v>576</v>
      </c>
      <c r="F397" s="13" t="s">
        <v>276</v>
      </c>
      <c r="G397" s="13" t="s">
        <v>282</v>
      </c>
      <c r="H397" s="13" t="s">
        <v>84</v>
      </c>
      <c r="I397" s="13" t="s">
        <v>366</v>
      </c>
      <c r="J397" s="13" t="s">
        <v>577</v>
      </c>
    </row>
    <row r="398" spans="1:10" ht="25.5">
      <c r="A398" s="13" t="s">
        <v>59</v>
      </c>
      <c r="B398" s="13" t="s">
        <v>66</v>
      </c>
      <c r="C398" s="13" t="s">
        <v>417</v>
      </c>
      <c r="D398" s="13" t="s">
        <v>23</v>
      </c>
      <c r="E398" s="13" t="s">
        <v>583</v>
      </c>
      <c r="F398" s="13" t="s">
        <v>276</v>
      </c>
      <c r="G398" s="13" t="s">
        <v>282</v>
      </c>
      <c r="H398" s="13" t="s">
        <v>84</v>
      </c>
      <c r="I398" s="13" t="s">
        <v>417</v>
      </c>
      <c r="J398" s="13" t="s">
        <v>577</v>
      </c>
    </row>
    <row r="399" spans="1:10" ht="25.5">
      <c r="A399" s="13" t="s">
        <v>36</v>
      </c>
      <c r="B399" s="13" t="s">
        <v>47</v>
      </c>
      <c r="C399" s="13" t="s">
        <v>376</v>
      </c>
      <c r="D399" s="13" t="s">
        <v>579</v>
      </c>
      <c r="E399" s="13" t="s">
        <v>580</v>
      </c>
      <c r="F399" s="13" t="s">
        <v>276</v>
      </c>
      <c r="G399" s="13" t="s">
        <v>282</v>
      </c>
      <c r="H399" s="13" t="s">
        <v>84</v>
      </c>
      <c r="I399" s="13" t="s">
        <v>376</v>
      </c>
      <c r="J399" s="13" t="s">
        <v>577</v>
      </c>
    </row>
    <row r="400" spans="1:10" ht="25.5">
      <c r="A400" s="13" t="s">
        <v>59</v>
      </c>
      <c r="B400" s="13" t="s">
        <v>91</v>
      </c>
      <c r="C400" s="13" t="s">
        <v>444</v>
      </c>
      <c r="D400" s="13" t="s">
        <v>579</v>
      </c>
      <c r="E400" s="13" t="s">
        <v>580</v>
      </c>
      <c r="F400" s="13" t="s">
        <v>276</v>
      </c>
      <c r="G400" s="13" t="s">
        <v>282</v>
      </c>
      <c r="H400" s="13" t="s">
        <v>84</v>
      </c>
      <c r="I400" s="13" t="s">
        <v>444</v>
      </c>
      <c r="J400" s="13" t="s">
        <v>577</v>
      </c>
    </row>
    <row r="401" spans="1:10" ht="25.5">
      <c r="A401" s="13" t="s">
        <v>59</v>
      </c>
      <c r="B401" s="13" t="s">
        <v>93</v>
      </c>
      <c r="C401" s="13" t="s">
        <v>450</v>
      </c>
      <c r="D401" s="13" t="s">
        <v>579</v>
      </c>
      <c r="E401" s="13" t="s">
        <v>580</v>
      </c>
      <c r="F401" s="13" t="s">
        <v>276</v>
      </c>
      <c r="G401" s="13" t="s">
        <v>282</v>
      </c>
      <c r="H401" s="13" t="s">
        <v>84</v>
      </c>
      <c r="I401" s="13" t="s">
        <v>450</v>
      </c>
      <c r="J401" s="13" t="s">
        <v>577</v>
      </c>
    </row>
    <row r="402" spans="1:10" ht="25.5">
      <c r="A402" s="13" t="s">
        <v>104</v>
      </c>
      <c r="B402" s="13" t="s">
        <v>105</v>
      </c>
      <c r="C402" s="13" t="s">
        <v>105</v>
      </c>
      <c r="D402" s="13" t="s">
        <v>579</v>
      </c>
      <c r="E402" s="13" t="s">
        <v>581</v>
      </c>
      <c r="F402" s="13" t="s">
        <v>276</v>
      </c>
      <c r="G402" s="13" t="s">
        <v>282</v>
      </c>
      <c r="H402" s="13" t="s">
        <v>84</v>
      </c>
      <c r="I402" s="13" t="s">
        <v>105</v>
      </c>
      <c r="J402" s="13" t="s">
        <v>577</v>
      </c>
    </row>
    <row r="403" spans="1:10" ht="25.5">
      <c r="A403" s="13" t="s">
        <v>104</v>
      </c>
      <c r="B403" s="13" t="s">
        <v>107</v>
      </c>
      <c r="C403" s="13" t="s">
        <v>480</v>
      </c>
      <c r="D403" s="13" t="s">
        <v>579</v>
      </c>
      <c r="E403" s="13" t="s">
        <v>581</v>
      </c>
      <c r="F403" s="13" t="s">
        <v>276</v>
      </c>
      <c r="G403" s="13" t="s">
        <v>282</v>
      </c>
      <c r="H403" s="13" t="s">
        <v>84</v>
      </c>
      <c r="I403" s="13" t="s">
        <v>480</v>
      </c>
      <c r="J403" s="13" t="s">
        <v>577</v>
      </c>
    </row>
    <row r="404" spans="1:10" ht="25.5">
      <c r="A404" s="13" t="s">
        <v>59</v>
      </c>
      <c r="B404" s="13" t="s">
        <v>62</v>
      </c>
      <c r="C404" s="13" t="s">
        <v>407</v>
      </c>
      <c r="D404" s="13" t="s">
        <v>23</v>
      </c>
      <c r="E404" s="13" t="s">
        <v>576</v>
      </c>
      <c r="F404" s="13" t="s">
        <v>285</v>
      </c>
      <c r="G404" s="13" t="s">
        <v>286</v>
      </c>
      <c r="H404" s="13" t="s">
        <v>135</v>
      </c>
      <c r="I404" s="13" t="s">
        <v>407</v>
      </c>
      <c r="J404" s="13" t="s">
        <v>577</v>
      </c>
    </row>
    <row r="405" spans="1:10" ht="25.5">
      <c r="A405" s="13" t="s">
        <v>36</v>
      </c>
      <c r="B405" s="13" t="s">
        <v>42</v>
      </c>
      <c r="C405" s="13" t="s">
        <v>360</v>
      </c>
      <c r="D405" s="13" t="s">
        <v>23</v>
      </c>
      <c r="E405" s="13" t="s">
        <v>576</v>
      </c>
      <c r="F405" s="13" t="s">
        <v>285</v>
      </c>
      <c r="G405" s="13" t="s">
        <v>286</v>
      </c>
      <c r="H405" s="13" t="s">
        <v>135</v>
      </c>
      <c r="I405" s="13" t="s">
        <v>360</v>
      </c>
      <c r="J405" s="13" t="s">
        <v>577</v>
      </c>
    </row>
    <row r="406" spans="1:10" ht="25.5">
      <c r="A406" s="13" t="s">
        <v>36</v>
      </c>
      <c r="B406" s="13" t="s">
        <v>43</v>
      </c>
      <c r="C406" s="13" t="s">
        <v>363</v>
      </c>
      <c r="D406" s="13" t="s">
        <v>23</v>
      </c>
      <c r="E406" s="13" t="s">
        <v>576</v>
      </c>
      <c r="F406" s="13" t="s">
        <v>285</v>
      </c>
      <c r="G406" s="13" t="s">
        <v>286</v>
      </c>
      <c r="H406" s="13" t="s">
        <v>135</v>
      </c>
      <c r="I406" s="13" t="s">
        <v>363</v>
      </c>
      <c r="J406" s="13" t="s">
        <v>577</v>
      </c>
    </row>
    <row r="407" spans="1:10" ht="25.5">
      <c r="A407" s="13" t="s">
        <v>98</v>
      </c>
      <c r="B407" s="13" t="s">
        <v>99</v>
      </c>
      <c r="C407" s="13" t="s">
        <v>462</v>
      </c>
      <c r="D407" s="13" t="s">
        <v>579</v>
      </c>
      <c r="E407" s="13" t="s">
        <v>581</v>
      </c>
      <c r="F407" s="13" t="s">
        <v>285</v>
      </c>
      <c r="G407" s="13" t="s">
        <v>286</v>
      </c>
      <c r="H407" s="13" t="s">
        <v>135</v>
      </c>
      <c r="I407" s="13" t="s">
        <v>462</v>
      </c>
      <c r="J407" s="13" t="s">
        <v>577</v>
      </c>
    </row>
    <row r="408" spans="1:10" ht="25.5">
      <c r="A408" s="13" t="s">
        <v>104</v>
      </c>
      <c r="B408" s="13" t="s">
        <v>106</v>
      </c>
      <c r="C408" s="13" t="s">
        <v>477</v>
      </c>
      <c r="D408" s="13" t="s">
        <v>579</v>
      </c>
      <c r="E408" s="13" t="s">
        <v>581</v>
      </c>
      <c r="F408" s="13" t="s">
        <v>285</v>
      </c>
      <c r="G408" s="13" t="s">
        <v>286</v>
      </c>
      <c r="H408" s="13" t="s">
        <v>135</v>
      </c>
      <c r="I408" s="13" t="s">
        <v>477</v>
      </c>
      <c r="J408" s="13" t="s">
        <v>577</v>
      </c>
    </row>
    <row r="409" spans="1:10" ht="25.5">
      <c r="A409" s="13" t="s">
        <v>104</v>
      </c>
      <c r="B409" s="13" t="s">
        <v>107</v>
      </c>
      <c r="C409" s="13" t="s">
        <v>480</v>
      </c>
      <c r="D409" s="13" t="s">
        <v>579</v>
      </c>
      <c r="E409" s="13" t="s">
        <v>581</v>
      </c>
      <c r="F409" s="13" t="s">
        <v>285</v>
      </c>
      <c r="G409" s="13" t="s">
        <v>286</v>
      </c>
      <c r="H409" s="13" t="s">
        <v>135</v>
      </c>
      <c r="I409" s="13" t="s">
        <v>480</v>
      </c>
      <c r="J409" s="13" t="s">
        <v>577</v>
      </c>
    </row>
    <row r="410" spans="1:10" ht="25.5">
      <c r="A410" s="13" t="s">
        <v>59</v>
      </c>
      <c r="B410" s="13" t="s">
        <v>62</v>
      </c>
      <c r="C410" s="13" t="s">
        <v>407</v>
      </c>
      <c r="D410" s="13" t="s">
        <v>23</v>
      </c>
      <c r="E410" s="13" t="s">
        <v>576</v>
      </c>
      <c r="F410" s="13" t="s">
        <v>285</v>
      </c>
      <c r="G410" s="13" t="s">
        <v>289</v>
      </c>
      <c r="H410" s="13" t="s">
        <v>135</v>
      </c>
      <c r="I410" s="13" t="s">
        <v>407</v>
      </c>
      <c r="J410" s="13" t="s">
        <v>577</v>
      </c>
    </row>
    <row r="411" spans="1:10" ht="25.5">
      <c r="A411" s="13" t="s">
        <v>36</v>
      </c>
      <c r="B411" s="13" t="s">
        <v>42</v>
      </c>
      <c r="C411" s="13" t="s">
        <v>360</v>
      </c>
      <c r="D411" s="13" t="s">
        <v>23</v>
      </c>
      <c r="E411" s="13" t="s">
        <v>576</v>
      </c>
      <c r="F411" s="13" t="s">
        <v>285</v>
      </c>
      <c r="G411" s="13" t="s">
        <v>289</v>
      </c>
      <c r="H411" s="13" t="s">
        <v>135</v>
      </c>
      <c r="I411" s="13" t="s">
        <v>360</v>
      </c>
      <c r="J411" s="13" t="s">
        <v>577</v>
      </c>
    </row>
    <row r="412" spans="1:10" ht="25.5">
      <c r="A412" s="13" t="s">
        <v>36</v>
      </c>
      <c r="B412" s="13" t="s">
        <v>43</v>
      </c>
      <c r="C412" s="13" t="s">
        <v>363</v>
      </c>
      <c r="D412" s="13" t="s">
        <v>23</v>
      </c>
      <c r="E412" s="13" t="s">
        <v>576</v>
      </c>
      <c r="F412" s="13" t="s">
        <v>285</v>
      </c>
      <c r="G412" s="13" t="s">
        <v>289</v>
      </c>
      <c r="H412" s="13" t="s">
        <v>135</v>
      </c>
      <c r="I412" s="13" t="s">
        <v>363</v>
      </c>
      <c r="J412" s="13" t="s">
        <v>577</v>
      </c>
    </row>
    <row r="413" spans="1:10" ht="25.5">
      <c r="A413" s="13" t="s">
        <v>59</v>
      </c>
      <c r="B413" s="13" t="s">
        <v>60</v>
      </c>
      <c r="C413" s="13" t="s">
        <v>401</v>
      </c>
      <c r="D413" s="13" t="s">
        <v>579</v>
      </c>
      <c r="E413" s="13" t="s">
        <v>580</v>
      </c>
      <c r="F413" s="13" t="s">
        <v>285</v>
      </c>
      <c r="G413" s="13" t="s">
        <v>289</v>
      </c>
      <c r="H413" s="13" t="s">
        <v>135</v>
      </c>
      <c r="I413" s="13" t="s">
        <v>401</v>
      </c>
      <c r="J413" s="13" t="s">
        <v>577</v>
      </c>
    </row>
    <row r="414" spans="1:10" ht="25.5">
      <c r="A414" s="13" t="s">
        <v>104</v>
      </c>
      <c r="B414" s="13" t="s">
        <v>108</v>
      </c>
      <c r="C414" s="13" t="s">
        <v>483</v>
      </c>
      <c r="D414" s="13" t="s">
        <v>579</v>
      </c>
      <c r="E414" s="13" t="s">
        <v>581</v>
      </c>
      <c r="F414" s="13" t="s">
        <v>285</v>
      </c>
      <c r="G414" s="13" t="s">
        <v>289</v>
      </c>
      <c r="H414" s="13" t="s">
        <v>135</v>
      </c>
      <c r="I414" s="13" t="s">
        <v>483</v>
      </c>
      <c r="J414" s="13" t="s">
        <v>577</v>
      </c>
    </row>
    <row r="415" spans="1:10" ht="25.5">
      <c r="A415" s="13" t="s">
        <v>104</v>
      </c>
      <c r="B415" s="13" t="s">
        <v>105</v>
      </c>
      <c r="C415" s="13" t="s">
        <v>105</v>
      </c>
      <c r="D415" s="13" t="s">
        <v>579</v>
      </c>
      <c r="E415" s="13" t="s">
        <v>581</v>
      </c>
      <c r="F415" s="13" t="s">
        <v>285</v>
      </c>
      <c r="G415" s="13" t="s">
        <v>289</v>
      </c>
      <c r="H415" s="13" t="s">
        <v>135</v>
      </c>
      <c r="I415" s="13" t="s">
        <v>105</v>
      </c>
      <c r="J415" s="13" t="s">
        <v>577</v>
      </c>
    </row>
    <row r="416" spans="1:10" ht="25.5">
      <c r="A416" s="13" t="s">
        <v>104</v>
      </c>
      <c r="B416" s="13" t="s">
        <v>107</v>
      </c>
      <c r="C416" s="13" t="s">
        <v>480</v>
      </c>
      <c r="D416" s="13" t="s">
        <v>579</v>
      </c>
      <c r="E416" s="13" t="s">
        <v>581</v>
      </c>
      <c r="F416" s="13" t="s">
        <v>285</v>
      </c>
      <c r="G416" s="13" t="s">
        <v>289</v>
      </c>
      <c r="H416" s="13" t="s">
        <v>135</v>
      </c>
      <c r="I416" s="13" t="s">
        <v>480</v>
      </c>
      <c r="J416" s="13" t="s">
        <v>577</v>
      </c>
    </row>
    <row r="417" spans="1:10" ht="25.5">
      <c r="A417" s="13" t="s">
        <v>59</v>
      </c>
      <c r="B417" s="13" t="s">
        <v>62</v>
      </c>
      <c r="C417" s="13" t="s">
        <v>407</v>
      </c>
      <c r="D417" s="13" t="s">
        <v>23</v>
      </c>
      <c r="E417" s="13" t="s">
        <v>576</v>
      </c>
      <c r="F417" s="13" t="s">
        <v>285</v>
      </c>
      <c r="G417" s="13" t="s">
        <v>292</v>
      </c>
      <c r="H417" s="13" t="s">
        <v>78</v>
      </c>
      <c r="I417" s="13" t="s">
        <v>407</v>
      </c>
      <c r="J417" s="13" t="s">
        <v>577</v>
      </c>
    </row>
    <row r="418" spans="1:10" ht="25.5">
      <c r="A418" s="13" t="s">
        <v>36</v>
      </c>
      <c r="B418" s="13" t="s">
        <v>42</v>
      </c>
      <c r="C418" s="13" t="s">
        <v>360</v>
      </c>
      <c r="D418" s="13" t="s">
        <v>23</v>
      </c>
      <c r="E418" s="13" t="s">
        <v>576</v>
      </c>
      <c r="F418" s="13" t="s">
        <v>285</v>
      </c>
      <c r="G418" s="13" t="s">
        <v>292</v>
      </c>
      <c r="H418" s="13" t="s">
        <v>78</v>
      </c>
      <c r="I418" s="13" t="s">
        <v>360</v>
      </c>
      <c r="J418" s="13" t="s">
        <v>577</v>
      </c>
    </row>
    <row r="419" spans="1:10" ht="25.5">
      <c r="A419" s="13" t="s">
        <v>36</v>
      </c>
      <c r="B419" s="13" t="s">
        <v>43</v>
      </c>
      <c r="C419" s="13" t="s">
        <v>363</v>
      </c>
      <c r="D419" s="13" t="s">
        <v>23</v>
      </c>
      <c r="E419" s="13" t="s">
        <v>576</v>
      </c>
      <c r="F419" s="13" t="s">
        <v>285</v>
      </c>
      <c r="G419" s="13" t="s">
        <v>292</v>
      </c>
      <c r="H419" s="13" t="s">
        <v>78</v>
      </c>
      <c r="I419" s="13" t="s">
        <v>363</v>
      </c>
      <c r="J419" s="13" t="s">
        <v>577</v>
      </c>
    </row>
    <row r="420" spans="1:10" ht="25.5">
      <c r="A420" s="13" t="s">
        <v>59</v>
      </c>
      <c r="B420" s="13" t="s">
        <v>60</v>
      </c>
      <c r="C420" s="13" t="s">
        <v>401</v>
      </c>
      <c r="D420" s="13" t="s">
        <v>579</v>
      </c>
      <c r="E420" s="13" t="s">
        <v>580</v>
      </c>
      <c r="F420" s="13" t="s">
        <v>285</v>
      </c>
      <c r="G420" s="13" t="s">
        <v>292</v>
      </c>
      <c r="H420" s="13" t="s">
        <v>78</v>
      </c>
      <c r="I420" s="13" t="s">
        <v>401</v>
      </c>
      <c r="J420" s="13" t="s">
        <v>577</v>
      </c>
    </row>
    <row r="421" spans="1:10" ht="25.5">
      <c r="A421" s="13" t="s">
        <v>59</v>
      </c>
      <c r="B421" s="13" t="s">
        <v>77</v>
      </c>
      <c r="C421" s="13" t="s">
        <v>430</v>
      </c>
      <c r="D421" s="13" t="s">
        <v>579</v>
      </c>
      <c r="E421" s="13" t="s">
        <v>580</v>
      </c>
      <c r="F421" s="13" t="s">
        <v>285</v>
      </c>
      <c r="G421" s="13" t="s">
        <v>292</v>
      </c>
      <c r="H421" s="13" t="s">
        <v>78</v>
      </c>
      <c r="I421" s="13" t="s">
        <v>430</v>
      </c>
      <c r="J421" s="13" t="s">
        <v>577</v>
      </c>
    </row>
    <row r="422" spans="1:10" ht="25.5">
      <c r="A422" s="13" t="s">
        <v>94</v>
      </c>
      <c r="B422" s="13" t="s">
        <v>95</v>
      </c>
      <c r="C422" s="13" t="s">
        <v>453</v>
      </c>
      <c r="D422" s="13" t="s">
        <v>579</v>
      </c>
      <c r="E422" s="13" t="s">
        <v>581</v>
      </c>
      <c r="F422" s="13" t="s">
        <v>285</v>
      </c>
      <c r="G422" s="13" t="s">
        <v>292</v>
      </c>
      <c r="H422" s="13" t="s">
        <v>78</v>
      </c>
      <c r="I422" s="13" t="s">
        <v>453</v>
      </c>
      <c r="J422" s="13" t="s">
        <v>577</v>
      </c>
    </row>
    <row r="423" spans="1:10" ht="25.5">
      <c r="A423" s="13" t="s">
        <v>104</v>
      </c>
      <c r="B423" s="13" t="s">
        <v>106</v>
      </c>
      <c r="C423" s="13" t="s">
        <v>477</v>
      </c>
      <c r="D423" s="13" t="s">
        <v>579</v>
      </c>
      <c r="E423" s="13" t="s">
        <v>581</v>
      </c>
      <c r="F423" s="13" t="s">
        <v>285</v>
      </c>
      <c r="G423" s="13" t="s">
        <v>292</v>
      </c>
      <c r="H423" s="13" t="s">
        <v>78</v>
      </c>
      <c r="I423" s="13" t="s">
        <v>477</v>
      </c>
      <c r="J423" s="13" t="s">
        <v>577</v>
      </c>
    </row>
    <row r="424" spans="1:10" ht="25.5">
      <c r="A424" s="13" t="s">
        <v>104</v>
      </c>
      <c r="B424" s="13" t="s">
        <v>107</v>
      </c>
      <c r="C424" s="13" t="s">
        <v>480</v>
      </c>
      <c r="D424" s="13" t="s">
        <v>579</v>
      </c>
      <c r="E424" s="13" t="s">
        <v>581</v>
      </c>
      <c r="F424" s="13" t="s">
        <v>285</v>
      </c>
      <c r="G424" s="13" t="s">
        <v>292</v>
      </c>
      <c r="H424" s="13" t="s">
        <v>78</v>
      </c>
      <c r="I424" s="13" t="s">
        <v>480</v>
      </c>
      <c r="J424" s="13" t="s">
        <v>577</v>
      </c>
    </row>
    <row r="425" spans="1:10" ht="25.5">
      <c r="A425" s="13" t="s">
        <v>36</v>
      </c>
      <c r="B425" s="13" t="s">
        <v>37</v>
      </c>
      <c r="C425" s="13" t="s">
        <v>351</v>
      </c>
      <c r="D425" s="13" t="s">
        <v>23</v>
      </c>
      <c r="E425" s="13" t="s">
        <v>576</v>
      </c>
      <c r="F425" s="13" t="s">
        <v>294</v>
      </c>
      <c r="G425" s="13" t="s">
        <v>295</v>
      </c>
      <c r="H425" s="13" t="s">
        <v>139</v>
      </c>
      <c r="I425" s="13" t="s">
        <v>351</v>
      </c>
      <c r="J425" s="13" t="s">
        <v>577</v>
      </c>
    </row>
    <row r="426" spans="1:10" ht="25.5">
      <c r="A426" s="13" t="s">
        <v>36</v>
      </c>
      <c r="B426" s="13" t="s">
        <v>44</v>
      </c>
      <c r="C426" s="13" t="s">
        <v>366</v>
      </c>
      <c r="D426" s="13" t="s">
        <v>23</v>
      </c>
      <c r="E426" s="13" t="s">
        <v>576</v>
      </c>
      <c r="F426" s="13" t="s">
        <v>294</v>
      </c>
      <c r="G426" s="13" t="s">
        <v>295</v>
      </c>
      <c r="H426" s="13" t="s">
        <v>139</v>
      </c>
      <c r="I426" s="13" t="s">
        <v>366</v>
      </c>
      <c r="J426" s="13" t="s">
        <v>577</v>
      </c>
    </row>
    <row r="427" spans="1:10" ht="25.5">
      <c r="A427" s="13" t="s">
        <v>59</v>
      </c>
      <c r="B427" s="13" t="s">
        <v>72</v>
      </c>
      <c r="C427" s="13" t="s">
        <v>426</v>
      </c>
      <c r="D427" s="13" t="s">
        <v>23</v>
      </c>
      <c r="E427" s="13" t="s">
        <v>576</v>
      </c>
      <c r="F427" s="13" t="s">
        <v>294</v>
      </c>
      <c r="G427" s="13" t="s">
        <v>295</v>
      </c>
      <c r="H427" s="13" t="s">
        <v>139</v>
      </c>
      <c r="I427" s="13" t="s">
        <v>426</v>
      </c>
      <c r="J427" s="13" t="s">
        <v>577</v>
      </c>
    </row>
    <row r="428" spans="1:10" ht="25.5">
      <c r="A428" s="13" t="s">
        <v>49</v>
      </c>
      <c r="B428" s="13" t="s">
        <v>58</v>
      </c>
      <c r="C428" s="13" t="s">
        <v>398</v>
      </c>
      <c r="D428" s="13" t="s">
        <v>23</v>
      </c>
      <c r="E428" s="13" t="s">
        <v>576</v>
      </c>
      <c r="F428" s="13" t="s">
        <v>294</v>
      </c>
      <c r="G428" s="13" t="s">
        <v>295</v>
      </c>
      <c r="H428" s="13" t="s">
        <v>139</v>
      </c>
      <c r="I428" s="13" t="s">
        <v>398</v>
      </c>
      <c r="J428" s="13" t="s">
        <v>577</v>
      </c>
    </row>
    <row r="429" spans="1:10" ht="25.5">
      <c r="A429" s="13" t="s">
        <v>59</v>
      </c>
      <c r="B429" s="13" t="s">
        <v>86</v>
      </c>
      <c r="C429" s="13" t="s">
        <v>86</v>
      </c>
      <c r="D429" s="13" t="s">
        <v>23</v>
      </c>
      <c r="E429" s="13" t="s">
        <v>576</v>
      </c>
      <c r="F429" s="13" t="s">
        <v>294</v>
      </c>
      <c r="G429" s="13" t="s">
        <v>295</v>
      </c>
      <c r="H429" s="13" t="s">
        <v>139</v>
      </c>
      <c r="I429" s="13" t="s">
        <v>86</v>
      </c>
      <c r="J429" s="13" t="s">
        <v>577</v>
      </c>
    </row>
    <row r="430" spans="1:10" ht="25.5">
      <c r="A430" s="13" t="s">
        <v>59</v>
      </c>
      <c r="B430" s="13" t="s">
        <v>63</v>
      </c>
      <c r="C430" s="13" t="s">
        <v>410</v>
      </c>
      <c r="D430" s="13" t="s">
        <v>23</v>
      </c>
      <c r="E430" s="13" t="s">
        <v>583</v>
      </c>
      <c r="F430" s="13" t="s">
        <v>294</v>
      </c>
      <c r="G430" s="13" t="s">
        <v>295</v>
      </c>
      <c r="H430" s="13" t="s">
        <v>139</v>
      </c>
      <c r="I430" s="13" t="s">
        <v>410</v>
      </c>
      <c r="J430" s="13" t="s">
        <v>577</v>
      </c>
    </row>
    <row r="431" spans="1:10" ht="25.5">
      <c r="A431" s="13" t="s">
        <v>59</v>
      </c>
      <c r="B431" s="13" t="s">
        <v>66</v>
      </c>
      <c r="C431" s="13" t="s">
        <v>417</v>
      </c>
      <c r="D431" s="13" t="s">
        <v>23</v>
      </c>
      <c r="E431" s="13" t="s">
        <v>583</v>
      </c>
      <c r="F431" s="13" t="s">
        <v>294</v>
      </c>
      <c r="G431" s="13" t="s">
        <v>295</v>
      </c>
      <c r="H431" s="13" t="s">
        <v>139</v>
      </c>
      <c r="I431" s="13" t="s">
        <v>417</v>
      </c>
      <c r="J431" s="13" t="s">
        <v>577</v>
      </c>
    </row>
    <row r="432" spans="1:10" ht="25.5">
      <c r="A432" s="13" t="s">
        <v>59</v>
      </c>
      <c r="B432" s="13" t="s">
        <v>69</v>
      </c>
      <c r="C432" s="13" t="s">
        <v>423</v>
      </c>
      <c r="D432" s="13" t="s">
        <v>23</v>
      </c>
      <c r="E432" s="13" t="s">
        <v>583</v>
      </c>
      <c r="F432" s="13" t="s">
        <v>294</v>
      </c>
      <c r="G432" s="13" t="s">
        <v>295</v>
      </c>
      <c r="H432" s="13" t="s">
        <v>139</v>
      </c>
      <c r="I432" s="13" t="s">
        <v>423</v>
      </c>
      <c r="J432" s="13" t="s">
        <v>577</v>
      </c>
    </row>
    <row r="433" spans="1:10" ht="25.5">
      <c r="A433" s="13" t="s">
        <v>49</v>
      </c>
      <c r="B433" s="13" t="s">
        <v>57</v>
      </c>
      <c r="C433" s="13" t="s">
        <v>57</v>
      </c>
      <c r="D433" s="13" t="s">
        <v>579</v>
      </c>
      <c r="E433" s="13" t="s">
        <v>580</v>
      </c>
      <c r="F433" s="13" t="s">
        <v>294</v>
      </c>
      <c r="G433" s="13" t="s">
        <v>295</v>
      </c>
      <c r="H433" s="13" t="s">
        <v>139</v>
      </c>
      <c r="I433" s="13" t="s">
        <v>57</v>
      </c>
      <c r="J433" s="13" t="s">
        <v>577</v>
      </c>
    </row>
    <row r="434" spans="1:10" ht="25.5">
      <c r="A434" s="13" t="s">
        <v>98</v>
      </c>
      <c r="B434" s="13" t="s">
        <v>99</v>
      </c>
      <c r="C434" s="13" t="s">
        <v>462</v>
      </c>
      <c r="D434" s="13" t="s">
        <v>579</v>
      </c>
      <c r="E434" s="13" t="s">
        <v>581</v>
      </c>
      <c r="F434" s="13" t="s">
        <v>294</v>
      </c>
      <c r="G434" s="13" t="s">
        <v>295</v>
      </c>
      <c r="H434" s="13" t="s">
        <v>139</v>
      </c>
      <c r="I434" s="13" t="s">
        <v>462</v>
      </c>
      <c r="J434" s="13" t="s">
        <v>577</v>
      </c>
    </row>
    <row r="435" spans="1:10" ht="25.5">
      <c r="A435" s="13" t="s">
        <v>104</v>
      </c>
      <c r="B435" s="13" t="s">
        <v>108</v>
      </c>
      <c r="C435" s="13" t="s">
        <v>483</v>
      </c>
      <c r="D435" s="13" t="s">
        <v>579</v>
      </c>
      <c r="E435" s="13" t="s">
        <v>581</v>
      </c>
      <c r="F435" s="13" t="s">
        <v>294</v>
      </c>
      <c r="G435" s="13" t="s">
        <v>295</v>
      </c>
      <c r="H435" s="13" t="s">
        <v>139</v>
      </c>
      <c r="I435" s="13" t="s">
        <v>483</v>
      </c>
      <c r="J435" s="13" t="s">
        <v>577</v>
      </c>
    </row>
    <row r="436" spans="1:10" ht="25.5">
      <c r="A436" s="13" t="s">
        <v>36</v>
      </c>
      <c r="B436" s="13" t="s">
        <v>37</v>
      </c>
      <c r="C436" s="13" t="s">
        <v>351</v>
      </c>
      <c r="D436" s="13" t="s">
        <v>23</v>
      </c>
      <c r="E436" s="13" t="s">
        <v>576</v>
      </c>
      <c r="F436" s="13" t="s">
        <v>294</v>
      </c>
      <c r="G436" s="13" t="s">
        <v>298</v>
      </c>
      <c r="H436" s="13" t="s">
        <v>135</v>
      </c>
      <c r="I436" s="13" t="s">
        <v>351</v>
      </c>
      <c r="J436" s="13" t="s">
        <v>577</v>
      </c>
    </row>
    <row r="437" spans="1:10" ht="25.5">
      <c r="A437" s="13" t="s">
        <v>36</v>
      </c>
      <c r="B437" s="13" t="s">
        <v>44</v>
      </c>
      <c r="C437" s="13" t="s">
        <v>366</v>
      </c>
      <c r="D437" s="13" t="s">
        <v>23</v>
      </c>
      <c r="E437" s="13" t="s">
        <v>576</v>
      </c>
      <c r="F437" s="13" t="s">
        <v>294</v>
      </c>
      <c r="G437" s="13" t="s">
        <v>298</v>
      </c>
      <c r="H437" s="13" t="s">
        <v>135</v>
      </c>
      <c r="I437" s="13" t="s">
        <v>366</v>
      </c>
      <c r="J437" s="13" t="s">
        <v>577</v>
      </c>
    </row>
    <row r="438" spans="1:10" ht="25.5">
      <c r="A438" s="13" t="s">
        <v>59</v>
      </c>
      <c r="B438" s="13" t="s">
        <v>72</v>
      </c>
      <c r="C438" s="13" t="s">
        <v>426</v>
      </c>
      <c r="D438" s="13" t="s">
        <v>23</v>
      </c>
      <c r="E438" s="13" t="s">
        <v>576</v>
      </c>
      <c r="F438" s="13" t="s">
        <v>294</v>
      </c>
      <c r="G438" s="13" t="s">
        <v>298</v>
      </c>
      <c r="H438" s="13" t="s">
        <v>135</v>
      </c>
      <c r="I438" s="13" t="s">
        <v>426</v>
      </c>
      <c r="J438" s="13" t="s">
        <v>577</v>
      </c>
    </row>
    <row r="439" spans="1:10" ht="25.5">
      <c r="A439" s="13" t="s">
        <v>49</v>
      </c>
      <c r="B439" s="13" t="s">
        <v>58</v>
      </c>
      <c r="C439" s="13" t="s">
        <v>398</v>
      </c>
      <c r="D439" s="13" t="s">
        <v>23</v>
      </c>
      <c r="E439" s="13" t="s">
        <v>576</v>
      </c>
      <c r="F439" s="13" t="s">
        <v>294</v>
      </c>
      <c r="G439" s="13" t="s">
        <v>298</v>
      </c>
      <c r="H439" s="13" t="s">
        <v>135</v>
      </c>
      <c r="I439" s="13" t="s">
        <v>398</v>
      </c>
      <c r="J439" s="13" t="s">
        <v>577</v>
      </c>
    </row>
    <row r="440" spans="1:10" ht="25.5">
      <c r="A440" s="13" t="s">
        <v>59</v>
      </c>
      <c r="B440" s="13" t="s">
        <v>86</v>
      </c>
      <c r="C440" s="13" t="s">
        <v>86</v>
      </c>
      <c r="D440" s="13" t="s">
        <v>23</v>
      </c>
      <c r="E440" s="13" t="s">
        <v>576</v>
      </c>
      <c r="F440" s="13" t="s">
        <v>294</v>
      </c>
      <c r="G440" s="13" t="s">
        <v>298</v>
      </c>
      <c r="H440" s="13" t="s">
        <v>135</v>
      </c>
      <c r="I440" s="13" t="s">
        <v>86</v>
      </c>
      <c r="J440" s="13" t="s">
        <v>577</v>
      </c>
    </row>
    <row r="441" spans="1:10" ht="25.5">
      <c r="A441" s="13" t="s">
        <v>59</v>
      </c>
      <c r="B441" s="13" t="s">
        <v>63</v>
      </c>
      <c r="C441" s="13" t="s">
        <v>410</v>
      </c>
      <c r="D441" s="13" t="s">
        <v>23</v>
      </c>
      <c r="E441" s="13" t="s">
        <v>583</v>
      </c>
      <c r="F441" s="13" t="s">
        <v>294</v>
      </c>
      <c r="G441" s="13" t="s">
        <v>298</v>
      </c>
      <c r="H441" s="13" t="s">
        <v>135</v>
      </c>
      <c r="I441" s="13" t="s">
        <v>410</v>
      </c>
      <c r="J441" s="13" t="s">
        <v>577</v>
      </c>
    </row>
    <row r="442" spans="1:10" ht="25.5">
      <c r="A442" s="13" t="s">
        <v>59</v>
      </c>
      <c r="B442" s="13" t="s">
        <v>66</v>
      </c>
      <c r="C442" s="13" t="s">
        <v>417</v>
      </c>
      <c r="D442" s="13" t="s">
        <v>23</v>
      </c>
      <c r="E442" s="13" t="s">
        <v>583</v>
      </c>
      <c r="F442" s="13" t="s">
        <v>294</v>
      </c>
      <c r="G442" s="13" t="s">
        <v>298</v>
      </c>
      <c r="H442" s="13" t="s">
        <v>135</v>
      </c>
      <c r="I442" s="13" t="s">
        <v>417</v>
      </c>
      <c r="J442" s="13" t="s">
        <v>577</v>
      </c>
    </row>
    <row r="443" spans="1:10" ht="25.5">
      <c r="A443" s="13" t="s">
        <v>59</v>
      </c>
      <c r="B443" s="13" t="s">
        <v>69</v>
      </c>
      <c r="C443" s="13" t="s">
        <v>423</v>
      </c>
      <c r="D443" s="13" t="s">
        <v>23</v>
      </c>
      <c r="E443" s="13" t="s">
        <v>583</v>
      </c>
      <c r="F443" s="13" t="s">
        <v>294</v>
      </c>
      <c r="G443" s="13" t="s">
        <v>298</v>
      </c>
      <c r="H443" s="13" t="s">
        <v>135</v>
      </c>
      <c r="I443" s="13" t="s">
        <v>423</v>
      </c>
      <c r="J443" s="13" t="s">
        <v>577</v>
      </c>
    </row>
    <row r="444" spans="1:10" ht="25.5">
      <c r="A444" s="13" t="s">
        <v>59</v>
      </c>
      <c r="B444" s="13" t="s">
        <v>61</v>
      </c>
      <c r="C444" s="13" t="s">
        <v>404</v>
      </c>
      <c r="D444" s="13" t="s">
        <v>579</v>
      </c>
      <c r="E444" s="13" t="s">
        <v>580</v>
      </c>
      <c r="F444" s="13" t="s">
        <v>294</v>
      </c>
      <c r="G444" s="13" t="s">
        <v>298</v>
      </c>
      <c r="H444" s="13" t="s">
        <v>135</v>
      </c>
      <c r="I444" s="13" t="s">
        <v>404</v>
      </c>
      <c r="J444" s="13" t="s">
        <v>577</v>
      </c>
    </row>
    <row r="445" spans="1:10" ht="25.5">
      <c r="A445" s="13" t="s">
        <v>49</v>
      </c>
      <c r="B445" s="13" t="s">
        <v>57</v>
      </c>
      <c r="C445" s="13" t="s">
        <v>57</v>
      </c>
      <c r="D445" s="13" t="s">
        <v>579</v>
      </c>
      <c r="E445" s="13" t="s">
        <v>580</v>
      </c>
      <c r="F445" s="13" t="s">
        <v>294</v>
      </c>
      <c r="G445" s="13" t="s">
        <v>298</v>
      </c>
      <c r="H445" s="13" t="s">
        <v>135</v>
      </c>
      <c r="I445" s="13" t="s">
        <v>57</v>
      </c>
      <c r="J445" s="13" t="s">
        <v>577</v>
      </c>
    </row>
    <row r="446" spans="1:10" ht="25.5">
      <c r="A446" s="13" t="s">
        <v>104</v>
      </c>
      <c r="B446" s="13" t="s">
        <v>108</v>
      </c>
      <c r="C446" s="13" t="s">
        <v>483</v>
      </c>
      <c r="D446" s="13" t="s">
        <v>579</v>
      </c>
      <c r="E446" s="13" t="s">
        <v>581</v>
      </c>
      <c r="F446" s="13" t="s">
        <v>294</v>
      </c>
      <c r="G446" s="13" t="s">
        <v>298</v>
      </c>
      <c r="H446" s="13" t="s">
        <v>135</v>
      </c>
      <c r="I446" s="13" t="s">
        <v>483</v>
      </c>
      <c r="J446" s="13" t="s">
        <v>577</v>
      </c>
    </row>
    <row r="447" spans="1:10" ht="25.5">
      <c r="A447" s="13" t="s">
        <v>36</v>
      </c>
      <c r="B447" s="13" t="s">
        <v>37</v>
      </c>
      <c r="C447" s="13" t="s">
        <v>351</v>
      </c>
      <c r="D447" s="13" t="s">
        <v>23</v>
      </c>
      <c r="E447" s="13" t="s">
        <v>576</v>
      </c>
      <c r="F447" s="13" t="s">
        <v>294</v>
      </c>
      <c r="G447" s="13" t="s">
        <v>300</v>
      </c>
      <c r="H447" s="13" t="s">
        <v>135</v>
      </c>
      <c r="I447" s="13" t="s">
        <v>351</v>
      </c>
      <c r="J447" s="13" t="s">
        <v>577</v>
      </c>
    </row>
    <row r="448" spans="1:10" ht="25.5">
      <c r="A448" s="13" t="s">
        <v>36</v>
      </c>
      <c r="B448" s="13" t="s">
        <v>44</v>
      </c>
      <c r="C448" s="13" t="s">
        <v>366</v>
      </c>
      <c r="D448" s="13" t="s">
        <v>23</v>
      </c>
      <c r="E448" s="13" t="s">
        <v>576</v>
      </c>
      <c r="F448" s="13" t="s">
        <v>294</v>
      </c>
      <c r="G448" s="13" t="s">
        <v>300</v>
      </c>
      <c r="H448" s="13" t="s">
        <v>135</v>
      </c>
      <c r="I448" s="13" t="s">
        <v>366</v>
      </c>
      <c r="J448" s="13" t="s">
        <v>577</v>
      </c>
    </row>
    <row r="449" spans="1:10" ht="25.5">
      <c r="A449" s="13" t="s">
        <v>59</v>
      </c>
      <c r="B449" s="13" t="s">
        <v>72</v>
      </c>
      <c r="C449" s="13" t="s">
        <v>426</v>
      </c>
      <c r="D449" s="13" t="s">
        <v>23</v>
      </c>
      <c r="E449" s="13" t="s">
        <v>576</v>
      </c>
      <c r="F449" s="13" t="s">
        <v>294</v>
      </c>
      <c r="G449" s="13" t="s">
        <v>300</v>
      </c>
      <c r="H449" s="13" t="s">
        <v>135</v>
      </c>
      <c r="I449" s="13" t="s">
        <v>426</v>
      </c>
      <c r="J449" s="13" t="s">
        <v>577</v>
      </c>
    </row>
    <row r="450" spans="1:10" ht="25.5">
      <c r="A450" s="13" t="s">
        <v>49</v>
      </c>
      <c r="B450" s="13" t="s">
        <v>58</v>
      </c>
      <c r="C450" s="13" t="s">
        <v>398</v>
      </c>
      <c r="D450" s="13" t="s">
        <v>23</v>
      </c>
      <c r="E450" s="13" t="s">
        <v>576</v>
      </c>
      <c r="F450" s="13" t="s">
        <v>294</v>
      </c>
      <c r="G450" s="13" t="s">
        <v>300</v>
      </c>
      <c r="H450" s="13" t="s">
        <v>135</v>
      </c>
      <c r="I450" s="13" t="s">
        <v>398</v>
      </c>
      <c r="J450" s="13" t="s">
        <v>577</v>
      </c>
    </row>
    <row r="451" spans="1:10" ht="25.5">
      <c r="A451" s="13" t="s">
        <v>59</v>
      </c>
      <c r="B451" s="13" t="s">
        <v>86</v>
      </c>
      <c r="C451" s="13" t="s">
        <v>86</v>
      </c>
      <c r="D451" s="13" t="s">
        <v>23</v>
      </c>
      <c r="E451" s="13" t="s">
        <v>576</v>
      </c>
      <c r="F451" s="13" t="s">
        <v>294</v>
      </c>
      <c r="G451" s="13" t="s">
        <v>300</v>
      </c>
      <c r="H451" s="13" t="s">
        <v>135</v>
      </c>
      <c r="I451" s="13" t="s">
        <v>86</v>
      </c>
      <c r="J451" s="13" t="s">
        <v>577</v>
      </c>
    </row>
    <row r="452" spans="1:10" ht="25.5">
      <c r="A452" s="13" t="s">
        <v>59</v>
      </c>
      <c r="B452" s="13" t="s">
        <v>63</v>
      </c>
      <c r="C452" s="13" t="s">
        <v>410</v>
      </c>
      <c r="D452" s="13" t="s">
        <v>23</v>
      </c>
      <c r="E452" s="13" t="s">
        <v>583</v>
      </c>
      <c r="F452" s="13" t="s">
        <v>294</v>
      </c>
      <c r="G452" s="13" t="s">
        <v>300</v>
      </c>
      <c r="H452" s="13" t="s">
        <v>135</v>
      </c>
      <c r="I452" s="13" t="s">
        <v>410</v>
      </c>
      <c r="J452" s="13" t="s">
        <v>577</v>
      </c>
    </row>
    <row r="453" spans="1:10" ht="25.5">
      <c r="A453" s="13" t="s">
        <v>59</v>
      </c>
      <c r="B453" s="13" t="s">
        <v>66</v>
      </c>
      <c r="C453" s="13" t="s">
        <v>417</v>
      </c>
      <c r="D453" s="13" t="s">
        <v>23</v>
      </c>
      <c r="E453" s="13" t="s">
        <v>583</v>
      </c>
      <c r="F453" s="13" t="s">
        <v>294</v>
      </c>
      <c r="G453" s="13" t="s">
        <v>300</v>
      </c>
      <c r="H453" s="13" t="s">
        <v>135</v>
      </c>
      <c r="I453" s="13" t="s">
        <v>417</v>
      </c>
      <c r="J453" s="13" t="s">
        <v>577</v>
      </c>
    </row>
    <row r="454" spans="1:10" ht="25.5">
      <c r="A454" s="13" t="s">
        <v>59</v>
      </c>
      <c r="B454" s="13" t="s">
        <v>69</v>
      </c>
      <c r="C454" s="13" t="s">
        <v>423</v>
      </c>
      <c r="D454" s="13" t="s">
        <v>23</v>
      </c>
      <c r="E454" s="13" t="s">
        <v>583</v>
      </c>
      <c r="F454" s="13" t="s">
        <v>294</v>
      </c>
      <c r="G454" s="13" t="s">
        <v>300</v>
      </c>
      <c r="H454" s="13" t="s">
        <v>135</v>
      </c>
      <c r="I454" s="13" t="s">
        <v>423</v>
      </c>
      <c r="J454" s="13" t="s">
        <v>577</v>
      </c>
    </row>
    <row r="455" spans="1:10" ht="25.5">
      <c r="A455" s="13" t="s">
        <v>36</v>
      </c>
      <c r="B455" s="13" t="s">
        <v>47</v>
      </c>
      <c r="C455" s="13" t="s">
        <v>376</v>
      </c>
      <c r="D455" s="13" t="s">
        <v>579</v>
      </c>
      <c r="E455" s="13" t="s">
        <v>580</v>
      </c>
      <c r="F455" s="13" t="s">
        <v>294</v>
      </c>
      <c r="G455" s="13" t="s">
        <v>300</v>
      </c>
      <c r="H455" s="13" t="s">
        <v>135</v>
      </c>
      <c r="I455" s="13" t="s">
        <v>376</v>
      </c>
      <c r="J455" s="13" t="s">
        <v>577</v>
      </c>
    </row>
    <row r="456" spans="1:10" ht="25.5">
      <c r="A456" s="13" t="s">
        <v>49</v>
      </c>
      <c r="B456" s="13" t="s">
        <v>57</v>
      </c>
      <c r="C456" s="13" t="s">
        <v>57</v>
      </c>
      <c r="D456" s="13" t="s">
        <v>579</v>
      </c>
      <c r="E456" s="13" t="s">
        <v>580</v>
      </c>
      <c r="F456" s="13" t="s">
        <v>294</v>
      </c>
      <c r="G456" s="13" t="s">
        <v>300</v>
      </c>
      <c r="H456" s="13" t="s">
        <v>135</v>
      </c>
      <c r="I456" s="13" t="s">
        <v>57</v>
      </c>
      <c r="J456" s="13" t="s">
        <v>577</v>
      </c>
    </row>
    <row r="457" spans="1:10" ht="25.5">
      <c r="A457" s="13" t="s">
        <v>104</v>
      </c>
      <c r="B457" s="13" t="s">
        <v>108</v>
      </c>
      <c r="C457" s="13" t="s">
        <v>483</v>
      </c>
      <c r="D457" s="13" t="s">
        <v>579</v>
      </c>
      <c r="E457" s="13" t="s">
        <v>581</v>
      </c>
      <c r="F457" s="13" t="s">
        <v>294</v>
      </c>
      <c r="G457" s="13" t="s">
        <v>300</v>
      </c>
      <c r="H457" s="13" t="s">
        <v>135</v>
      </c>
      <c r="I457" s="13" t="s">
        <v>483</v>
      </c>
      <c r="J457" s="13" t="s">
        <v>577</v>
      </c>
    </row>
    <row r="458" spans="1:10" ht="25.5">
      <c r="A458" s="13" t="s">
        <v>104</v>
      </c>
      <c r="B458" s="13" t="s">
        <v>105</v>
      </c>
      <c r="C458" s="13" t="s">
        <v>105</v>
      </c>
      <c r="D458" s="13" t="s">
        <v>579</v>
      </c>
      <c r="E458" s="13" t="s">
        <v>581</v>
      </c>
      <c r="F458" s="13" t="s">
        <v>294</v>
      </c>
      <c r="G458" s="13" t="s">
        <v>300</v>
      </c>
      <c r="H458" s="13" t="s">
        <v>135</v>
      </c>
      <c r="I458" s="13" t="s">
        <v>105</v>
      </c>
      <c r="J458" s="13" t="s">
        <v>577</v>
      </c>
    </row>
    <row r="459" spans="1:10" ht="25.5">
      <c r="A459" s="13" t="s">
        <v>49</v>
      </c>
      <c r="B459" s="13" t="s">
        <v>50</v>
      </c>
      <c r="C459" s="13" t="s">
        <v>379</v>
      </c>
      <c r="D459" s="13" t="s">
        <v>23</v>
      </c>
      <c r="E459" s="13" t="s">
        <v>576</v>
      </c>
      <c r="F459" s="13" t="s">
        <v>303</v>
      </c>
      <c r="G459" s="13" t="s">
        <v>304</v>
      </c>
      <c r="H459" s="13" t="s">
        <v>81</v>
      </c>
      <c r="I459" s="13" t="s">
        <v>379</v>
      </c>
      <c r="J459" s="13" t="s">
        <v>577</v>
      </c>
    </row>
    <row r="460" spans="1:10" ht="25.5">
      <c r="A460" s="13" t="s">
        <v>49</v>
      </c>
      <c r="B460" s="13" t="s">
        <v>53</v>
      </c>
      <c r="C460" s="13" t="s">
        <v>382</v>
      </c>
      <c r="D460" s="13" t="s">
        <v>23</v>
      </c>
      <c r="E460" s="13" t="s">
        <v>576</v>
      </c>
      <c r="F460" s="13" t="s">
        <v>303</v>
      </c>
      <c r="G460" s="13" t="s">
        <v>304</v>
      </c>
      <c r="H460" s="13" t="s">
        <v>81</v>
      </c>
      <c r="I460" s="13" t="s">
        <v>382</v>
      </c>
      <c r="J460" s="13" t="s">
        <v>577</v>
      </c>
    </row>
    <row r="461" spans="1:10" ht="25.5">
      <c r="A461" s="13" t="s">
        <v>49</v>
      </c>
      <c r="B461" s="13" t="s">
        <v>58</v>
      </c>
      <c r="C461" s="13" t="s">
        <v>398</v>
      </c>
      <c r="D461" s="13" t="s">
        <v>23</v>
      </c>
      <c r="E461" s="13" t="s">
        <v>576</v>
      </c>
      <c r="F461" s="13" t="s">
        <v>303</v>
      </c>
      <c r="G461" s="13" t="s">
        <v>304</v>
      </c>
      <c r="H461" s="13" t="s">
        <v>81</v>
      </c>
      <c r="I461" s="13" t="s">
        <v>398</v>
      </c>
      <c r="J461" s="13" t="s">
        <v>577</v>
      </c>
    </row>
    <row r="462" spans="1:10" ht="25.5">
      <c r="A462" s="13" t="s">
        <v>59</v>
      </c>
      <c r="B462" s="13" t="s">
        <v>86</v>
      </c>
      <c r="C462" s="13" t="s">
        <v>86</v>
      </c>
      <c r="D462" s="13" t="s">
        <v>23</v>
      </c>
      <c r="E462" s="13" t="s">
        <v>576</v>
      </c>
      <c r="F462" s="13" t="s">
        <v>303</v>
      </c>
      <c r="G462" s="13" t="s">
        <v>304</v>
      </c>
      <c r="H462" s="13" t="s">
        <v>81</v>
      </c>
      <c r="I462" s="13" t="s">
        <v>86</v>
      </c>
      <c r="J462" s="13" t="s">
        <v>577</v>
      </c>
    </row>
    <row r="463" spans="1:10" ht="25.5">
      <c r="A463" s="13" t="s">
        <v>59</v>
      </c>
      <c r="B463" s="13" t="s">
        <v>90</v>
      </c>
      <c r="C463" s="13" t="s">
        <v>90</v>
      </c>
      <c r="D463" s="13" t="s">
        <v>23</v>
      </c>
      <c r="E463" s="13" t="s">
        <v>576</v>
      </c>
      <c r="F463" s="13" t="s">
        <v>303</v>
      </c>
      <c r="G463" s="13" t="s">
        <v>304</v>
      </c>
      <c r="H463" s="13" t="s">
        <v>81</v>
      </c>
      <c r="I463" s="13" t="s">
        <v>90</v>
      </c>
      <c r="J463" s="13" t="s">
        <v>577</v>
      </c>
    </row>
    <row r="464" spans="1:10" ht="25.5">
      <c r="A464" s="13" t="s">
        <v>49</v>
      </c>
      <c r="B464" s="13" t="s">
        <v>55</v>
      </c>
      <c r="C464" s="13" t="s">
        <v>389</v>
      </c>
      <c r="D464" s="13" t="s">
        <v>579</v>
      </c>
      <c r="E464" s="13" t="s">
        <v>580</v>
      </c>
      <c r="F464" s="13" t="s">
        <v>303</v>
      </c>
      <c r="G464" s="13" t="s">
        <v>304</v>
      </c>
      <c r="H464" s="13" t="s">
        <v>81</v>
      </c>
      <c r="I464" s="13" t="s">
        <v>389</v>
      </c>
      <c r="J464" s="13" t="s">
        <v>577</v>
      </c>
    </row>
    <row r="465" spans="1:10" ht="25.5">
      <c r="A465" s="13" t="s">
        <v>59</v>
      </c>
      <c r="B465" s="13" t="s">
        <v>77</v>
      </c>
      <c r="C465" s="13" t="s">
        <v>430</v>
      </c>
      <c r="D465" s="13" t="s">
        <v>579</v>
      </c>
      <c r="E465" s="13" t="s">
        <v>580</v>
      </c>
      <c r="F465" s="13" t="s">
        <v>303</v>
      </c>
      <c r="G465" s="13" t="s">
        <v>304</v>
      </c>
      <c r="H465" s="13" t="s">
        <v>81</v>
      </c>
      <c r="I465" s="13" t="s">
        <v>430</v>
      </c>
      <c r="J465" s="13" t="s">
        <v>577</v>
      </c>
    </row>
    <row r="466" spans="1:10" ht="25.5">
      <c r="A466" s="13" t="s">
        <v>49</v>
      </c>
      <c r="B466" s="13" t="s">
        <v>50</v>
      </c>
      <c r="C466" s="13" t="s">
        <v>379</v>
      </c>
      <c r="D466" s="13" t="s">
        <v>23</v>
      </c>
      <c r="E466" s="13" t="s">
        <v>576</v>
      </c>
      <c r="F466" s="13" t="s">
        <v>303</v>
      </c>
      <c r="G466" s="13" t="s">
        <v>306</v>
      </c>
      <c r="H466" s="13" t="s">
        <v>139</v>
      </c>
      <c r="I466" s="13" t="s">
        <v>379</v>
      </c>
      <c r="J466" s="13" t="s">
        <v>577</v>
      </c>
    </row>
    <row r="467" spans="1:10" ht="25.5">
      <c r="A467" s="13" t="s">
        <v>49</v>
      </c>
      <c r="B467" s="13" t="s">
        <v>53</v>
      </c>
      <c r="C467" s="13" t="s">
        <v>382</v>
      </c>
      <c r="D467" s="13" t="s">
        <v>23</v>
      </c>
      <c r="E467" s="13" t="s">
        <v>576</v>
      </c>
      <c r="F467" s="13" t="s">
        <v>303</v>
      </c>
      <c r="G467" s="13" t="s">
        <v>306</v>
      </c>
      <c r="H467" s="13" t="s">
        <v>139</v>
      </c>
      <c r="I467" s="13" t="s">
        <v>382</v>
      </c>
      <c r="J467" s="13" t="s">
        <v>577</v>
      </c>
    </row>
    <row r="468" spans="1:10" ht="25.5">
      <c r="A468" s="13" t="s">
        <v>49</v>
      </c>
      <c r="B468" s="13" t="s">
        <v>58</v>
      </c>
      <c r="C468" s="13" t="s">
        <v>398</v>
      </c>
      <c r="D468" s="13" t="s">
        <v>23</v>
      </c>
      <c r="E468" s="13" t="s">
        <v>576</v>
      </c>
      <c r="F468" s="13" t="s">
        <v>303</v>
      </c>
      <c r="G468" s="13" t="s">
        <v>306</v>
      </c>
      <c r="H468" s="13" t="s">
        <v>139</v>
      </c>
      <c r="I468" s="13" t="s">
        <v>398</v>
      </c>
      <c r="J468" s="13" t="s">
        <v>577</v>
      </c>
    </row>
    <row r="469" spans="1:10" ht="25.5">
      <c r="A469" s="13" t="s">
        <v>59</v>
      </c>
      <c r="B469" s="13" t="s">
        <v>86</v>
      </c>
      <c r="C469" s="13" t="s">
        <v>86</v>
      </c>
      <c r="D469" s="13" t="s">
        <v>23</v>
      </c>
      <c r="E469" s="13" t="s">
        <v>576</v>
      </c>
      <c r="F469" s="13" t="s">
        <v>303</v>
      </c>
      <c r="G469" s="13" t="s">
        <v>306</v>
      </c>
      <c r="H469" s="13" t="s">
        <v>139</v>
      </c>
      <c r="I469" s="13" t="s">
        <v>86</v>
      </c>
      <c r="J469" s="13" t="s">
        <v>577</v>
      </c>
    </row>
    <row r="470" spans="1:10" ht="25.5">
      <c r="A470" s="13" t="s">
        <v>59</v>
      </c>
      <c r="B470" s="13" t="s">
        <v>90</v>
      </c>
      <c r="C470" s="13" t="s">
        <v>90</v>
      </c>
      <c r="D470" s="13" t="s">
        <v>23</v>
      </c>
      <c r="E470" s="13" t="s">
        <v>576</v>
      </c>
      <c r="F470" s="13" t="s">
        <v>303</v>
      </c>
      <c r="G470" s="13" t="s">
        <v>306</v>
      </c>
      <c r="H470" s="13" t="s">
        <v>139</v>
      </c>
      <c r="I470" s="13" t="s">
        <v>90</v>
      </c>
      <c r="J470" s="13" t="s">
        <v>577</v>
      </c>
    </row>
    <row r="471" spans="1:10" ht="25.5">
      <c r="A471" s="13" t="s">
        <v>59</v>
      </c>
      <c r="B471" s="13" t="s">
        <v>61</v>
      </c>
      <c r="C471" s="13" t="s">
        <v>404</v>
      </c>
      <c r="D471" s="13" t="s">
        <v>579</v>
      </c>
      <c r="E471" s="13" t="s">
        <v>580</v>
      </c>
      <c r="F471" s="13" t="s">
        <v>303</v>
      </c>
      <c r="G471" s="13" t="s">
        <v>306</v>
      </c>
      <c r="H471" s="13" t="s">
        <v>139</v>
      </c>
      <c r="I471" s="13" t="s">
        <v>404</v>
      </c>
      <c r="J471" s="13" t="s">
        <v>577</v>
      </c>
    </row>
    <row r="472" spans="1:10" ht="25.5">
      <c r="A472" s="13" t="s">
        <v>98</v>
      </c>
      <c r="B472" s="13" t="s">
        <v>101</v>
      </c>
      <c r="C472" s="13" t="s">
        <v>469</v>
      </c>
      <c r="D472" s="13" t="s">
        <v>579</v>
      </c>
      <c r="E472" s="13" t="s">
        <v>581</v>
      </c>
      <c r="F472" s="13" t="s">
        <v>303</v>
      </c>
      <c r="G472" s="13" t="s">
        <v>306</v>
      </c>
      <c r="H472" s="13" t="s">
        <v>139</v>
      </c>
      <c r="I472" s="13" t="s">
        <v>469</v>
      </c>
      <c r="J472" s="13" t="s">
        <v>577</v>
      </c>
    </row>
    <row r="473" spans="1:10" ht="25.5">
      <c r="A473" s="13" t="s">
        <v>98</v>
      </c>
      <c r="B473" s="13" t="s">
        <v>99</v>
      </c>
      <c r="C473" s="13" t="s">
        <v>462</v>
      </c>
      <c r="D473" s="13" t="s">
        <v>579</v>
      </c>
      <c r="E473" s="13" t="s">
        <v>581</v>
      </c>
      <c r="F473" s="13" t="s">
        <v>303</v>
      </c>
      <c r="G473" s="13" t="s">
        <v>306</v>
      </c>
      <c r="H473" s="13" t="s">
        <v>139</v>
      </c>
      <c r="I473" s="13" t="s">
        <v>462</v>
      </c>
      <c r="J473" s="13" t="s">
        <v>577</v>
      </c>
    </row>
    <row r="474" spans="1:10" ht="25.5">
      <c r="A474" s="13" t="s">
        <v>104</v>
      </c>
      <c r="B474" s="13" t="s">
        <v>109</v>
      </c>
      <c r="C474" s="13" t="s">
        <v>486</v>
      </c>
      <c r="D474" s="13" t="s">
        <v>579</v>
      </c>
      <c r="E474" s="13" t="s">
        <v>581</v>
      </c>
      <c r="F474" s="13" t="s">
        <v>303</v>
      </c>
      <c r="G474" s="13" t="s">
        <v>306</v>
      </c>
      <c r="H474" s="13" t="s">
        <v>139</v>
      </c>
      <c r="I474" s="13" t="s">
        <v>486</v>
      </c>
      <c r="J474" s="13" t="s">
        <v>577</v>
      </c>
    </row>
    <row r="475" spans="1:10" ht="25.5">
      <c r="A475" s="13" t="s">
        <v>49</v>
      </c>
      <c r="B475" s="13" t="s">
        <v>50</v>
      </c>
      <c r="C475" s="13" t="s">
        <v>379</v>
      </c>
      <c r="D475" s="13" t="s">
        <v>23</v>
      </c>
      <c r="E475" s="13" t="s">
        <v>576</v>
      </c>
      <c r="F475" s="13" t="s">
        <v>303</v>
      </c>
      <c r="G475" s="13" t="s">
        <v>309</v>
      </c>
      <c r="H475" s="13" t="s">
        <v>139</v>
      </c>
      <c r="I475" s="13" t="s">
        <v>379</v>
      </c>
      <c r="J475" s="13" t="s">
        <v>577</v>
      </c>
    </row>
    <row r="476" spans="1:10" ht="25.5">
      <c r="A476" s="13" t="s">
        <v>49</v>
      </c>
      <c r="B476" s="13" t="s">
        <v>53</v>
      </c>
      <c r="C476" s="13" t="s">
        <v>382</v>
      </c>
      <c r="D476" s="13" t="s">
        <v>23</v>
      </c>
      <c r="E476" s="13" t="s">
        <v>576</v>
      </c>
      <c r="F476" s="13" t="s">
        <v>303</v>
      </c>
      <c r="G476" s="13" t="s">
        <v>309</v>
      </c>
      <c r="H476" s="13" t="s">
        <v>139</v>
      </c>
      <c r="I476" s="13" t="s">
        <v>382</v>
      </c>
      <c r="J476" s="13" t="s">
        <v>577</v>
      </c>
    </row>
    <row r="477" spans="1:10" ht="25.5">
      <c r="A477" s="13" t="s">
        <v>49</v>
      </c>
      <c r="B477" s="13" t="s">
        <v>58</v>
      </c>
      <c r="C477" s="13" t="s">
        <v>398</v>
      </c>
      <c r="D477" s="13" t="s">
        <v>23</v>
      </c>
      <c r="E477" s="13" t="s">
        <v>576</v>
      </c>
      <c r="F477" s="13" t="s">
        <v>303</v>
      </c>
      <c r="G477" s="13" t="s">
        <v>309</v>
      </c>
      <c r="H477" s="13" t="s">
        <v>139</v>
      </c>
      <c r="I477" s="13" t="s">
        <v>398</v>
      </c>
      <c r="J477" s="13" t="s">
        <v>577</v>
      </c>
    </row>
    <row r="478" spans="1:10" ht="25.5">
      <c r="A478" s="13" t="s">
        <v>59</v>
      </c>
      <c r="B478" s="13" t="s">
        <v>86</v>
      </c>
      <c r="C478" s="13" t="s">
        <v>86</v>
      </c>
      <c r="D478" s="13" t="s">
        <v>23</v>
      </c>
      <c r="E478" s="13" t="s">
        <v>576</v>
      </c>
      <c r="F478" s="13" t="s">
        <v>303</v>
      </c>
      <c r="G478" s="13" t="s">
        <v>309</v>
      </c>
      <c r="H478" s="13" t="s">
        <v>139</v>
      </c>
      <c r="I478" s="13" t="s">
        <v>86</v>
      </c>
      <c r="J478" s="13" t="s">
        <v>577</v>
      </c>
    </row>
    <row r="479" spans="1:10" ht="25.5">
      <c r="A479" s="13" t="s">
        <v>59</v>
      </c>
      <c r="B479" s="13" t="s">
        <v>90</v>
      </c>
      <c r="C479" s="13" t="s">
        <v>90</v>
      </c>
      <c r="D479" s="13" t="s">
        <v>23</v>
      </c>
      <c r="E479" s="13" t="s">
        <v>576</v>
      </c>
      <c r="F479" s="13" t="s">
        <v>303</v>
      </c>
      <c r="G479" s="13" t="s">
        <v>309</v>
      </c>
      <c r="H479" s="13" t="s">
        <v>139</v>
      </c>
      <c r="I479" s="13" t="s">
        <v>90</v>
      </c>
      <c r="J479" s="13" t="s">
        <v>577</v>
      </c>
    </row>
    <row r="480" spans="1:10" ht="25.5">
      <c r="A480" s="13" t="s">
        <v>59</v>
      </c>
      <c r="B480" s="13" t="s">
        <v>60</v>
      </c>
      <c r="C480" s="13" t="s">
        <v>401</v>
      </c>
      <c r="D480" s="13" t="s">
        <v>579</v>
      </c>
      <c r="E480" s="13" t="s">
        <v>580</v>
      </c>
      <c r="F480" s="13" t="s">
        <v>303</v>
      </c>
      <c r="G480" s="13" t="s">
        <v>309</v>
      </c>
      <c r="H480" s="13" t="s">
        <v>139</v>
      </c>
      <c r="I480" s="13" t="s">
        <v>401</v>
      </c>
      <c r="J480" s="13" t="s">
        <v>577</v>
      </c>
    </row>
    <row r="481" spans="1:10" ht="25.5">
      <c r="A481" s="13" t="s">
        <v>49</v>
      </c>
      <c r="B481" s="13" t="s">
        <v>57</v>
      </c>
      <c r="C481" s="13" t="s">
        <v>57</v>
      </c>
      <c r="D481" s="13" t="s">
        <v>579</v>
      </c>
      <c r="E481" s="13" t="s">
        <v>580</v>
      </c>
      <c r="F481" s="13" t="s">
        <v>303</v>
      </c>
      <c r="G481" s="13" t="s">
        <v>309</v>
      </c>
      <c r="H481" s="13" t="s">
        <v>139</v>
      </c>
      <c r="I481" s="13" t="s">
        <v>57</v>
      </c>
      <c r="J481" s="13" t="s">
        <v>577</v>
      </c>
    </row>
    <row r="482" spans="1:10" ht="25.5">
      <c r="A482" s="13" t="s">
        <v>104</v>
      </c>
      <c r="B482" s="13" t="s">
        <v>106</v>
      </c>
      <c r="C482" s="13" t="s">
        <v>477</v>
      </c>
      <c r="D482" s="13" t="s">
        <v>579</v>
      </c>
      <c r="E482" s="13" t="s">
        <v>581</v>
      </c>
      <c r="F482" s="13" t="s">
        <v>303</v>
      </c>
      <c r="G482" s="13" t="s">
        <v>309</v>
      </c>
      <c r="H482" s="13" t="s">
        <v>139</v>
      </c>
      <c r="I482" s="13" t="s">
        <v>477</v>
      </c>
      <c r="J482" s="13" t="s">
        <v>577</v>
      </c>
    </row>
    <row r="483" spans="1:10" ht="25.5">
      <c r="A483" s="13" t="s">
        <v>104</v>
      </c>
      <c r="B483" s="13" t="s">
        <v>107</v>
      </c>
      <c r="C483" s="13" t="s">
        <v>480</v>
      </c>
      <c r="D483" s="13" t="s">
        <v>579</v>
      </c>
      <c r="E483" s="13" t="s">
        <v>581</v>
      </c>
      <c r="F483" s="13" t="s">
        <v>303</v>
      </c>
      <c r="G483" s="13" t="s">
        <v>309</v>
      </c>
      <c r="H483" s="13" t="s">
        <v>139</v>
      </c>
      <c r="I483" s="13" t="s">
        <v>480</v>
      </c>
      <c r="J483" s="13" t="s">
        <v>577</v>
      </c>
    </row>
    <row r="484" spans="1:10" ht="25.5">
      <c r="A484" s="13" t="s">
        <v>36</v>
      </c>
      <c r="B484" s="13" t="s">
        <v>42</v>
      </c>
      <c r="C484" s="13" t="s">
        <v>360</v>
      </c>
      <c r="D484" s="13" t="s">
        <v>23</v>
      </c>
      <c r="E484" s="13" t="s">
        <v>576</v>
      </c>
      <c r="F484" s="13" t="s">
        <v>312</v>
      </c>
      <c r="G484" s="13" t="s">
        <v>313</v>
      </c>
      <c r="H484" s="13" t="s">
        <v>139</v>
      </c>
      <c r="I484" s="13" t="s">
        <v>360</v>
      </c>
      <c r="J484" s="13" t="s">
        <v>577</v>
      </c>
    </row>
    <row r="485" spans="1:10" ht="25.5">
      <c r="A485" s="13" t="s">
        <v>49</v>
      </c>
      <c r="B485" s="13" t="s">
        <v>54</v>
      </c>
      <c r="C485" s="13" t="s">
        <v>385</v>
      </c>
      <c r="D485" s="13" t="s">
        <v>23</v>
      </c>
      <c r="E485" s="13" t="s">
        <v>576</v>
      </c>
      <c r="F485" s="13" t="s">
        <v>312</v>
      </c>
      <c r="G485" s="13" t="s">
        <v>313</v>
      </c>
      <c r="H485" s="13" t="s">
        <v>139</v>
      </c>
      <c r="I485" s="13" t="s">
        <v>385</v>
      </c>
      <c r="J485" s="13" t="s">
        <v>577</v>
      </c>
    </row>
    <row r="486" spans="1:10" ht="25.5">
      <c r="A486" s="13" t="s">
        <v>59</v>
      </c>
      <c r="B486" s="13" t="s">
        <v>63</v>
      </c>
      <c r="C486" s="13" t="s">
        <v>410</v>
      </c>
      <c r="D486" s="13" t="s">
        <v>23</v>
      </c>
      <c r="E486" s="13" t="s">
        <v>583</v>
      </c>
      <c r="F486" s="13" t="s">
        <v>312</v>
      </c>
      <c r="G486" s="13" t="s">
        <v>313</v>
      </c>
      <c r="H486" s="13" t="s">
        <v>139</v>
      </c>
      <c r="I486" s="13" t="s">
        <v>410</v>
      </c>
      <c r="J486" s="13" t="s">
        <v>577</v>
      </c>
    </row>
    <row r="487" spans="1:10" ht="25.5">
      <c r="A487" s="13" t="s">
        <v>59</v>
      </c>
      <c r="B487" s="13" t="s">
        <v>61</v>
      </c>
      <c r="C487" s="13" t="s">
        <v>404</v>
      </c>
      <c r="D487" s="13" t="s">
        <v>579</v>
      </c>
      <c r="E487" s="13" t="s">
        <v>580</v>
      </c>
      <c r="F487" s="13" t="s">
        <v>312</v>
      </c>
      <c r="G487" s="13" t="s">
        <v>313</v>
      </c>
      <c r="H487" s="13" t="s">
        <v>139</v>
      </c>
      <c r="I487" s="13" t="s">
        <v>404</v>
      </c>
      <c r="J487" s="13" t="s">
        <v>577</v>
      </c>
    </row>
    <row r="488" spans="1:10" ht="25.5">
      <c r="A488" s="13" t="s">
        <v>104</v>
      </c>
      <c r="B488" s="13" t="s">
        <v>108</v>
      </c>
      <c r="C488" s="13" t="s">
        <v>483</v>
      </c>
      <c r="D488" s="13" t="s">
        <v>579</v>
      </c>
      <c r="E488" s="13" t="s">
        <v>581</v>
      </c>
      <c r="F488" s="13" t="s">
        <v>312</v>
      </c>
      <c r="G488" s="13" t="s">
        <v>313</v>
      </c>
      <c r="H488" s="13" t="s">
        <v>139</v>
      </c>
      <c r="I488" s="13" t="s">
        <v>483</v>
      </c>
      <c r="J488" s="13" t="s">
        <v>577</v>
      </c>
    </row>
    <row r="489" spans="1:10" ht="25.5">
      <c r="A489" s="13" t="s">
        <v>94</v>
      </c>
      <c r="B489" s="13" t="s">
        <v>97</v>
      </c>
      <c r="C489" s="13" t="s">
        <v>459</v>
      </c>
      <c r="D489" s="13" t="s">
        <v>579</v>
      </c>
      <c r="E489" s="13" t="s">
        <v>581</v>
      </c>
      <c r="F489" s="13" t="s">
        <v>312</v>
      </c>
      <c r="G489" s="13" t="s">
        <v>313</v>
      </c>
      <c r="H489" s="13" t="s">
        <v>139</v>
      </c>
      <c r="I489" s="13" t="s">
        <v>459</v>
      </c>
      <c r="J489" s="13" t="s">
        <v>577</v>
      </c>
    </row>
    <row r="490" spans="1:10" ht="25.5">
      <c r="A490" s="13" t="s">
        <v>104</v>
      </c>
      <c r="B490" s="13" t="s">
        <v>105</v>
      </c>
      <c r="C490" s="13" t="s">
        <v>105</v>
      </c>
      <c r="D490" s="13" t="s">
        <v>579</v>
      </c>
      <c r="E490" s="13" t="s">
        <v>581</v>
      </c>
      <c r="F490" s="13" t="s">
        <v>312</v>
      </c>
      <c r="G490" s="13" t="s">
        <v>313</v>
      </c>
      <c r="H490" s="13" t="s">
        <v>139</v>
      </c>
      <c r="I490" s="13" t="s">
        <v>105</v>
      </c>
      <c r="J490" s="13" t="s">
        <v>577</v>
      </c>
    </row>
    <row r="491" spans="1:10" ht="25.5">
      <c r="A491" s="13" t="s">
        <v>104</v>
      </c>
      <c r="B491" s="13" t="s">
        <v>106</v>
      </c>
      <c r="C491" s="13" t="s">
        <v>477</v>
      </c>
      <c r="D491" s="13" t="s">
        <v>579</v>
      </c>
      <c r="E491" s="13" t="s">
        <v>581</v>
      </c>
      <c r="F491" s="13" t="s">
        <v>312</v>
      </c>
      <c r="G491" s="13" t="s">
        <v>313</v>
      </c>
      <c r="H491" s="13" t="s">
        <v>139</v>
      </c>
      <c r="I491" s="13" t="s">
        <v>477</v>
      </c>
      <c r="J491" s="13" t="s">
        <v>577</v>
      </c>
    </row>
    <row r="492" spans="1:10" ht="25.5">
      <c r="A492" s="13" t="s">
        <v>36</v>
      </c>
      <c r="B492" s="13" t="s">
        <v>42</v>
      </c>
      <c r="C492" s="13" t="s">
        <v>360</v>
      </c>
      <c r="D492" s="13" t="s">
        <v>23</v>
      </c>
      <c r="E492" s="13" t="s">
        <v>576</v>
      </c>
      <c r="F492" s="13" t="s">
        <v>312</v>
      </c>
      <c r="G492" s="13" t="s">
        <v>316</v>
      </c>
      <c r="H492" s="13" t="s">
        <v>139</v>
      </c>
      <c r="I492" s="13" t="s">
        <v>360</v>
      </c>
      <c r="J492" s="13" t="s">
        <v>577</v>
      </c>
    </row>
    <row r="493" spans="1:10" ht="25.5">
      <c r="A493" s="13" t="s">
        <v>49</v>
      </c>
      <c r="B493" s="13" t="s">
        <v>54</v>
      </c>
      <c r="C493" s="13" t="s">
        <v>385</v>
      </c>
      <c r="D493" s="13" t="s">
        <v>23</v>
      </c>
      <c r="E493" s="13" t="s">
        <v>576</v>
      </c>
      <c r="F493" s="13" t="s">
        <v>312</v>
      </c>
      <c r="G493" s="13" t="s">
        <v>316</v>
      </c>
      <c r="H493" s="13" t="s">
        <v>139</v>
      </c>
      <c r="I493" s="13" t="s">
        <v>385</v>
      </c>
      <c r="J493" s="13" t="s">
        <v>577</v>
      </c>
    </row>
    <row r="494" spans="1:10" ht="25.5">
      <c r="A494" s="13" t="s">
        <v>59</v>
      </c>
      <c r="B494" s="13" t="s">
        <v>63</v>
      </c>
      <c r="C494" s="13" t="s">
        <v>410</v>
      </c>
      <c r="D494" s="13" t="s">
        <v>23</v>
      </c>
      <c r="E494" s="13" t="s">
        <v>583</v>
      </c>
      <c r="F494" s="13" t="s">
        <v>312</v>
      </c>
      <c r="G494" s="13" t="s">
        <v>316</v>
      </c>
      <c r="H494" s="13" t="s">
        <v>139</v>
      </c>
      <c r="I494" s="13" t="s">
        <v>410</v>
      </c>
      <c r="J494" s="13" t="s">
        <v>577</v>
      </c>
    </row>
    <row r="495" spans="1:10" ht="25.5">
      <c r="A495" s="13" t="s">
        <v>49</v>
      </c>
      <c r="B495" s="13" t="s">
        <v>55</v>
      </c>
      <c r="C495" s="13" t="s">
        <v>389</v>
      </c>
      <c r="D495" s="13" t="s">
        <v>579</v>
      </c>
      <c r="E495" s="13" t="s">
        <v>580</v>
      </c>
      <c r="F495" s="13" t="s">
        <v>312</v>
      </c>
      <c r="G495" s="13" t="s">
        <v>316</v>
      </c>
      <c r="H495" s="13" t="s">
        <v>139</v>
      </c>
      <c r="I495" s="13" t="s">
        <v>389</v>
      </c>
      <c r="J495" s="13" t="s">
        <v>577</v>
      </c>
    </row>
    <row r="496" spans="1:10" ht="25.5">
      <c r="A496" s="13" t="s">
        <v>98</v>
      </c>
      <c r="B496" s="13" t="s">
        <v>99</v>
      </c>
      <c r="C496" s="13" t="s">
        <v>462</v>
      </c>
      <c r="D496" s="13" t="s">
        <v>579</v>
      </c>
      <c r="E496" s="13" t="s">
        <v>581</v>
      </c>
      <c r="F496" s="13" t="s">
        <v>312</v>
      </c>
      <c r="G496" s="13" t="s">
        <v>316</v>
      </c>
      <c r="H496" s="13" t="s">
        <v>139</v>
      </c>
      <c r="I496" s="13" t="s">
        <v>462</v>
      </c>
      <c r="J496" s="13" t="s">
        <v>577</v>
      </c>
    </row>
    <row r="497" spans="1:10" ht="25.5">
      <c r="A497" s="13" t="s">
        <v>104</v>
      </c>
      <c r="B497" s="13" t="s">
        <v>108</v>
      </c>
      <c r="C497" s="13" t="s">
        <v>483</v>
      </c>
      <c r="D497" s="13" t="s">
        <v>579</v>
      </c>
      <c r="E497" s="13" t="s">
        <v>581</v>
      </c>
      <c r="F497" s="13" t="s">
        <v>312</v>
      </c>
      <c r="G497" s="13" t="s">
        <v>316</v>
      </c>
      <c r="H497" s="13" t="s">
        <v>139</v>
      </c>
      <c r="I497" s="13" t="s">
        <v>483</v>
      </c>
      <c r="J497" s="13" t="s">
        <v>577</v>
      </c>
    </row>
    <row r="498" spans="1:10" ht="25.5">
      <c r="A498" s="13" t="s">
        <v>94</v>
      </c>
      <c r="B498" s="13" t="s">
        <v>97</v>
      </c>
      <c r="C498" s="13" t="s">
        <v>459</v>
      </c>
      <c r="D498" s="13" t="s">
        <v>579</v>
      </c>
      <c r="E498" s="13" t="s">
        <v>581</v>
      </c>
      <c r="F498" s="13" t="s">
        <v>312</v>
      </c>
      <c r="G498" s="13" t="s">
        <v>316</v>
      </c>
      <c r="H498" s="13" t="s">
        <v>139</v>
      </c>
      <c r="I498" s="13" t="s">
        <v>459</v>
      </c>
      <c r="J498" s="13" t="s">
        <v>577</v>
      </c>
    </row>
    <row r="499" spans="1:10" ht="25.5">
      <c r="A499" s="13" t="s">
        <v>104</v>
      </c>
      <c r="B499" s="13" t="s">
        <v>105</v>
      </c>
      <c r="C499" s="13" t="s">
        <v>105</v>
      </c>
      <c r="D499" s="13" t="s">
        <v>579</v>
      </c>
      <c r="E499" s="13" t="s">
        <v>581</v>
      </c>
      <c r="F499" s="13" t="s">
        <v>312</v>
      </c>
      <c r="G499" s="13" t="s">
        <v>316</v>
      </c>
      <c r="H499" s="13" t="s">
        <v>139</v>
      </c>
      <c r="I499" s="13" t="s">
        <v>105</v>
      </c>
      <c r="J499" s="13" t="s">
        <v>577</v>
      </c>
    </row>
    <row r="500" spans="1:10" ht="25.5">
      <c r="A500" s="13" t="s">
        <v>104</v>
      </c>
      <c r="B500" s="13" t="s">
        <v>106</v>
      </c>
      <c r="C500" s="13" t="s">
        <v>477</v>
      </c>
      <c r="D500" s="13" t="s">
        <v>579</v>
      </c>
      <c r="E500" s="13" t="s">
        <v>581</v>
      </c>
      <c r="F500" s="13" t="s">
        <v>312</v>
      </c>
      <c r="G500" s="13" t="s">
        <v>316</v>
      </c>
      <c r="H500" s="13" t="s">
        <v>139</v>
      </c>
      <c r="I500" s="13" t="s">
        <v>477</v>
      </c>
      <c r="J500" s="13" t="s">
        <v>577</v>
      </c>
    </row>
    <row r="501" spans="1:10" ht="25.5">
      <c r="A501" s="13" t="s">
        <v>36</v>
      </c>
      <c r="B501" s="13" t="s">
        <v>42</v>
      </c>
      <c r="C501" s="13" t="s">
        <v>360</v>
      </c>
      <c r="D501" s="13" t="s">
        <v>23</v>
      </c>
      <c r="E501" s="13" t="s">
        <v>576</v>
      </c>
      <c r="F501" s="13" t="s">
        <v>312</v>
      </c>
      <c r="G501" s="13" t="s">
        <v>319</v>
      </c>
      <c r="H501" s="13" t="s">
        <v>139</v>
      </c>
      <c r="I501" s="13" t="s">
        <v>360</v>
      </c>
      <c r="J501" s="13" t="s">
        <v>577</v>
      </c>
    </row>
    <row r="502" spans="1:10" ht="25.5">
      <c r="A502" s="13" t="s">
        <v>49</v>
      </c>
      <c r="B502" s="13" t="s">
        <v>54</v>
      </c>
      <c r="C502" s="13" t="s">
        <v>385</v>
      </c>
      <c r="D502" s="13" t="s">
        <v>23</v>
      </c>
      <c r="E502" s="13" t="s">
        <v>576</v>
      </c>
      <c r="F502" s="13" t="s">
        <v>312</v>
      </c>
      <c r="G502" s="13" t="s">
        <v>319</v>
      </c>
      <c r="H502" s="13" t="s">
        <v>139</v>
      </c>
      <c r="I502" s="13" t="s">
        <v>385</v>
      </c>
      <c r="J502" s="13" t="s">
        <v>577</v>
      </c>
    </row>
    <row r="503" spans="1:10" ht="25.5">
      <c r="A503" s="13" t="s">
        <v>59</v>
      </c>
      <c r="B503" s="13" t="s">
        <v>63</v>
      </c>
      <c r="C503" s="13" t="s">
        <v>410</v>
      </c>
      <c r="D503" s="13" t="s">
        <v>23</v>
      </c>
      <c r="E503" s="13" t="s">
        <v>583</v>
      </c>
      <c r="F503" s="13" t="s">
        <v>312</v>
      </c>
      <c r="G503" s="13" t="s">
        <v>319</v>
      </c>
      <c r="H503" s="13" t="s">
        <v>139</v>
      </c>
      <c r="I503" s="13" t="s">
        <v>410</v>
      </c>
      <c r="J503" s="13" t="s">
        <v>577</v>
      </c>
    </row>
    <row r="504" spans="1:10" ht="25.5">
      <c r="A504" s="13" t="s">
        <v>59</v>
      </c>
      <c r="B504" s="13" t="s">
        <v>60</v>
      </c>
      <c r="C504" s="13" t="s">
        <v>401</v>
      </c>
      <c r="D504" s="13" t="s">
        <v>579</v>
      </c>
      <c r="E504" s="13" t="s">
        <v>580</v>
      </c>
      <c r="F504" s="13" t="s">
        <v>312</v>
      </c>
      <c r="G504" s="13" t="s">
        <v>319</v>
      </c>
      <c r="H504" s="13" t="s">
        <v>139</v>
      </c>
      <c r="I504" s="13" t="s">
        <v>401</v>
      </c>
      <c r="J504" s="13" t="s">
        <v>577</v>
      </c>
    </row>
    <row r="505" spans="1:10" ht="25.5">
      <c r="A505" s="13" t="s">
        <v>98</v>
      </c>
      <c r="B505" s="13" t="s">
        <v>100</v>
      </c>
      <c r="C505" s="13" t="s">
        <v>466</v>
      </c>
      <c r="D505" s="13" t="s">
        <v>579</v>
      </c>
      <c r="E505" s="13" t="s">
        <v>580</v>
      </c>
      <c r="F505" s="13" t="s">
        <v>312</v>
      </c>
      <c r="G505" s="13" t="s">
        <v>319</v>
      </c>
      <c r="H505" s="13" t="s">
        <v>139</v>
      </c>
      <c r="I505" s="13" t="s">
        <v>466</v>
      </c>
      <c r="J505" s="13" t="s">
        <v>577</v>
      </c>
    </row>
    <row r="506" spans="1:10" ht="25.5">
      <c r="A506" s="13" t="s">
        <v>104</v>
      </c>
      <c r="B506" s="13" t="s">
        <v>108</v>
      </c>
      <c r="C506" s="13" t="s">
        <v>483</v>
      </c>
      <c r="D506" s="13" t="s">
        <v>579</v>
      </c>
      <c r="E506" s="13" t="s">
        <v>581</v>
      </c>
      <c r="F506" s="13" t="s">
        <v>312</v>
      </c>
      <c r="G506" s="13" t="s">
        <v>319</v>
      </c>
      <c r="H506" s="13" t="s">
        <v>139</v>
      </c>
      <c r="I506" s="13" t="s">
        <v>483</v>
      </c>
      <c r="J506" s="13" t="s">
        <v>577</v>
      </c>
    </row>
    <row r="507" spans="1:10" ht="25.5">
      <c r="A507" s="13" t="s">
        <v>94</v>
      </c>
      <c r="B507" s="13" t="s">
        <v>97</v>
      </c>
      <c r="C507" s="13" t="s">
        <v>459</v>
      </c>
      <c r="D507" s="13" t="s">
        <v>579</v>
      </c>
      <c r="E507" s="13" t="s">
        <v>581</v>
      </c>
      <c r="F507" s="13" t="s">
        <v>312</v>
      </c>
      <c r="G507" s="13" t="s">
        <v>319</v>
      </c>
      <c r="H507" s="13" t="s">
        <v>139</v>
      </c>
      <c r="I507" s="13" t="s">
        <v>459</v>
      </c>
      <c r="J507" s="13" t="s">
        <v>577</v>
      </c>
    </row>
    <row r="508" spans="1:10" ht="25.5">
      <c r="A508" s="13" t="s">
        <v>104</v>
      </c>
      <c r="B508" s="13" t="s">
        <v>105</v>
      </c>
      <c r="C508" s="13" t="s">
        <v>105</v>
      </c>
      <c r="D508" s="13" t="s">
        <v>579</v>
      </c>
      <c r="E508" s="13" t="s">
        <v>581</v>
      </c>
      <c r="F508" s="13" t="s">
        <v>312</v>
      </c>
      <c r="G508" s="13" t="s">
        <v>319</v>
      </c>
      <c r="H508" s="13" t="s">
        <v>139</v>
      </c>
      <c r="I508" s="13" t="s">
        <v>105</v>
      </c>
      <c r="J508" s="13" t="s">
        <v>577</v>
      </c>
    </row>
    <row r="509" spans="1:10" ht="25.5">
      <c r="A509" s="13" t="s">
        <v>104</v>
      </c>
      <c r="B509" s="13" t="s">
        <v>106</v>
      </c>
      <c r="C509" s="13" t="s">
        <v>477</v>
      </c>
      <c r="D509" s="13" t="s">
        <v>579</v>
      </c>
      <c r="E509" s="13" t="s">
        <v>581</v>
      </c>
      <c r="F509" s="13" t="s">
        <v>312</v>
      </c>
      <c r="G509" s="13" t="s">
        <v>319</v>
      </c>
      <c r="H509" s="13" t="s">
        <v>139</v>
      </c>
      <c r="I509" s="13" t="s">
        <v>477</v>
      </c>
      <c r="J509" s="13" t="s">
        <v>577</v>
      </c>
    </row>
    <row r="510" spans="1:10" ht="25.5">
      <c r="A510" s="13" t="s">
        <v>36</v>
      </c>
      <c r="B510" s="13" t="s">
        <v>38</v>
      </c>
      <c r="C510" s="13" t="s">
        <v>356</v>
      </c>
      <c r="D510" s="13" t="s">
        <v>23</v>
      </c>
      <c r="E510" s="13" t="s">
        <v>576</v>
      </c>
      <c r="F510" s="13" t="s">
        <v>322</v>
      </c>
      <c r="G510" s="13" t="s">
        <v>323</v>
      </c>
      <c r="H510" s="13" t="s">
        <v>135</v>
      </c>
      <c r="I510" s="13" t="s">
        <v>356</v>
      </c>
      <c r="J510" s="13" t="s">
        <v>577</v>
      </c>
    </row>
    <row r="511" spans="1:10" ht="25.5">
      <c r="A511" s="13" t="s">
        <v>36</v>
      </c>
      <c r="B511" s="13" t="s">
        <v>44</v>
      </c>
      <c r="C511" s="13" t="s">
        <v>366</v>
      </c>
      <c r="D511" s="13" t="s">
        <v>23</v>
      </c>
      <c r="E511" s="13" t="s">
        <v>576</v>
      </c>
      <c r="F511" s="13" t="s">
        <v>322</v>
      </c>
      <c r="G511" s="13" t="s">
        <v>323</v>
      </c>
      <c r="H511" s="13" t="s">
        <v>135</v>
      </c>
      <c r="I511" s="13" t="s">
        <v>366</v>
      </c>
      <c r="J511" s="13" t="s">
        <v>577</v>
      </c>
    </row>
    <row r="512" spans="1:10" ht="25.5">
      <c r="A512" s="13" t="s">
        <v>49</v>
      </c>
      <c r="B512" s="13" t="s">
        <v>53</v>
      </c>
      <c r="C512" s="13" t="s">
        <v>382</v>
      </c>
      <c r="D512" s="13" t="s">
        <v>23</v>
      </c>
      <c r="E512" s="13" t="s">
        <v>576</v>
      </c>
      <c r="F512" s="13" t="s">
        <v>322</v>
      </c>
      <c r="G512" s="13" t="s">
        <v>323</v>
      </c>
      <c r="H512" s="13" t="s">
        <v>135</v>
      </c>
      <c r="I512" s="13" t="s">
        <v>382</v>
      </c>
      <c r="J512" s="13" t="s">
        <v>577</v>
      </c>
    </row>
    <row r="513" spans="1:10" ht="25.5">
      <c r="A513" s="13" t="s">
        <v>59</v>
      </c>
      <c r="B513" s="13" t="s">
        <v>63</v>
      </c>
      <c r="C513" s="13" t="s">
        <v>410</v>
      </c>
      <c r="D513" s="13" t="s">
        <v>23</v>
      </c>
      <c r="E513" s="13" t="s">
        <v>583</v>
      </c>
      <c r="F513" s="13" t="s">
        <v>322</v>
      </c>
      <c r="G513" s="13" t="s">
        <v>323</v>
      </c>
      <c r="H513" s="13" t="s">
        <v>135</v>
      </c>
      <c r="I513" s="13" t="s">
        <v>410</v>
      </c>
      <c r="J513" s="13" t="s">
        <v>577</v>
      </c>
    </row>
    <row r="514" spans="1:10" ht="25.5">
      <c r="A514" s="13" t="s">
        <v>98</v>
      </c>
      <c r="B514" s="13" t="s">
        <v>100</v>
      </c>
      <c r="C514" s="13" t="s">
        <v>466</v>
      </c>
      <c r="D514" s="13" t="s">
        <v>579</v>
      </c>
      <c r="E514" s="13" t="s">
        <v>580</v>
      </c>
      <c r="F514" s="13" t="s">
        <v>322</v>
      </c>
      <c r="G514" s="13" t="s">
        <v>323</v>
      </c>
      <c r="H514" s="13" t="s">
        <v>135</v>
      </c>
      <c r="I514" s="13" t="s">
        <v>466</v>
      </c>
      <c r="J514" s="13" t="s">
        <v>577</v>
      </c>
    </row>
    <row r="515" spans="1:10" ht="25.5">
      <c r="A515" s="13" t="s">
        <v>104</v>
      </c>
      <c r="B515" s="13" t="s">
        <v>109</v>
      </c>
      <c r="C515" s="13" t="s">
        <v>486</v>
      </c>
      <c r="D515" s="13" t="s">
        <v>579</v>
      </c>
      <c r="E515" s="13" t="s">
        <v>580</v>
      </c>
      <c r="F515" s="13" t="s">
        <v>322</v>
      </c>
      <c r="G515" s="13" t="s">
        <v>323</v>
      </c>
      <c r="H515" s="13" t="s">
        <v>135</v>
      </c>
      <c r="I515" s="13" t="s">
        <v>486</v>
      </c>
      <c r="J515" s="13" t="s">
        <v>577</v>
      </c>
    </row>
    <row r="516" spans="1:10" ht="25.5">
      <c r="A516" s="13" t="s">
        <v>98</v>
      </c>
      <c r="B516" s="13" t="s">
        <v>99</v>
      </c>
      <c r="C516" s="13" t="s">
        <v>462</v>
      </c>
      <c r="D516" s="13" t="s">
        <v>579</v>
      </c>
      <c r="E516" s="13" t="s">
        <v>581</v>
      </c>
      <c r="F516" s="13" t="s">
        <v>322</v>
      </c>
      <c r="G516" s="13" t="s">
        <v>323</v>
      </c>
      <c r="H516" s="13" t="s">
        <v>135</v>
      </c>
      <c r="I516" s="13" t="s">
        <v>462</v>
      </c>
      <c r="J516" s="13" t="s">
        <v>577</v>
      </c>
    </row>
    <row r="517" spans="1:10" ht="25.5">
      <c r="A517" s="13" t="s">
        <v>36</v>
      </c>
      <c r="B517" s="13" t="s">
        <v>38</v>
      </c>
      <c r="C517" s="13" t="s">
        <v>356</v>
      </c>
      <c r="D517" s="13" t="s">
        <v>23</v>
      </c>
      <c r="E517" s="13" t="s">
        <v>576</v>
      </c>
      <c r="F517" s="13" t="s">
        <v>322</v>
      </c>
      <c r="G517" s="13" t="s">
        <v>326</v>
      </c>
      <c r="H517" s="13" t="s">
        <v>81</v>
      </c>
      <c r="I517" s="13" t="s">
        <v>356</v>
      </c>
      <c r="J517" s="13" t="s">
        <v>577</v>
      </c>
    </row>
    <row r="518" spans="1:10" ht="25.5">
      <c r="A518" s="13" t="s">
        <v>36</v>
      </c>
      <c r="B518" s="13" t="s">
        <v>44</v>
      </c>
      <c r="C518" s="13" t="s">
        <v>366</v>
      </c>
      <c r="D518" s="13" t="s">
        <v>23</v>
      </c>
      <c r="E518" s="13" t="s">
        <v>576</v>
      </c>
      <c r="F518" s="13" t="s">
        <v>322</v>
      </c>
      <c r="G518" s="13" t="s">
        <v>326</v>
      </c>
      <c r="H518" s="13" t="s">
        <v>81</v>
      </c>
      <c r="I518" s="13" t="s">
        <v>366</v>
      </c>
      <c r="J518" s="13" t="s">
        <v>577</v>
      </c>
    </row>
    <row r="519" spans="1:10" ht="25.5">
      <c r="A519" s="13" t="s">
        <v>49</v>
      </c>
      <c r="B519" s="13" t="s">
        <v>53</v>
      </c>
      <c r="C519" s="13" t="s">
        <v>382</v>
      </c>
      <c r="D519" s="13" t="s">
        <v>23</v>
      </c>
      <c r="E519" s="13" t="s">
        <v>576</v>
      </c>
      <c r="F519" s="13" t="s">
        <v>322</v>
      </c>
      <c r="G519" s="13" t="s">
        <v>326</v>
      </c>
      <c r="H519" s="13" t="s">
        <v>81</v>
      </c>
      <c r="I519" s="13" t="s">
        <v>382</v>
      </c>
      <c r="J519" s="13" t="s">
        <v>577</v>
      </c>
    </row>
    <row r="520" spans="1:10" ht="25.5">
      <c r="A520" s="13" t="s">
        <v>59</v>
      </c>
      <c r="B520" s="13" t="s">
        <v>63</v>
      </c>
      <c r="C520" s="13" t="s">
        <v>410</v>
      </c>
      <c r="D520" s="13" t="s">
        <v>23</v>
      </c>
      <c r="E520" s="13" t="s">
        <v>583</v>
      </c>
      <c r="F520" s="13" t="s">
        <v>322</v>
      </c>
      <c r="G520" s="13" t="s">
        <v>326</v>
      </c>
      <c r="H520" s="13" t="s">
        <v>81</v>
      </c>
      <c r="I520" s="13" t="s">
        <v>410</v>
      </c>
      <c r="J520" s="13" t="s">
        <v>577</v>
      </c>
    </row>
    <row r="521" spans="1:10" ht="25.5">
      <c r="A521" s="13" t="s">
        <v>59</v>
      </c>
      <c r="B521" s="13" t="s">
        <v>80</v>
      </c>
      <c r="C521" s="13" t="s">
        <v>434</v>
      </c>
      <c r="D521" s="13" t="s">
        <v>579</v>
      </c>
      <c r="E521" s="13" t="s">
        <v>580</v>
      </c>
      <c r="F521" s="13" t="s">
        <v>322</v>
      </c>
      <c r="G521" s="13" t="s">
        <v>326</v>
      </c>
      <c r="H521" s="13" t="s">
        <v>81</v>
      </c>
      <c r="I521" s="13" t="s">
        <v>434</v>
      </c>
      <c r="J521" s="13" t="s">
        <v>577</v>
      </c>
    </row>
    <row r="522" spans="1:10" ht="25.5">
      <c r="A522" s="13" t="s">
        <v>49</v>
      </c>
      <c r="B522" s="13" t="s">
        <v>57</v>
      </c>
      <c r="C522" s="13" t="s">
        <v>57</v>
      </c>
      <c r="D522" s="13" t="s">
        <v>579</v>
      </c>
      <c r="E522" s="13" t="s">
        <v>580</v>
      </c>
      <c r="F522" s="13" t="s">
        <v>322</v>
      </c>
      <c r="G522" s="13" t="s">
        <v>326</v>
      </c>
      <c r="H522" s="13" t="s">
        <v>81</v>
      </c>
      <c r="I522" s="13" t="s">
        <v>57</v>
      </c>
      <c r="J522" s="13" t="s">
        <v>577</v>
      </c>
    </row>
    <row r="523" spans="1:10" ht="25.5">
      <c r="A523" s="13" t="s">
        <v>104</v>
      </c>
      <c r="B523" s="13" t="s">
        <v>109</v>
      </c>
      <c r="C523" s="13" t="s">
        <v>486</v>
      </c>
      <c r="D523" s="13" t="s">
        <v>579</v>
      </c>
      <c r="E523" s="13" t="s">
        <v>581</v>
      </c>
      <c r="F523" s="13" t="s">
        <v>322</v>
      </c>
      <c r="G523" s="13" t="s">
        <v>326</v>
      </c>
      <c r="H523" s="13" t="s">
        <v>81</v>
      </c>
      <c r="I523" s="13" t="s">
        <v>486</v>
      </c>
      <c r="J523" s="13" t="s">
        <v>577</v>
      </c>
    </row>
    <row r="524" spans="1:10" ht="25.5">
      <c r="A524" s="13" t="s">
        <v>36</v>
      </c>
      <c r="B524" s="13" t="s">
        <v>38</v>
      </c>
      <c r="C524" s="13" t="s">
        <v>356</v>
      </c>
      <c r="D524" s="13" t="s">
        <v>23</v>
      </c>
      <c r="E524" s="13" t="s">
        <v>576</v>
      </c>
      <c r="F524" s="13" t="s">
        <v>322</v>
      </c>
      <c r="G524" s="13" t="s">
        <v>328</v>
      </c>
      <c r="H524" s="13" t="s">
        <v>78</v>
      </c>
      <c r="I524" s="13" t="s">
        <v>356</v>
      </c>
      <c r="J524" s="13" t="s">
        <v>577</v>
      </c>
    </row>
    <row r="525" spans="1:10" ht="25.5">
      <c r="A525" s="13" t="s">
        <v>36</v>
      </c>
      <c r="B525" s="13" t="s">
        <v>44</v>
      </c>
      <c r="C525" s="13" t="s">
        <v>366</v>
      </c>
      <c r="D525" s="13" t="s">
        <v>23</v>
      </c>
      <c r="E525" s="13" t="s">
        <v>576</v>
      </c>
      <c r="F525" s="13" t="s">
        <v>322</v>
      </c>
      <c r="G525" s="13" t="s">
        <v>328</v>
      </c>
      <c r="H525" s="13" t="s">
        <v>78</v>
      </c>
      <c r="I525" s="13" t="s">
        <v>366</v>
      </c>
      <c r="J525" s="13" t="s">
        <v>577</v>
      </c>
    </row>
    <row r="526" spans="1:10" ht="25.5">
      <c r="A526" s="13" t="s">
        <v>49</v>
      </c>
      <c r="B526" s="13" t="s">
        <v>53</v>
      </c>
      <c r="C526" s="13" t="s">
        <v>382</v>
      </c>
      <c r="D526" s="13" t="s">
        <v>23</v>
      </c>
      <c r="E526" s="13" t="s">
        <v>576</v>
      </c>
      <c r="F526" s="13" t="s">
        <v>322</v>
      </c>
      <c r="G526" s="13" t="s">
        <v>328</v>
      </c>
      <c r="H526" s="13" t="s">
        <v>78</v>
      </c>
      <c r="I526" s="13" t="s">
        <v>382</v>
      </c>
      <c r="J526" s="13" t="s">
        <v>577</v>
      </c>
    </row>
    <row r="527" spans="1:10" ht="25.5">
      <c r="A527" s="13" t="s">
        <v>59</v>
      </c>
      <c r="B527" s="13" t="s">
        <v>63</v>
      </c>
      <c r="C527" s="13" t="s">
        <v>410</v>
      </c>
      <c r="D527" s="13" t="s">
        <v>23</v>
      </c>
      <c r="E527" s="13" t="s">
        <v>583</v>
      </c>
      <c r="F527" s="13" t="s">
        <v>322</v>
      </c>
      <c r="G527" s="13" t="s">
        <v>328</v>
      </c>
      <c r="H527" s="13" t="s">
        <v>78</v>
      </c>
      <c r="I527" s="13" t="s">
        <v>410</v>
      </c>
      <c r="J527" s="13" t="s">
        <v>577</v>
      </c>
    </row>
    <row r="528" spans="1:10" ht="25.5">
      <c r="A528" s="13" t="s">
        <v>59</v>
      </c>
      <c r="B528" s="13" t="s">
        <v>77</v>
      </c>
      <c r="C528" s="13" t="s">
        <v>430</v>
      </c>
      <c r="D528" s="13" t="s">
        <v>579</v>
      </c>
      <c r="E528" s="13" t="s">
        <v>580</v>
      </c>
      <c r="F528" s="13" t="s">
        <v>322</v>
      </c>
      <c r="G528" s="13" t="s">
        <v>328</v>
      </c>
      <c r="H528" s="13" t="s">
        <v>78</v>
      </c>
      <c r="I528" s="13" t="s">
        <v>430</v>
      </c>
      <c r="J528" s="13" t="s">
        <v>577</v>
      </c>
    </row>
    <row r="529" spans="1:10" ht="25.5">
      <c r="A529" s="13" t="s">
        <v>104</v>
      </c>
      <c r="B529" s="13" t="s">
        <v>109</v>
      </c>
      <c r="C529" s="13" t="s">
        <v>486</v>
      </c>
      <c r="D529" s="13" t="s">
        <v>579</v>
      </c>
      <c r="E529" s="13" t="s">
        <v>581</v>
      </c>
      <c r="F529" s="13" t="s">
        <v>322</v>
      </c>
      <c r="G529" s="13" t="s">
        <v>328</v>
      </c>
      <c r="H529" s="13" t="s">
        <v>78</v>
      </c>
      <c r="I529" s="13" t="s">
        <v>486</v>
      </c>
      <c r="J529" s="13" t="s">
        <v>577</v>
      </c>
    </row>
    <row r="530" spans="1:10" ht="25.5">
      <c r="A530" s="13" t="s">
        <v>104</v>
      </c>
      <c r="B530" s="13" t="s">
        <v>106</v>
      </c>
      <c r="C530" s="13" t="s">
        <v>477</v>
      </c>
      <c r="D530" s="13" t="s">
        <v>579</v>
      </c>
      <c r="E530" s="13" t="s">
        <v>581</v>
      </c>
      <c r="F530" s="13" t="s">
        <v>322</v>
      </c>
      <c r="G530" s="13" t="s">
        <v>328</v>
      </c>
      <c r="H530" s="13" t="s">
        <v>78</v>
      </c>
      <c r="I530" s="13" t="s">
        <v>477</v>
      </c>
      <c r="J530" s="13" t="s">
        <v>577</v>
      </c>
    </row>
    <row r="531" spans="1:10" ht="25.5">
      <c r="A531" s="13" t="s">
        <v>104</v>
      </c>
      <c r="B531" s="13" t="s">
        <v>107</v>
      </c>
      <c r="C531" s="13" t="s">
        <v>480</v>
      </c>
      <c r="D531" s="13" t="s">
        <v>579</v>
      </c>
      <c r="E531" s="13" t="s">
        <v>581</v>
      </c>
      <c r="F531" s="13" t="s">
        <v>322</v>
      </c>
      <c r="G531" s="13" t="s">
        <v>328</v>
      </c>
      <c r="H531" s="13" t="s">
        <v>78</v>
      </c>
      <c r="I531" s="13" t="s">
        <v>480</v>
      </c>
      <c r="J531" s="13" t="s">
        <v>577</v>
      </c>
    </row>
    <row r="532" spans="1:10" ht="25.5">
      <c r="A532" s="13" t="s">
        <v>36</v>
      </c>
      <c r="B532" s="13" t="s">
        <v>38</v>
      </c>
      <c r="C532" s="13" t="s">
        <v>356</v>
      </c>
      <c r="D532" s="13" t="s">
        <v>23</v>
      </c>
      <c r="E532" s="13" t="s">
        <v>576</v>
      </c>
      <c r="F532" s="13" t="s">
        <v>322</v>
      </c>
      <c r="G532" s="13" t="s">
        <v>331</v>
      </c>
      <c r="H532" s="13" t="s">
        <v>139</v>
      </c>
      <c r="I532" s="13" t="s">
        <v>356</v>
      </c>
      <c r="J532" s="13" t="s">
        <v>577</v>
      </c>
    </row>
    <row r="533" spans="1:10" ht="25.5">
      <c r="A533" s="13" t="s">
        <v>36</v>
      </c>
      <c r="B533" s="13" t="s">
        <v>44</v>
      </c>
      <c r="C533" s="13" t="s">
        <v>366</v>
      </c>
      <c r="D533" s="13" t="s">
        <v>23</v>
      </c>
      <c r="E533" s="13" t="s">
        <v>576</v>
      </c>
      <c r="F533" s="13" t="s">
        <v>322</v>
      </c>
      <c r="G533" s="13" t="s">
        <v>331</v>
      </c>
      <c r="H533" s="13" t="s">
        <v>139</v>
      </c>
      <c r="I533" s="13" t="s">
        <v>366</v>
      </c>
      <c r="J533" s="13" t="s">
        <v>577</v>
      </c>
    </row>
    <row r="534" spans="1:10" ht="25.5">
      <c r="A534" s="13" t="s">
        <v>49</v>
      </c>
      <c r="B534" s="13" t="s">
        <v>53</v>
      </c>
      <c r="C534" s="13" t="s">
        <v>382</v>
      </c>
      <c r="D534" s="13" t="s">
        <v>23</v>
      </c>
      <c r="E534" s="13" t="s">
        <v>576</v>
      </c>
      <c r="F534" s="13" t="s">
        <v>322</v>
      </c>
      <c r="G534" s="13" t="s">
        <v>331</v>
      </c>
      <c r="H534" s="13" t="s">
        <v>139</v>
      </c>
      <c r="I534" s="13" t="s">
        <v>382</v>
      </c>
      <c r="J534" s="13" t="s">
        <v>577</v>
      </c>
    </row>
    <row r="535" spans="1:10" ht="25.5">
      <c r="A535" s="13" t="s">
        <v>59</v>
      </c>
      <c r="B535" s="13" t="s">
        <v>63</v>
      </c>
      <c r="C535" s="13" t="s">
        <v>410</v>
      </c>
      <c r="D535" s="13" t="s">
        <v>23</v>
      </c>
      <c r="E535" s="13" t="s">
        <v>583</v>
      </c>
      <c r="F535" s="13" t="s">
        <v>322</v>
      </c>
      <c r="G535" s="13" t="s">
        <v>331</v>
      </c>
      <c r="H535" s="13" t="s">
        <v>139</v>
      </c>
      <c r="I535" s="13" t="s">
        <v>410</v>
      </c>
      <c r="J535" s="13" t="s">
        <v>577</v>
      </c>
    </row>
    <row r="536" spans="1:10" ht="25.5">
      <c r="A536" s="13" t="s">
        <v>49</v>
      </c>
      <c r="B536" s="13" t="s">
        <v>55</v>
      </c>
      <c r="C536" s="13" t="s">
        <v>389</v>
      </c>
      <c r="D536" s="13" t="s">
        <v>579</v>
      </c>
      <c r="E536" s="13" t="s">
        <v>580</v>
      </c>
      <c r="F536" s="13" t="s">
        <v>322</v>
      </c>
      <c r="G536" s="13" t="s">
        <v>331</v>
      </c>
      <c r="H536" s="13" t="s">
        <v>139</v>
      </c>
      <c r="I536" s="13" t="s">
        <v>389</v>
      </c>
      <c r="J536" s="13" t="s">
        <v>577</v>
      </c>
    </row>
    <row r="537" spans="1:10" ht="25.5">
      <c r="A537" s="13" t="s">
        <v>98</v>
      </c>
      <c r="B537" s="13" t="s">
        <v>101</v>
      </c>
      <c r="C537" s="13" t="s">
        <v>469</v>
      </c>
      <c r="D537" s="13" t="s">
        <v>579</v>
      </c>
      <c r="E537" s="13" t="s">
        <v>581</v>
      </c>
      <c r="F537" s="13" t="s">
        <v>322</v>
      </c>
      <c r="G537" s="13" t="s">
        <v>331</v>
      </c>
      <c r="H537" s="13" t="s">
        <v>139</v>
      </c>
      <c r="I537" s="13" t="s">
        <v>469</v>
      </c>
      <c r="J537" s="13" t="s">
        <v>577</v>
      </c>
    </row>
    <row r="538" spans="1:10" ht="25.5">
      <c r="A538" s="13" t="s">
        <v>104</v>
      </c>
      <c r="B538" s="13" t="s">
        <v>108</v>
      </c>
      <c r="C538" s="13" t="s">
        <v>483</v>
      </c>
      <c r="D538" s="13" t="s">
        <v>579</v>
      </c>
      <c r="E538" s="13" t="s">
        <v>581</v>
      </c>
      <c r="F538" s="13" t="s">
        <v>322</v>
      </c>
      <c r="G538" s="13" t="s">
        <v>331</v>
      </c>
      <c r="H538" s="13" t="s">
        <v>139</v>
      </c>
      <c r="I538" s="13" t="s">
        <v>483</v>
      </c>
      <c r="J538" s="13" t="s">
        <v>577</v>
      </c>
    </row>
    <row r="539" spans="1:10" ht="25.5">
      <c r="A539" s="13" t="s">
        <v>104</v>
      </c>
      <c r="B539" s="13" t="s">
        <v>109</v>
      </c>
      <c r="C539" s="13" t="s">
        <v>486</v>
      </c>
      <c r="D539" s="13" t="s">
        <v>579</v>
      </c>
      <c r="E539" s="13" t="s">
        <v>581</v>
      </c>
      <c r="F539" s="13" t="s">
        <v>322</v>
      </c>
      <c r="G539" s="13" t="s">
        <v>331</v>
      </c>
      <c r="H539" s="13" t="s">
        <v>139</v>
      </c>
      <c r="I539" s="13" t="s">
        <v>486</v>
      </c>
      <c r="J539" s="13" t="s">
        <v>577</v>
      </c>
    </row>
    <row r="540" spans="1:10" ht="25.5">
      <c r="A540" s="13" t="s">
        <v>36</v>
      </c>
      <c r="B540" s="13" t="s">
        <v>45</v>
      </c>
      <c r="C540" s="13" t="s">
        <v>369</v>
      </c>
      <c r="D540" s="13" t="s">
        <v>23</v>
      </c>
      <c r="E540" s="13" t="s">
        <v>576</v>
      </c>
      <c r="F540" s="13" t="s">
        <v>334</v>
      </c>
      <c r="G540" s="13" t="s">
        <v>335</v>
      </c>
      <c r="H540" s="13" t="s">
        <v>139</v>
      </c>
      <c r="I540" s="13" t="s">
        <v>369</v>
      </c>
      <c r="J540" s="13" t="s">
        <v>577</v>
      </c>
    </row>
    <row r="541" spans="1:10" ht="25.5">
      <c r="A541" s="13" t="s">
        <v>49</v>
      </c>
      <c r="B541" s="13" t="s">
        <v>56</v>
      </c>
      <c r="C541" s="13" t="s">
        <v>392</v>
      </c>
      <c r="D541" s="13" t="s">
        <v>23</v>
      </c>
      <c r="E541" s="13" t="s">
        <v>576</v>
      </c>
      <c r="F541" s="13" t="s">
        <v>334</v>
      </c>
      <c r="G541" s="13" t="s">
        <v>335</v>
      </c>
      <c r="H541" s="13" t="s">
        <v>139</v>
      </c>
      <c r="I541" s="13" t="s">
        <v>392</v>
      </c>
      <c r="J541" s="13" t="s">
        <v>577</v>
      </c>
    </row>
    <row r="542" spans="1:10" ht="25.5">
      <c r="A542" s="13" t="s">
        <v>49</v>
      </c>
      <c r="B542" s="13" t="s">
        <v>58</v>
      </c>
      <c r="C542" s="13" t="s">
        <v>398</v>
      </c>
      <c r="D542" s="13" t="s">
        <v>23</v>
      </c>
      <c r="E542" s="13" t="s">
        <v>576</v>
      </c>
      <c r="F542" s="13" t="s">
        <v>334</v>
      </c>
      <c r="G542" s="13" t="s">
        <v>335</v>
      </c>
      <c r="H542" s="13" t="s">
        <v>139</v>
      </c>
      <c r="I542" s="13" t="s">
        <v>398</v>
      </c>
      <c r="J542" s="13" t="s">
        <v>577</v>
      </c>
    </row>
    <row r="543" spans="1:10" ht="25.5">
      <c r="A543" s="13" t="s">
        <v>59</v>
      </c>
      <c r="B543" s="13" t="s">
        <v>83</v>
      </c>
      <c r="C543" s="13" t="s">
        <v>83</v>
      </c>
      <c r="D543" s="13" t="s">
        <v>23</v>
      </c>
      <c r="E543" s="13" t="s">
        <v>576</v>
      </c>
      <c r="F543" s="13" t="s">
        <v>334</v>
      </c>
      <c r="G543" s="13" t="s">
        <v>335</v>
      </c>
      <c r="H543" s="13" t="s">
        <v>139</v>
      </c>
      <c r="I543" s="13" t="s">
        <v>83</v>
      </c>
      <c r="J543" s="13" t="s">
        <v>577</v>
      </c>
    </row>
    <row r="544" spans="1:10" ht="25.5">
      <c r="A544" s="13" t="s">
        <v>59</v>
      </c>
      <c r="B544" s="13" t="s">
        <v>86</v>
      </c>
      <c r="C544" s="13" t="s">
        <v>86</v>
      </c>
      <c r="D544" s="13" t="s">
        <v>23</v>
      </c>
      <c r="E544" s="13" t="s">
        <v>576</v>
      </c>
      <c r="F544" s="13" t="s">
        <v>334</v>
      </c>
      <c r="G544" s="13" t="s">
        <v>335</v>
      </c>
      <c r="H544" s="13" t="s">
        <v>139</v>
      </c>
      <c r="I544" s="13" t="s">
        <v>86</v>
      </c>
      <c r="J544" s="13" t="s">
        <v>577</v>
      </c>
    </row>
    <row r="545" spans="1:10" ht="25.5">
      <c r="A545" s="13" t="s">
        <v>36</v>
      </c>
      <c r="B545" s="13" t="s">
        <v>46</v>
      </c>
      <c r="C545" s="13" t="s">
        <v>373</v>
      </c>
      <c r="D545" s="13" t="s">
        <v>579</v>
      </c>
      <c r="E545" s="13" t="s">
        <v>580</v>
      </c>
      <c r="F545" s="13" t="s">
        <v>334</v>
      </c>
      <c r="G545" s="13" t="s">
        <v>335</v>
      </c>
      <c r="H545" s="13" t="s">
        <v>139</v>
      </c>
      <c r="I545" s="13" t="s">
        <v>373</v>
      </c>
      <c r="J545" s="13" t="s">
        <v>577</v>
      </c>
    </row>
    <row r="546" spans="1:10" ht="25.5">
      <c r="A546" s="13" t="s">
        <v>104</v>
      </c>
      <c r="B546" s="13" t="s">
        <v>105</v>
      </c>
      <c r="C546" s="13" t="s">
        <v>105</v>
      </c>
      <c r="D546" s="13" t="s">
        <v>579</v>
      </c>
      <c r="E546" s="13" t="s">
        <v>581</v>
      </c>
      <c r="F546" s="13" t="s">
        <v>334</v>
      </c>
      <c r="G546" s="13" t="s">
        <v>335</v>
      </c>
      <c r="H546" s="13" t="s">
        <v>139</v>
      </c>
      <c r="I546" s="13" t="s">
        <v>105</v>
      </c>
      <c r="J546" s="13" t="s">
        <v>577</v>
      </c>
    </row>
    <row r="547" spans="1:10" ht="25.5">
      <c r="A547" s="13" t="s">
        <v>36</v>
      </c>
      <c r="B547" s="13" t="s">
        <v>45</v>
      </c>
      <c r="C547" s="13" t="s">
        <v>369</v>
      </c>
      <c r="D547" s="13" t="s">
        <v>23</v>
      </c>
      <c r="E547" s="13" t="s">
        <v>576</v>
      </c>
      <c r="F547" s="13" t="s">
        <v>334</v>
      </c>
      <c r="G547" s="13" t="s">
        <v>337</v>
      </c>
      <c r="H547" s="13" t="s">
        <v>139</v>
      </c>
      <c r="I547" s="13" t="s">
        <v>369</v>
      </c>
      <c r="J547" s="13" t="s">
        <v>577</v>
      </c>
    </row>
    <row r="548" spans="1:10" ht="25.5">
      <c r="A548" s="13" t="s">
        <v>49</v>
      </c>
      <c r="B548" s="13" t="s">
        <v>56</v>
      </c>
      <c r="C548" s="13" t="s">
        <v>392</v>
      </c>
      <c r="D548" s="13" t="s">
        <v>23</v>
      </c>
      <c r="E548" s="13" t="s">
        <v>576</v>
      </c>
      <c r="F548" s="13" t="s">
        <v>334</v>
      </c>
      <c r="G548" s="13" t="s">
        <v>337</v>
      </c>
      <c r="H548" s="13" t="s">
        <v>139</v>
      </c>
      <c r="I548" s="13" t="s">
        <v>392</v>
      </c>
      <c r="J548" s="13" t="s">
        <v>577</v>
      </c>
    </row>
    <row r="549" spans="1:10" ht="25.5">
      <c r="A549" s="13" t="s">
        <v>49</v>
      </c>
      <c r="B549" s="13" t="s">
        <v>58</v>
      </c>
      <c r="C549" s="13" t="s">
        <v>398</v>
      </c>
      <c r="D549" s="13" t="s">
        <v>23</v>
      </c>
      <c r="E549" s="13" t="s">
        <v>576</v>
      </c>
      <c r="F549" s="13" t="s">
        <v>334</v>
      </c>
      <c r="G549" s="13" t="s">
        <v>337</v>
      </c>
      <c r="H549" s="13" t="s">
        <v>139</v>
      </c>
      <c r="I549" s="13" t="s">
        <v>398</v>
      </c>
      <c r="J549" s="13" t="s">
        <v>577</v>
      </c>
    </row>
    <row r="550" spans="1:10" ht="25.5">
      <c r="A550" s="13" t="s">
        <v>59</v>
      </c>
      <c r="B550" s="13" t="s">
        <v>83</v>
      </c>
      <c r="C550" s="13" t="s">
        <v>83</v>
      </c>
      <c r="D550" s="13" t="s">
        <v>23</v>
      </c>
      <c r="E550" s="13" t="s">
        <v>576</v>
      </c>
      <c r="F550" s="13" t="s">
        <v>334</v>
      </c>
      <c r="G550" s="13" t="s">
        <v>337</v>
      </c>
      <c r="H550" s="13" t="s">
        <v>139</v>
      </c>
      <c r="I550" s="13" t="s">
        <v>83</v>
      </c>
      <c r="J550" s="13" t="s">
        <v>577</v>
      </c>
    </row>
    <row r="551" spans="1:10" ht="25.5">
      <c r="A551" s="13" t="s">
        <v>59</v>
      </c>
      <c r="B551" s="13" t="s">
        <v>86</v>
      </c>
      <c r="C551" s="13" t="s">
        <v>86</v>
      </c>
      <c r="D551" s="13" t="s">
        <v>23</v>
      </c>
      <c r="E551" s="13" t="s">
        <v>576</v>
      </c>
      <c r="F551" s="13" t="s">
        <v>334</v>
      </c>
      <c r="G551" s="13" t="s">
        <v>337</v>
      </c>
      <c r="H551" s="13" t="s">
        <v>139</v>
      </c>
      <c r="I551" s="13" t="s">
        <v>86</v>
      </c>
      <c r="J551" s="13" t="s">
        <v>577</v>
      </c>
    </row>
    <row r="552" spans="1:10" ht="25.5">
      <c r="A552" s="13" t="s">
        <v>36</v>
      </c>
      <c r="B552" s="13" t="s">
        <v>47</v>
      </c>
      <c r="C552" s="13" t="s">
        <v>376</v>
      </c>
      <c r="D552" s="13" t="s">
        <v>579</v>
      </c>
      <c r="E552" s="13" t="s">
        <v>580</v>
      </c>
      <c r="F552" s="13" t="s">
        <v>334</v>
      </c>
      <c r="G552" s="13" t="s">
        <v>337</v>
      </c>
      <c r="H552" s="13" t="s">
        <v>139</v>
      </c>
      <c r="I552" s="13" t="s">
        <v>376</v>
      </c>
      <c r="J552" s="13" t="s">
        <v>577</v>
      </c>
    </row>
    <row r="553" spans="1:10" ht="25.5">
      <c r="A553" s="13" t="s">
        <v>94</v>
      </c>
      <c r="B553" s="13" t="s">
        <v>97</v>
      </c>
      <c r="C553" s="13" t="s">
        <v>459</v>
      </c>
      <c r="D553" s="13" t="s">
        <v>579</v>
      </c>
      <c r="E553" s="13" t="s">
        <v>581</v>
      </c>
      <c r="F553" s="13" t="s">
        <v>334</v>
      </c>
      <c r="G553" s="13" t="s">
        <v>337</v>
      </c>
      <c r="H553" s="13" t="s">
        <v>139</v>
      </c>
      <c r="I553" s="13" t="s">
        <v>459</v>
      </c>
      <c r="J553" s="13" t="s">
        <v>577</v>
      </c>
    </row>
    <row r="554" spans="1:10" ht="25.5">
      <c r="A554" s="13" t="s">
        <v>36</v>
      </c>
      <c r="B554" s="13" t="s">
        <v>45</v>
      </c>
      <c r="C554" s="13" t="s">
        <v>369</v>
      </c>
      <c r="D554" s="13" t="s">
        <v>23</v>
      </c>
      <c r="E554" s="13" t="s">
        <v>576</v>
      </c>
      <c r="F554" s="13" t="s">
        <v>334</v>
      </c>
      <c r="G554" s="13" t="s">
        <v>339</v>
      </c>
      <c r="H554" s="13" t="s">
        <v>81</v>
      </c>
      <c r="I554" s="13" t="s">
        <v>369</v>
      </c>
      <c r="J554" s="13" t="s">
        <v>577</v>
      </c>
    </row>
    <row r="555" spans="1:10" ht="25.5">
      <c r="A555" s="13" t="s">
        <v>49</v>
      </c>
      <c r="B555" s="13" t="s">
        <v>56</v>
      </c>
      <c r="C555" s="13" t="s">
        <v>392</v>
      </c>
      <c r="D555" s="13" t="s">
        <v>23</v>
      </c>
      <c r="E555" s="13" t="s">
        <v>576</v>
      </c>
      <c r="F555" s="13" t="s">
        <v>334</v>
      </c>
      <c r="G555" s="13" t="s">
        <v>339</v>
      </c>
      <c r="H555" s="13" t="s">
        <v>81</v>
      </c>
      <c r="I555" s="13" t="s">
        <v>392</v>
      </c>
      <c r="J555" s="13" t="s">
        <v>577</v>
      </c>
    </row>
    <row r="556" spans="1:10" ht="25.5">
      <c r="A556" s="13" t="s">
        <v>49</v>
      </c>
      <c r="B556" s="13" t="s">
        <v>58</v>
      </c>
      <c r="C556" s="13" t="s">
        <v>398</v>
      </c>
      <c r="D556" s="13" t="s">
        <v>23</v>
      </c>
      <c r="E556" s="13" t="s">
        <v>576</v>
      </c>
      <c r="F556" s="13" t="s">
        <v>334</v>
      </c>
      <c r="G556" s="13" t="s">
        <v>339</v>
      </c>
      <c r="H556" s="13" t="s">
        <v>81</v>
      </c>
      <c r="I556" s="13" t="s">
        <v>398</v>
      </c>
      <c r="J556" s="13" t="s">
        <v>577</v>
      </c>
    </row>
    <row r="557" spans="1:10" ht="25.5">
      <c r="A557" s="13" t="s">
        <v>59</v>
      </c>
      <c r="B557" s="13" t="s">
        <v>83</v>
      </c>
      <c r="C557" s="13" t="s">
        <v>83</v>
      </c>
      <c r="D557" s="13" t="s">
        <v>23</v>
      </c>
      <c r="E557" s="13" t="s">
        <v>576</v>
      </c>
      <c r="F557" s="13" t="s">
        <v>334</v>
      </c>
      <c r="G557" s="13" t="s">
        <v>339</v>
      </c>
      <c r="H557" s="13" t="s">
        <v>81</v>
      </c>
      <c r="I557" s="13" t="s">
        <v>83</v>
      </c>
      <c r="J557" s="13" t="s">
        <v>577</v>
      </c>
    </row>
    <row r="558" spans="1:10" ht="25.5">
      <c r="A558" s="13" t="s">
        <v>59</v>
      </c>
      <c r="B558" s="13" t="s">
        <v>86</v>
      </c>
      <c r="C558" s="13" t="s">
        <v>86</v>
      </c>
      <c r="D558" s="13" t="s">
        <v>23</v>
      </c>
      <c r="E558" s="13" t="s">
        <v>576</v>
      </c>
      <c r="F558" s="13" t="s">
        <v>334</v>
      </c>
      <c r="G558" s="13" t="s">
        <v>339</v>
      </c>
      <c r="H558" s="13" t="s">
        <v>81</v>
      </c>
      <c r="I558" s="13" t="s">
        <v>86</v>
      </c>
      <c r="J558" s="13" t="s">
        <v>577</v>
      </c>
    </row>
    <row r="559" spans="1:10" ht="25.5">
      <c r="A559" s="13" t="s">
        <v>49</v>
      </c>
      <c r="B559" s="13" t="s">
        <v>55</v>
      </c>
      <c r="C559" s="13" t="s">
        <v>389</v>
      </c>
      <c r="D559" s="13" t="s">
        <v>579</v>
      </c>
      <c r="E559" s="13" t="s">
        <v>580</v>
      </c>
      <c r="F559" s="13" t="s">
        <v>334</v>
      </c>
      <c r="G559" s="13" t="s">
        <v>339</v>
      </c>
      <c r="H559" s="13" t="s">
        <v>81</v>
      </c>
      <c r="I559" s="13" t="s">
        <v>389</v>
      </c>
      <c r="J559" s="13" t="s">
        <v>577</v>
      </c>
    </row>
    <row r="560" spans="1:10" ht="25.5">
      <c r="A560" s="13" t="s">
        <v>59</v>
      </c>
      <c r="B560" s="13" t="s">
        <v>77</v>
      </c>
      <c r="C560" s="13" t="s">
        <v>430</v>
      </c>
      <c r="D560" s="13" t="s">
        <v>579</v>
      </c>
      <c r="E560" s="13" t="s">
        <v>580</v>
      </c>
      <c r="F560" s="13" t="s">
        <v>334</v>
      </c>
      <c r="G560" s="13" t="s">
        <v>339</v>
      </c>
      <c r="H560" s="13" t="s">
        <v>81</v>
      </c>
      <c r="I560" s="13" t="s">
        <v>430</v>
      </c>
      <c r="J560" s="13" t="s">
        <v>577</v>
      </c>
    </row>
    <row r="561" spans="1:10" ht="25.5">
      <c r="A561" s="13" t="s">
        <v>59</v>
      </c>
      <c r="B561" s="13" t="s">
        <v>80</v>
      </c>
      <c r="C561" s="13" t="s">
        <v>434</v>
      </c>
      <c r="D561" s="13" t="s">
        <v>579</v>
      </c>
      <c r="E561" s="13" t="s">
        <v>580</v>
      </c>
      <c r="F561" s="13" t="s">
        <v>334</v>
      </c>
      <c r="G561" s="13" t="s">
        <v>339</v>
      </c>
      <c r="H561" s="13" t="s">
        <v>81</v>
      </c>
      <c r="I561" s="13" t="s">
        <v>434</v>
      </c>
      <c r="J561" s="13" t="s">
        <v>577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workbookViewId="0">
      <selection activeCell="D34" sqref="D34"/>
    </sheetView>
  </sheetViews>
  <sheetFormatPr defaultRowHeight="14.25"/>
  <cols>
    <col min="1" max="1" width="24" customWidth="1"/>
    <col min="2" max="2" width="30" customWidth="1"/>
    <col min="3" max="3" width="90" customWidth="1"/>
    <col min="4" max="4" width="38" customWidth="1"/>
  </cols>
  <sheetData>
    <row r="1" spans="1:4" ht="27.95" customHeight="1">
      <c r="A1" s="118" t="s">
        <v>584</v>
      </c>
      <c r="B1" s="118"/>
      <c r="C1" s="118"/>
      <c r="D1" s="118"/>
    </row>
    <row r="2" spans="1:4" ht="27.95" customHeight="1">
      <c r="A2" s="2" t="s">
        <v>585</v>
      </c>
      <c r="B2" s="2" t="s">
        <v>586</v>
      </c>
      <c r="C2" s="2" t="s">
        <v>587</v>
      </c>
      <c r="D2" s="2" t="s">
        <v>129</v>
      </c>
    </row>
    <row r="3" spans="1:4" ht="25.5">
      <c r="A3" s="13" t="s">
        <v>588</v>
      </c>
      <c r="B3" s="13">
        <v>21</v>
      </c>
      <c r="C3" s="13" t="s">
        <v>589</v>
      </c>
      <c r="D3" s="13" t="s">
        <v>577</v>
      </c>
    </row>
    <row r="4" spans="1:4" ht="25.5">
      <c r="A4" s="13" t="s">
        <v>590</v>
      </c>
      <c r="B4" s="13">
        <v>70</v>
      </c>
      <c r="C4" s="13" t="s">
        <v>591</v>
      </c>
      <c r="D4" s="13" t="s">
        <v>577</v>
      </c>
    </row>
    <row r="5" spans="1:4" ht="25.5">
      <c r="A5" s="13" t="s">
        <v>592</v>
      </c>
      <c r="B5" s="13">
        <v>45</v>
      </c>
      <c r="C5" s="13" t="s">
        <v>593</v>
      </c>
      <c r="D5" s="13" t="s">
        <v>577</v>
      </c>
    </row>
    <row r="6" spans="1:4" ht="25.5">
      <c r="A6" s="13" t="s">
        <v>594</v>
      </c>
      <c r="B6" s="13" t="s">
        <v>595</v>
      </c>
      <c r="C6" s="13" t="s">
        <v>596</v>
      </c>
      <c r="D6" s="13" t="s">
        <v>597</v>
      </c>
    </row>
    <row r="7" spans="1:4" ht="25.5">
      <c r="A7" s="13" t="s">
        <v>598</v>
      </c>
      <c r="B7" s="13" t="s">
        <v>599</v>
      </c>
      <c r="C7" s="13" t="s">
        <v>600</v>
      </c>
      <c r="D7" s="13" t="s">
        <v>577</v>
      </c>
    </row>
    <row r="8" spans="1:4" ht="25.5">
      <c r="A8" s="13" t="s">
        <v>353</v>
      </c>
      <c r="B8" s="13" t="s">
        <v>601</v>
      </c>
      <c r="C8" s="13" t="s">
        <v>602</v>
      </c>
      <c r="D8" s="13" t="s">
        <v>577</v>
      </c>
    </row>
    <row r="9" spans="1:4">
      <c r="A9" s="13"/>
      <c r="B9" s="13"/>
      <c r="C9" s="13"/>
      <c r="D9" s="13"/>
    </row>
    <row r="10" spans="1:4">
      <c r="A10" s="13" t="s">
        <v>569</v>
      </c>
      <c r="B10" s="13" t="s">
        <v>603</v>
      </c>
      <c r="C10" s="13" t="s">
        <v>604</v>
      </c>
      <c r="D10" s="13" t="s">
        <v>605</v>
      </c>
    </row>
    <row r="11" spans="1:4" ht="38.25">
      <c r="A11" s="13" t="s">
        <v>36</v>
      </c>
      <c r="B11" s="13" t="s">
        <v>606</v>
      </c>
      <c r="C11" s="13">
        <v>8</v>
      </c>
      <c r="D11" s="13" t="s">
        <v>607</v>
      </c>
    </row>
    <row r="12" spans="1:4" ht="38.25">
      <c r="A12" s="13" t="s">
        <v>49</v>
      </c>
      <c r="B12" s="13" t="s">
        <v>606</v>
      </c>
      <c r="C12" s="13">
        <v>7</v>
      </c>
      <c r="D12" s="13" t="s">
        <v>608</v>
      </c>
    </row>
    <row r="13" spans="1:4" ht="102">
      <c r="A13" s="13" t="s">
        <v>59</v>
      </c>
      <c r="B13" s="13" t="s">
        <v>606</v>
      </c>
      <c r="C13" s="13">
        <v>17</v>
      </c>
      <c r="D13" s="13" t="s">
        <v>609</v>
      </c>
    </row>
    <row r="14" spans="1:4" ht="25.5">
      <c r="A14" s="13" t="s">
        <v>94</v>
      </c>
      <c r="B14" s="13" t="s">
        <v>610</v>
      </c>
      <c r="C14" s="13">
        <v>3</v>
      </c>
      <c r="D14" s="13" t="s">
        <v>137</v>
      </c>
    </row>
    <row r="15" spans="1:4" ht="25.5">
      <c r="A15" s="13" t="s">
        <v>98</v>
      </c>
      <c r="B15" s="13" t="s">
        <v>610</v>
      </c>
      <c r="C15" s="13">
        <v>4</v>
      </c>
      <c r="D15" s="13" t="s">
        <v>611</v>
      </c>
    </row>
    <row r="16" spans="1:4" ht="38.25">
      <c r="A16" s="13" t="s">
        <v>104</v>
      </c>
      <c r="B16" s="13" t="s">
        <v>610</v>
      </c>
      <c r="C16" s="13">
        <v>6</v>
      </c>
      <c r="D16" s="13" t="s">
        <v>612</v>
      </c>
    </row>
    <row r="19" spans="1:10" ht="15">
      <c r="A19" s="115" t="s">
        <v>613</v>
      </c>
      <c r="B19" s="115"/>
      <c r="C19" s="115"/>
      <c r="D19" s="115"/>
    </row>
    <row r="20" spans="1:10" ht="15">
      <c r="A20" s="122" t="s">
        <v>614</v>
      </c>
      <c r="B20" s="122"/>
      <c r="C20" s="122"/>
      <c r="D20" s="122"/>
      <c r="E20" s="122"/>
      <c r="F20" s="122"/>
      <c r="G20" s="122"/>
      <c r="H20" s="122"/>
      <c r="I20" s="122"/>
      <c r="J20" s="122"/>
    </row>
    <row r="21" spans="1:10" ht="27.95" customHeight="1">
      <c r="A21" s="123" t="s">
        <v>615</v>
      </c>
      <c r="B21" s="124" t="s">
        <v>616</v>
      </c>
      <c r="C21" s="124" t="s">
        <v>617</v>
      </c>
      <c r="D21" s="125"/>
      <c r="E21" s="125"/>
      <c r="F21" s="125"/>
      <c r="G21" s="125"/>
      <c r="H21" s="125"/>
      <c r="I21" s="125"/>
      <c r="J21" s="125"/>
    </row>
    <row r="22" spans="1:10" ht="27.95" customHeight="1">
      <c r="A22" s="123" t="s">
        <v>618</v>
      </c>
      <c r="B22" s="124" t="s">
        <v>33</v>
      </c>
      <c r="C22" s="124" t="s">
        <v>619</v>
      </c>
      <c r="D22" s="125"/>
      <c r="E22" s="125"/>
      <c r="F22" s="125"/>
      <c r="G22" s="125"/>
      <c r="H22" s="125"/>
      <c r="I22" s="125"/>
      <c r="J22" s="125"/>
    </row>
    <row r="23" spans="1:10" ht="27.95" customHeight="1">
      <c r="A23" s="123" t="s">
        <v>620</v>
      </c>
      <c r="B23" s="124" t="s">
        <v>621</v>
      </c>
      <c r="C23" s="124" t="s">
        <v>622</v>
      </c>
      <c r="D23" s="125"/>
      <c r="E23" s="125"/>
      <c r="F23" s="125"/>
      <c r="G23" s="125"/>
      <c r="H23" s="125"/>
      <c r="I23" s="125"/>
      <c r="J23" s="125"/>
    </row>
    <row r="24" spans="1:10" ht="27.95" customHeight="1">
      <c r="A24" s="123" t="s">
        <v>623</v>
      </c>
      <c r="B24" s="124" t="s">
        <v>624</v>
      </c>
      <c r="C24" s="124" t="s">
        <v>625</v>
      </c>
      <c r="D24" s="125"/>
      <c r="E24" s="125"/>
      <c r="F24" s="125"/>
      <c r="G24" s="125"/>
      <c r="H24" s="125"/>
      <c r="I24" s="125"/>
      <c r="J24" s="125"/>
    </row>
    <row r="25" spans="1:10" ht="27.95" customHeight="1">
      <c r="A25" s="123" t="s">
        <v>626</v>
      </c>
      <c r="B25" s="124" t="s">
        <v>627</v>
      </c>
      <c r="C25" s="124" t="s">
        <v>628</v>
      </c>
      <c r="D25" s="125"/>
      <c r="E25" s="125"/>
      <c r="F25" s="125"/>
      <c r="G25" s="125"/>
      <c r="H25" s="125"/>
      <c r="I25" s="125"/>
      <c r="J25" s="125"/>
    </row>
    <row r="27" spans="1:10" ht="42" customHeight="1">
      <c r="A27" s="121" t="s">
        <v>629</v>
      </c>
      <c r="B27" s="121"/>
      <c r="C27" s="121"/>
      <c r="D27" s="121"/>
    </row>
  </sheetData>
  <mergeCells count="9">
    <mergeCell ref="A1:D1"/>
    <mergeCell ref="A19:D19"/>
    <mergeCell ref="A27:D27"/>
    <mergeCell ref="A20:J20"/>
    <mergeCell ref="A21:J21"/>
    <mergeCell ref="A22:J22"/>
    <mergeCell ref="A23:J23"/>
    <mergeCell ref="A24:J24"/>
    <mergeCell ref="A25:J25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71"/>
  <sheetViews>
    <sheetView workbookViewId="0">
      <selection sqref="A1:Q27"/>
    </sheetView>
  </sheetViews>
  <sheetFormatPr defaultRowHeight="14.25"/>
  <cols>
    <col min="1" max="1" width="18" customWidth="1"/>
    <col min="2" max="2" width="20" customWidth="1"/>
    <col min="3" max="3" width="17" customWidth="1"/>
    <col min="4" max="4" width="36" customWidth="1"/>
    <col min="5" max="49" width="5" customWidth="1"/>
    <col min="51" max="54" width="20" customWidth="1"/>
  </cols>
  <sheetData>
    <row r="1" spans="1:56" ht="102">
      <c r="A1" s="2" t="s">
        <v>23</v>
      </c>
      <c r="B1" s="2" t="s">
        <v>24</v>
      </c>
      <c r="C1" s="2" t="s">
        <v>25</v>
      </c>
      <c r="D1" s="2" t="s">
        <v>630</v>
      </c>
      <c r="E1" s="2" t="s">
        <v>37</v>
      </c>
      <c r="F1" s="2" t="s">
        <v>38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50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65</v>
      </c>
      <c r="Y1" s="2" t="s">
        <v>66</v>
      </c>
      <c r="Z1" s="2" t="s">
        <v>68</v>
      </c>
      <c r="AA1" s="2" t="s">
        <v>69</v>
      </c>
      <c r="AB1" s="2" t="s">
        <v>72</v>
      </c>
      <c r="AC1" s="2" t="s">
        <v>77</v>
      </c>
      <c r="AD1" s="2" t="s">
        <v>80</v>
      </c>
      <c r="AE1" s="2" t="s">
        <v>83</v>
      </c>
      <c r="AF1" s="2" t="s">
        <v>86</v>
      </c>
      <c r="AG1" s="2" t="s">
        <v>90</v>
      </c>
      <c r="AH1" s="2" t="s">
        <v>91</v>
      </c>
      <c r="AI1" s="2" t="s">
        <v>92</v>
      </c>
      <c r="AJ1" s="2" t="s">
        <v>93</v>
      </c>
      <c r="AK1" s="2" t="s">
        <v>95</v>
      </c>
      <c r="AL1" s="2" t="s">
        <v>96</v>
      </c>
      <c r="AM1" s="2" t="s">
        <v>97</v>
      </c>
      <c r="AN1" s="2" t="s">
        <v>99</v>
      </c>
      <c r="AO1" s="2" t="s">
        <v>100</v>
      </c>
      <c r="AP1" s="2" t="s">
        <v>101</v>
      </c>
      <c r="AQ1" s="2" t="s">
        <v>102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Y1" s="2" t="s">
        <v>588</v>
      </c>
      <c r="AZ1" s="2" t="s">
        <v>345</v>
      </c>
      <c r="BA1" s="2" t="s">
        <v>631</v>
      </c>
      <c r="BB1" s="2" t="s">
        <v>632</v>
      </c>
      <c r="BC1" s="39" t="s">
        <v>5</v>
      </c>
      <c r="BD1" s="41" t="s">
        <v>633</v>
      </c>
    </row>
    <row r="2" spans="1:56">
      <c r="A2" s="1" t="s">
        <v>130</v>
      </c>
      <c r="B2" s="1" t="s">
        <v>131</v>
      </c>
      <c r="C2" s="1" t="s">
        <v>84</v>
      </c>
      <c r="D2" s="1" t="s">
        <v>634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1</v>
      </c>
      <c r="AI2" s="1">
        <v>0</v>
      </c>
      <c r="AJ2" s="1">
        <v>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Y2" s="1" t="s">
        <v>130</v>
      </c>
      <c r="AZ2" s="1" t="s">
        <v>10</v>
      </c>
      <c r="BA2" s="1" t="s">
        <v>13</v>
      </c>
      <c r="BB2" s="1">
        <v>1</v>
      </c>
      <c r="BC2" t="s">
        <v>635</v>
      </c>
      <c r="BD2">
        <v>1</v>
      </c>
    </row>
    <row r="3" spans="1:56">
      <c r="A3" s="1" t="s">
        <v>130</v>
      </c>
      <c r="B3" s="1" t="s">
        <v>134</v>
      </c>
      <c r="C3" s="1" t="s">
        <v>135</v>
      </c>
      <c r="D3" s="1" t="s">
        <v>636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1</v>
      </c>
      <c r="AL3" s="1">
        <v>1</v>
      </c>
      <c r="AM3" s="1">
        <v>1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Y3" s="1" t="s">
        <v>142</v>
      </c>
      <c r="AZ3" s="1" t="s">
        <v>78</v>
      </c>
      <c r="BA3" s="1" t="s">
        <v>353</v>
      </c>
      <c r="BB3" s="1">
        <v>2</v>
      </c>
      <c r="BC3" t="s">
        <v>6</v>
      </c>
      <c r="BD3">
        <v>2</v>
      </c>
    </row>
    <row r="4" spans="1:56">
      <c r="A4" s="1" t="s">
        <v>130</v>
      </c>
      <c r="B4" s="1" t="s">
        <v>138</v>
      </c>
      <c r="C4" s="1" t="s">
        <v>139</v>
      </c>
      <c r="D4" s="1" t="s">
        <v>637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1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Y4" s="1" t="s">
        <v>152</v>
      </c>
      <c r="AZ4" s="1" t="s">
        <v>81</v>
      </c>
      <c r="BA4" s="1" t="s">
        <v>396</v>
      </c>
      <c r="BB4" s="1">
        <v>3</v>
      </c>
      <c r="BC4" t="s">
        <v>638</v>
      </c>
      <c r="BD4">
        <v>3</v>
      </c>
    </row>
    <row r="5" spans="1:56">
      <c r="A5" s="1" t="s">
        <v>142</v>
      </c>
      <c r="B5" s="1" t="s">
        <v>143</v>
      </c>
      <c r="C5" s="1" t="s">
        <v>139</v>
      </c>
      <c r="D5" s="1" t="s">
        <v>639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1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1</v>
      </c>
      <c r="AR5" s="1">
        <v>0</v>
      </c>
      <c r="AS5" s="1">
        <v>0</v>
      </c>
      <c r="AT5" s="1">
        <v>0</v>
      </c>
      <c r="AU5" s="1">
        <v>0</v>
      </c>
      <c r="AV5" s="1">
        <v>1</v>
      </c>
      <c r="AW5" s="1">
        <v>0</v>
      </c>
      <c r="AY5" s="1" t="s">
        <v>162</v>
      </c>
      <c r="AZ5" s="1" t="s">
        <v>135</v>
      </c>
      <c r="BA5" s="1" t="s">
        <v>640</v>
      </c>
      <c r="BB5" s="1">
        <v>4</v>
      </c>
      <c r="BD5">
        <v>4</v>
      </c>
    </row>
    <row r="6" spans="1:56">
      <c r="A6" s="1" t="s">
        <v>142</v>
      </c>
      <c r="B6" s="1" t="s">
        <v>146</v>
      </c>
      <c r="C6" s="1" t="s">
        <v>139</v>
      </c>
      <c r="D6" s="1" t="s">
        <v>641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0</v>
      </c>
      <c r="P6" s="1">
        <v>1</v>
      </c>
      <c r="Q6" s="1">
        <v>1</v>
      </c>
      <c r="R6" s="1">
        <v>0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</v>
      </c>
      <c r="AR6" s="1">
        <v>0</v>
      </c>
      <c r="AS6" s="1">
        <v>1</v>
      </c>
      <c r="AT6" s="1">
        <v>0</v>
      </c>
      <c r="AU6" s="1">
        <v>0</v>
      </c>
      <c r="AV6" s="1">
        <v>1</v>
      </c>
      <c r="AW6" s="1">
        <v>0</v>
      </c>
      <c r="AY6" s="1" t="s">
        <v>174</v>
      </c>
      <c r="AZ6" s="1" t="s">
        <v>139</v>
      </c>
      <c r="BA6" s="1"/>
      <c r="BB6" s="1">
        <v>5</v>
      </c>
      <c r="BD6">
        <v>5</v>
      </c>
    </row>
    <row r="7" spans="1:56">
      <c r="A7" s="1" t="s">
        <v>142</v>
      </c>
      <c r="B7" s="1" t="s">
        <v>149</v>
      </c>
      <c r="C7" s="1" t="s">
        <v>81</v>
      </c>
      <c r="D7" s="1" t="s">
        <v>642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1">
        <v>1</v>
      </c>
      <c r="R7" s="1">
        <v>1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1</v>
      </c>
      <c r="AR7" s="1">
        <v>1</v>
      </c>
      <c r="AS7" s="1">
        <v>0</v>
      </c>
      <c r="AT7" s="1">
        <v>0</v>
      </c>
      <c r="AU7" s="1">
        <v>0</v>
      </c>
      <c r="AV7" s="1">
        <v>1</v>
      </c>
      <c r="AW7" s="1">
        <v>0</v>
      </c>
      <c r="AY7" s="1" t="s">
        <v>183</v>
      </c>
      <c r="AZ7" s="1" t="s">
        <v>84</v>
      </c>
      <c r="BA7" s="1"/>
      <c r="BB7" s="1">
        <v>6</v>
      </c>
      <c r="BD7">
        <v>6</v>
      </c>
    </row>
    <row r="8" spans="1:56">
      <c r="A8" s="1" t="s">
        <v>152</v>
      </c>
      <c r="B8" s="1" t="s">
        <v>153</v>
      </c>
      <c r="C8" s="1" t="s">
        <v>139</v>
      </c>
      <c r="D8" s="1" t="s">
        <v>643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</v>
      </c>
      <c r="AO8" s="1">
        <v>0</v>
      </c>
      <c r="AP8" s="1">
        <v>1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Y8" s="1" t="s">
        <v>194</v>
      </c>
      <c r="AZ8" s="1"/>
      <c r="BA8" s="1"/>
      <c r="BB8" s="1">
        <v>7</v>
      </c>
      <c r="BD8">
        <v>7</v>
      </c>
    </row>
    <row r="9" spans="1:56">
      <c r="A9" s="1" t="s">
        <v>152</v>
      </c>
      <c r="B9" s="1" t="s">
        <v>156</v>
      </c>
      <c r="C9" s="1" t="s">
        <v>78</v>
      </c>
      <c r="D9" s="1" t="s">
        <v>644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1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1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1</v>
      </c>
      <c r="AT9" s="1">
        <v>0</v>
      </c>
      <c r="AU9" s="1">
        <v>0</v>
      </c>
      <c r="AV9" s="1">
        <v>0</v>
      </c>
      <c r="AW9" s="1">
        <v>1</v>
      </c>
      <c r="AY9" s="1" t="s">
        <v>204</v>
      </c>
      <c r="AZ9" s="1"/>
      <c r="BA9" s="1"/>
      <c r="BB9" s="1">
        <v>8</v>
      </c>
      <c r="BD9">
        <v>8</v>
      </c>
    </row>
    <row r="10" spans="1:56">
      <c r="A10" s="1" t="s">
        <v>152</v>
      </c>
      <c r="B10" s="1" t="s">
        <v>159</v>
      </c>
      <c r="C10" s="1" t="s">
        <v>135</v>
      </c>
      <c r="D10" s="1" t="s">
        <v>645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</v>
      </c>
      <c r="AV10" s="1">
        <v>1</v>
      </c>
      <c r="AW10" s="1">
        <v>1</v>
      </c>
      <c r="AY10" s="1" t="s">
        <v>213</v>
      </c>
      <c r="AZ10" s="1"/>
      <c r="BA10" s="1"/>
      <c r="BB10" s="1">
        <v>9</v>
      </c>
      <c r="BD10">
        <v>9</v>
      </c>
    </row>
    <row r="11" spans="1:56">
      <c r="A11" s="1" t="s">
        <v>162</v>
      </c>
      <c r="B11" s="1" t="s">
        <v>163</v>
      </c>
      <c r="C11" s="1" t="s">
        <v>135</v>
      </c>
      <c r="D11" s="1" t="s">
        <v>646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v>1</v>
      </c>
      <c r="AY11" s="1" t="s">
        <v>224</v>
      </c>
      <c r="AZ11" s="1"/>
      <c r="BA11" s="1"/>
      <c r="BB11" s="1">
        <v>10</v>
      </c>
      <c r="BD11">
        <v>10</v>
      </c>
    </row>
    <row r="12" spans="1:56">
      <c r="A12" s="1" t="s">
        <v>162</v>
      </c>
      <c r="B12" s="1" t="s">
        <v>166</v>
      </c>
      <c r="C12" s="1" t="s">
        <v>139</v>
      </c>
      <c r="D12" s="1" t="s">
        <v>647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Y12" t="s">
        <v>236</v>
      </c>
      <c r="BD12">
        <v>11</v>
      </c>
    </row>
    <row r="13" spans="1:56">
      <c r="A13" s="1" t="s">
        <v>162</v>
      </c>
      <c r="B13" s="1" t="s">
        <v>168</v>
      </c>
      <c r="C13" s="1" t="s">
        <v>78</v>
      </c>
      <c r="D13" s="1" t="s">
        <v>648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1</v>
      </c>
      <c r="AT13" s="1">
        <v>0</v>
      </c>
      <c r="AU13" s="1">
        <v>0</v>
      </c>
      <c r="AV13" s="1">
        <v>1</v>
      </c>
      <c r="AW13" s="1">
        <v>0</v>
      </c>
      <c r="AY13" t="s">
        <v>244</v>
      </c>
      <c r="BD13">
        <v>12</v>
      </c>
    </row>
    <row r="14" spans="1:56">
      <c r="A14" s="1" t="s">
        <v>162</v>
      </c>
      <c r="B14" s="1" t="s">
        <v>171</v>
      </c>
      <c r="C14" s="1" t="s">
        <v>139</v>
      </c>
      <c r="D14" s="1" t="s">
        <v>649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</v>
      </c>
      <c r="AV14" s="1">
        <v>1</v>
      </c>
      <c r="AW14" s="1">
        <v>0</v>
      </c>
      <c r="AY14" t="s">
        <v>256</v>
      </c>
      <c r="BD14">
        <v>13</v>
      </c>
    </row>
    <row r="15" spans="1:56">
      <c r="A15" s="1" t="s">
        <v>174</v>
      </c>
      <c r="B15" s="1" t="s">
        <v>175</v>
      </c>
      <c r="C15" s="1" t="s">
        <v>139</v>
      </c>
      <c r="D15" s="1" t="s">
        <v>650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1</v>
      </c>
      <c r="V15" s="1">
        <v>1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</v>
      </c>
      <c r="AO15" s="1">
        <v>0</v>
      </c>
      <c r="AP15" s="1">
        <v>0</v>
      </c>
      <c r="AQ15" s="1">
        <v>0</v>
      </c>
      <c r="AR15" s="1">
        <v>0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Y15" t="s">
        <v>267</v>
      </c>
      <c r="BD15">
        <v>14</v>
      </c>
    </row>
    <row r="16" spans="1:56">
      <c r="A16" s="1" t="s">
        <v>174</v>
      </c>
      <c r="B16" s="1" t="s">
        <v>178</v>
      </c>
      <c r="C16" s="1" t="s">
        <v>139</v>
      </c>
      <c r="D16" s="1" t="s">
        <v>651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1</v>
      </c>
      <c r="U16" s="1">
        <v>0</v>
      </c>
      <c r="V16" s="1">
        <v>1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Y16" t="s">
        <v>276</v>
      </c>
      <c r="BD16">
        <v>15</v>
      </c>
    </row>
    <row r="17" spans="1:56">
      <c r="A17" s="1" t="s">
        <v>174</v>
      </c>
      <c r="B17" s="1" t="s">
        <v>180</v>
      </c>
      <c r="C17" s="1" t="s">
        <v>84</v>
      </c>
      <c r="D17" s="1" t="s">
        <v>652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1</v>
      </c>
      <c r="AI17" s="1">
        <v>0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Y17" t="s">
        <v>285</v>
      </c>
      <c r="BD17">
        <v>16</v>
      </c>
    </row>
    <row r="18" spans="1:56">
      <c r="A18" s="1" t="s">
        <v>183</v>
      </c>
      <c r="B18" s="1" t="s">
        <v>184</v>
      </c>
      <c r="C18" s="1" t="s">
        <v>81</v>
      </c>
      <c r="D18" s="1" t="s">
        <v>653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Y18" t="s">
        <v>294</v>
      </c>
      <c r="BD18">
        <v>17</v>
      </c>
    </row>
    <row r="19" spans="1:56">
      <c r="A19" s="1" t="s">
        <v>183</v>
      </c>
      <c r="B19" s="1" t="s">
        <v>186</v>
      </c>
      <c r="C19" s="1" t="s">
        <v>78</v>
      </c>
      <c r="D19" s="1" t="s">
        <v>654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</v>
      </c>
      <c r="AS19" s="1">
        <v>1</v>
      </c>
      <c r="AT19" s="1">
        <v>1</v>
      </c>
      <c r="AU19" s="1">
        <v>0</v>
      </c>
      <c r="AV19" s="1">
        <v>0</v>
      </c>
      <c r="AW19" s="1">
        <v>0</v>
      </c>
      <c r="AY19" t="s">
        <v>303</v>
      </c>
      <c r="BD19">
        <v>18</v>
      </c>
    </row>
    <row r="20" spans="1:56">
      <c r="A20" s="1" t="s">
        <v>183</v>
      </c>
      <c r="B20" s="1" t="s">
        <v>189</v>
      </c>
      <c r="C20" s="1" t="s">
        <v>139</v>
      </c>
      <c r="D20" s="1" t="s">
        <v>655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1</v>
      </c>
      <c r="AU20" s="1">
        <v>0</v>
      </c>
      <c r="AV20" s="1">
        <v>0</v>
      </c>
      <c r="AW20" s="1">
        <v>0</v>
      </c>
      <c r="AY20" t="s">
        <v>312</v>
      </c>
      <c r="BD20">
        <v>19</v>
      </c>
    </row>
    <row r="21" spans="1:56">
      <c r="A21" s="1" t="s">
        <v>183</v>
      </c>
      <c r="B21" s="1" t="s">
        <v>192</v>
      </c>
      <c r="C21" s="1" t="s">
        <v>135</v>
      </c>
      <c r="D21" s="1" t="s">
        <v>656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0</v>
      </c>
      <c r="AU21" s="1">
        <v>1</v>
      </c>
      <c r="AV21" s="1">
        <v>0</v>
      </c>
      <c r="AW21" s="1">
        <v>0</v>
      </c>
      <c r="AY21" t="s">
        <v>322</v>
      </c>
      <c r="BD21">
        <v>20</v>
      </c>
    </row>
    <row r="22" spans="1:56">
      <c r="A22" s="1" t="s">
        <v>194</v>
      </c>
      <c r="B22" s="1" t="s">
        <v>195</v>
      </c>
      <c r="C22" s="1" t="s">
        <v>135</v>
      </c>
      <c r="D22" s="1" t="s">
        <v>657</v>
      </c>
      <c r="E22" s="1">
        <v>0</v>
      </c>
      <c r="F22" s="1">
        <v>0</v>
      </c>
      <c r="G22" s="1">
        <v>1</v>
      </c>
      <c r="H22" s="1">
        <v>1</v>
      </c>
      <c r="I22" s="1">
        <v>0</v>
      </c>
      <c r="J22" s="1">
        <v>0</v>
      </c>
      <c r="K22" s="1">
        <v>1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1</v>
      </c>
      <c r="X22" s="1">
        <v>1</v>
      </c>
      <c r="Y22" s="1">
        <v>0</v>
      </c>
      <c r="Z22" s="1">
        <v>1</v>
      </c>
      <c r="AA22" s="1">
        <v>1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Y22" t="s">
        <v>334</v>
      </c>
      <c r="BD22">
        <v>21</v>
      </c>
    </row>
    <row r="23" spans="1:56">
      <c r="A23" s="1" t="s">
        <v>194</v>
      </c>
      <c r="B23" s="1" t="s">
        <v>198</v>
      </c>
      <c r="C23" s="1" t="s">
        <v>135</v>
      </c>
      <c r="D23" s="1" t="s">
        <v>658</v>
      </c>
      <c r="E23" s="1">
        <v>0</v>
      </c>
      <c r="F23" s="1">
        <v>0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1</v>
      </c>
      <c r="X23" s="1">
        <v>1</v>
      </c>
      <c r="Y23" s="1">
        <v>0</v>
      </c>
      <c r="Z23" s="1">
        <v>1</v>
      </c>
      <c r="AA23" s="1">
        <v>1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0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BD23">
        <v>22</v>
      </c>
    </row>
    <row r="24" spans="1:56">
      <c r="A24" s="1" t="s">
        <v>194</v>
      </c>
      <c r="B24" s="1" t="s">
        <v>201</v>
      </c>
      <c r="C24" s="1" t="s">
        <v>78</v>
      </c>
      <c r="D24" s="1" t="s">
        <v>659</v>
      </c>
      <c r="E24" s="1">
        <v>0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1</v>
      </c>
      <c r="Y24" s="1">
        <v>0</v>
      </c>
      <c r="Z24" s="1">
        <v>1</v>
      </c>
      <c r="AA24" s="1">
        <v>1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</v>
      </c>
      <c r="AN24" s="1">
        <v>1</v>
      </c>
      <c r="AO24" s="1">
        <v>0</v>
      </c>
      <c r="AP24" s="1">
        <v>0</v>
      </c>
      <c r="AQ24" s="1">
        <v>0</v>
      </c>
      <c r="AR24" s="1">
        <v>1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BD24">
        <v>23</v>
      </c>
    </row>
    <row r="25" spans="1:56">
      <c r="A25" s="1" t="s">
        <v>204</v>
      </c>
      <c r="B25" s="1" t="s">
        <v>205</v>
      </c>
      <c r="C25" s="1" t="s">
        <v>78</v>
      </c>
      <c r="D25" s="1" t="s">
        <v>660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0</v>
      </c>
      <c r="AO25" s="1">
        <v>0</v>
      </c>
      <c r="AP25" s="1">
        <v>0</v>
      </c>
      <c r="AQ25" s="1">
        <v>0</v>
      </c>
      <c r="AR25" s="1">
        <v>1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BD25">
        <v>24</v>
      </c>
    </row>
    <row r="26" spans="1:56">
      <c r="A26" s="1" t="s">
        <v>204</v>
      </c>
      <c r="B26" s="1" t="s">
        <v>208</v>
      </c>
      <c r="C26" s="1" t="s">
        <v>135</v>
      </c>
      <c r="D26" s="1" t="s">
        <v>661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1</v>
      </c>
      <c r="AL26" s="1">
        <v>0</v>
      </c>
      <c r="AM26" s="1">
        <v>1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</v>
      </c>
      <c r="AV26" s="1">
        <v>0</v>
      </c>
      <c r="AW26" s="1">
        <v>0</v>
      </c>
      <c r="BD26">
        <v>25</v>
      </c>
    </row>
    <row r="27" spans="1:56">
      <c r="A27" s="1" t="s">
        <v>204</v>
      </c>
      <c r="B27" s="1" t="s">
        <v>210</v>
      </c>
      <c r="C27" s="1" t="s">
        <v>84</v>
      </c>
      <c r="D27" s="1" t="s">
        <v>662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1</v>
      </c>
      <c r="AK27" s="1">
        <v>0</v>
      </c>
      <c r="AL27" s="1">
        <v>0</v>
      </c>
      <c r="AM27" s="1">
        <v>1</v>
      </c>
      <c r="AN27" s="1">
        <v>0</v>
      </c>
      <c r="AO27" s="1">
        <v>0</v>
      </c>
      <c r="AP27" s="1">
        <v>0</v>
      </c>
      <c r="AQ27" s="1">
        <v>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</row>
    <row r="28" spans="1:56">
      <c r="A28" s="1" t="s">
        <v>213</v>
      </c>
      <c r="B28" s="1" t="s">
        <v>214</v>
      </c>
      <c r="C28" s="1" t="s">
        <v>81</v>
      </c>
      <c r="D28" s="1" t="s">
        <v>663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</row>
    <row r="29" spans="1:56">
      <c r="A29" s="1" t="s">
        <v>213</v>
      </c>
      <c r="B29" s="1" t="s">
        <v>216</v>
      </c>
      <c r="C29" s="1" t="s">
        <v>135</v>
      </c>
      <c r="D29" s="1" t="s">
        <v>664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</v>
      </c>
      <c r="AR29" s="1">
        <v>0</v>
      </c>
      <c r="AS29" s="1">
        <v>0</v>
      </c>
      <c r="AT29" s="1">
        <v>0</v>
      </c>
      <c r="AU29" s="1">
        <v>1</v>
      </c>
      <c r="AV29" s="1">
        <v>0</v>
      </c>
      <c r="AW29" s="1">
        <v>0</v>
      </c>
    </row>
    <row r="30" spans="1:56">
      <c r="A30" s="1" t="s">
        <v>213</v>
      </c>
      <c r="B30" s="1" t="s">
        <v>218</v>
      </c>
      <c r="C30" s="1" t="s">
        <v>139</v>
      </c>
      <c r="D30" s="1" t="s">
        <v>665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</v>
      </c>
      <c r="AO30" s="1">
        <v>0</v>
      </c>
      <c r="AP30" s="1">
        <v>0</v>
      </c>
      <c r="AQ30" s="1">
        <v>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</row>
    <row r="31" spans="1:56">
      <c r="A31" s="1" t="s">
        <v>213</v>
      </c>
      <c r="B31" s="1" t="s">
        <v>221</v>
      </c>
      <c r="C31" s="1" t="s">
        <v>78</v>
      </c>
      <c r="D31" s="1" t="s">
        <v>666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0</v>
      </c>
      <c r="AP31" s="1">
        <v>0</v>
      </c>
      <c r="AQ31" s="1">
        <v>1</v>
      </c>
      <c r="AR31" s="1">
        <v>0</v>
      </c>
      <c r="AS31" s="1">
        <v>1</v>
      </c>
      <c r="AT31" s="1">
        <v>1</v>
      </c>
      <c r="AU31" s="1">
        <v>0</v>
      </c>
      <c r="AV31" s="1">
        <v>0</v>
      </c>
      <c r="AW31" s="1">
        <v>0</v>
      </c>
    </row>
    <row r="32" spans="1:56">
      <c r="A32" s="1" t="s">
        <v>224</v>
      </c>
      <c r="B32" s="1" t="s">
        <v>225</v>
      </c>
      <c r="C32" s="1" t="s">
        <v>81</v>
      </c>
      <c r="D32" s="1" t="s">
        <v>667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</row>
    <row r="33" spans="1:49">
      <c r="A33" s="1" t="s">
        <v>224</v>
      </c>
      <c r="B33" s="1" t="s">
        <v>227</v>
      </c>
      <c r="C33" s="1" t="s">
        <v>135</v>
      </c>
      <c r="D33" s="1" t="s">
        <v>668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1</v>
      </c>
      <c r="AR33" s="1">
        <v>0</v>
      </c>
      <c r="AS33" s="1">
        <v>1</v>
      </c>
      <c r="AT33" s="1">
        <v>0</v>
      </c>
      <c r="AU33" s="1">
        <v>0</v>
      </c>
      <c r="AV33" s="1">
        <v>0</v>
      </c>
      <c r="AW33" s="1">
        <v>0</v>
      </c>
    </row>
    <row r="34" spans="1:49">
      <c r="A34" s="1" t="s">
        <v>224</v>
      </c>
      <c r="B34" s="1" t="s">
        <v>230</v>
      </c>
      <c r="C34" s="1" t="s">
        <v>139</v>
      </c>
      <c r="D34" s="1" t="s">
        <v>669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1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</v>
      </c>
      <c r="AQ34" s="1">
        <v>1</v>
      </c>
      <c r="AR34" s="1">
        <v>0</v>
      </c>
      <c r="AS34" s="1">
        <v>0</v>
      </c>
      <c r="AT34" s="1">
        <v>1</v>
      </c>
      <c r="AU34" s="1">
        <v>0</v>
      </c>
      <c r="AV34" s="1">
        <v>0</v>
      </c>
      <c r="AW34" s="1">
        <v>0</v>
      </c>
    </row>
    <row r="35" spans="1:49">
      <c r="A35" s="1" t="s">
        <v>224</v>
      </c>
      <c r="B35" s="1" t="s">
        <v>233</v>
      </c>
      <c r="C35" s="1" t="s">
        <v>78</v>
      </c>
      <c r="D35" s="1" t="s">
        <v>670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</v>
      </c>
      <c r="AT35" s="1">
        <v>1</v>
      </c>
      <c r="AU35" s="1">
        <v>0</v>
      </c>
      <c r="AV35" s="1">
        <v>0</v>
      </c>
      <c r="AW35" s="1">
        <v>1</v>
      </c>
    </row>
    <row r="36" spans="1:49">
      <c r="A36" s="1" t="s">
        <v>236</v>
      </c>
      <c r="B36" s="1" t="s">
        <v>237</v>
      </c>
      <c r="C36" s="1" t="s">
        <v>135</v>
      </c>
      <c r="D36" s="1" t="s">
        <v>671</v>
      </c>
      <c r="E36" s="1">
        <v>1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</row>
    <row r="37" spans="1:49">
      <c r="A37" s="1" t="s">
        <v>236</v>
      </c>
      <c r="B37" s="1" t="s">
        <v>239</v>
      </c>
      <c r="C37" s="1" t="s">
        <v>135</v>
      </c>
      <c r="D37" s="1" t="s">
        <v>672</v>
      </c>
      <c r="E37" s="1">
        <v>1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</row>
    <row r="38" spans="1:49">
      <c r="A38" s="1" t="s">
        <v>236</v>
      </c>
      <c r="B38" s="1" t="s">
        <v>241</v>
      </c>
      <c r="C38" s="1" t="s">
        <v>78</v>
      </c>
      <c r="D38" s="1" t="s">
        <v>673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</v>
      </c>
      <c r="AU38" s="1">
        <v>0</v>
      </c>
      <c r="AV38" s="1">
        <v>1</v>
      </c>
      <c r="AW38" s="1">
        <v>0</v>
      </c>
    </row>
    <row r="39" spans="1:49">
      <c r="A39" s="1" t="s">
        <v>244</v>
      </c>
      <c r="B39" s="1" t="s">
        <v>245</v>
      </c>
      <c r="C39" s="1" t="s">
        <v>135</v>
      </c>
      <c r="D39" s="1" t="s">
        <v>674</v>
      </c>
      <c r="E39" s="1">
        <v>0</v>
      </c>
      <c r="F39" s="1">
        <v>1</v>
      </c>
      <c r="G39" s="1">
        <v>0</v>
      </c>
      <c r="H39" s="1">
        <v>0</v>
      </c>
      <c r="I39" s="1">
        <v>1</v>
      </c>
      <c r="J39" s="1">
        <v>0</v>
      </c>
      <c r="K39" s="1">
        <v>1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1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</row>
    <row r="40" spans="1:49">
      <c r="A40" s="1" t="s">
        <v>244</v>
      </c>
      <c r="B40" s="1" t="s">
        <v>248</v>
      </c>
      <c r="C40" s="1" t="s">
        <v>78</v>
      </c>
      <c r="D40" s="1" t="s">
        <v>675</v>
      </c>
      <c r="E40" s="1">
        <v>0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1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</v>
      </c>
      <c r="AT40" s="1">
        <v>1</v>
      </c>
      <c r="AU40" s="1">
        <v>0</v>
      </c>
      <c r="AV40" s="1">
        <v>0</v>
      </c>
      <c r="AW40" s="1">
        <v>0</v>
      </c>
    </row>
    <row r="41" spans="1:49">
      <c r="A41" s="1" t="s">
        <v>244</v>
      </c>
      <c r="B41" s="1" t="s">
        <v>251</v>
      </c>
      <c r="C41" s="1" t="s">
        <v>139</v>
      </c>
      <c r="D41" s="1" t="s">
        <v>676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1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</v>
      </c>
      <c r="AP41" s="1">
        <v>1</v>
      </c>
      <c r="AQ41" s="1">
        <v>0</v>
      </c>
      <c r="AR41" s="1">
        <v>0</v>
      </c>
      <c r="AS41" s="1">
        <v>0</v>
      </c>
      <c r="AT41" s="1">
        <v>1</v>
      </c>
      <c r="AU41" s="1">
        <v>0</v>
      </c>
      <c r="AV41" s="1">
        <v>0</v>
      </c>
      <c r="AW41" s="1">
        <v>0</v>
      </c>
    </row>
    <row r="42" spans="1:49">
      <c r="A42" s="1" t="s">
        <v>244</v>
      </c>
      <c r="B42" s="1" t="s">
        <v>254</v>
      </c>
      <c r="C42" s="1" t="s">
        <v>84</v>
      </c>
      <c r="D42" s="1" t="s">
        <v>677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1</v>
      </c>
      <c r="Z42" s="1">
        <v>0</v>
      </c>
      <c r="AA42" s="1">
        <v>1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1</v>
      </c>
      <c r="AK42" s="1">
        <v>0</v>
      </c>
      <c r="AL42" s="1">
        <v>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</row>
    <row r="43" spans="1:49">
      <c r="A43" s="1" t="s">
        <v>256</v>
      </c>
      <c r="B43" s="1" t="s">
        <v>257</v>
      </c>
      <c r="C43" s="1" t="s">
        <v>139</v>
      </c>
      <c r="D43" s="1" t="s">
        <v>678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  <c r="AN43" s="1">
        <v>0</v>
      </c>
      <c r="AO43" s="1">
        <v>1</v>
      </c>
      <c r="AP43" s="1">
        <v>0</v>
      </c>
      <c r="AQ43" s="1">
        <v>0</v>
      </c>
      <c r="AR43" s="1">
        <v>0</v>
      </c>
      <c r="AS43" s="1">
        <v>1</v>
      </c>
      <c r="AT43" s="1">
        <v>0</v>
      </c>
      <c r="AU43" s="1">
        <v>0</v>
      </c>
      <c r="AV43" s="1">
        <v>0</v>
      </c>
      <c r="AW43" s="1">
        <v>0</v>
      </c>
    </row>
    <row r="44" spans="1:49">
      <c r="A44" s="1" t="s">
        <v>256</v>
      </c>
      <c r="B44" s="1" t="s">
        <v>260</v>
      </c>
      <c r="C44" s="1" t="s">
        <v>84</v>
      </c>
      <c r="D44" s="1" t="s">
        <v>679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1</v>
      </c>
      <c r="AF44" s="1">
        <v>0</v>
      </c>
      <c r="AG44" s="1">
        <v>0</v>
      </c>
      <c r="AH44" s="1">
        <v>1</v>
      </c>
      <c r="AI44" s="1">
        <v>0</v>
      </c>
      <c r="AJ44" s="1">
        <v>1</v>
      </c>
      <c r="AK44" s="1">
        <v>0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</row>
    <row r="45" spans="1:49">
      <c r="A45" s="1" t="s">
        <v>256</v>
      </c>
      <c r="B45" s="1" t="s">
        <v>262</v>
      </c>
      <c r="C45" s="1" t="s">
        <v>135</v>
      </c>
      <c r="D45" s="1" t="s">
        <v>680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1</v>
      </c>
      <c r="AV45" s="1">
        <v>0</v>
      </c>
      <c r="AW45" s="1">
        <v>0</v>
      </c>
    </row>
    <row r="46" spans="1:49">
      <c r="A46" s="1" t="s">
        <v>256</v>
      </c>
      <c r="B46" s="1" t="s">
        <v>264</v>
      </c>
      <c r="C46" s="1" t="s">
        <v>78</v>
      </c>
      <c r="D46" s="1" t="s">
        <v>681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1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</v>
      </c>
      <c r="AT46" s="1">
        <v>1</v>
      </c>
      <c r="AU46" s="1">
        <v>0</v>
      </c>
      <c r="AV46" s="1">
        <v>0</v>
      </c>
      <c r="AW46" s="1">
        <v>0</v>
      </c>
    </row>
    <row r="47" spans="1:49">
      <c r="A47" s="1" t="s">
        <v>267</v>
      </c>
      <c r="B47" s="1" t="s">
        <v>268</v>
      </c>
      <c r="C47" s="1" t="s">
        <v>81</v>
      </c>
      <c r="D47" s="1" t="s">
        <v>682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1</v>
      </c>
      <c r="O47" s="1">
        <v>0</v>
      </c>
      <c r="P47" s="1">
        <v>0</v>
      </c>
      <c r="Q47" s="1">
        <v>0</v>
      </c>
      <c r="R47" s="1">
        <v>1</v>
      </c>
      <c r="S47" s="1">
        <v>1</v>
      </c>
      <c r="T47" s="1">
        <v>0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</v>
      </c>
      <c r="AV47" s="1">
        <v>0</v>
      </c>
      <c r="AW47" s="1">
        <v>0</v>
      </c>
    </row>
    <row r="48" spans="1:49">
      <c r="A48" s="1" t="s">
        <v>267</v>
      </c>
      <c r="B48" s="1" t="s">
        <v>270</v>
      </c>
      <c r="C48" s="1" t="s">
        <v>139</v>
      </c>
      <c r="D48" s="1" t="s">
        <v>683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0</v>
      </c>
      <c r="P48" s="1">
        <v>1</v>
      </c>
      <c r="Q48" s="1">
        <v>0</v>
      </c>
      <c r="R48" s="1">
        <v>0</v>
      </c>
      <c r="S48" s="1">
        <v>1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</v>
      </c>
      <c r="AQ48" s="1">
        <v>0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0</v>
      </c>
    </row>
    <row r="49" spans="1:49">
      <c r="A49" s="1" t="s">
        <v>267</v>
      </c>
      <c r="B49" s="1" t="s">
        <v>273</v>
      </c>
      <c r="C49" s="1" t="s">
        <v>139</v>
      </c>
      <c r="D49" s="1" t="s">
        <v>684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1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</v>
      </c>
      <c r="AV49" s="1">
        <v>0</v>
      </c>
      <c r="AW49" s="1">
        <v>0</v>
      </c>
    </row>
    <row r="50" spans="1:49">
      <c r="A50" s="1" t="s">
        <v>276</v>
      </c>
      <c r="B50" s="1" t="s">
        <v>277</v>
      </c>
      <c r="C50" s="1" t="s">
        <v>135</v>
      </c>
      <c r="D50" s="1" t="s">
        <v>685</v>
      </c>
      <c r="E50" s="1">
        <v>0</v>
      </c>
      <c r="F50" s="1">
        <v>1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1</v>
      </c>
      <c r="AV50" s="1">
        <v>0</v>
      </c>
      <c r="AW50" s="1">
        <v>0</v>
      </c>
    </row>
    <row r="51" spans="1:49">
      <c r="A51" s="1" t="s">
        <v>276</v>
      </c>
      <c r="B51" s="1" t="s">
        <v>280</v>
      </c>
      <c r="C51" s="1" t="s">
        <v>139</v>
      </c>
      <c r="D51" s="1" t="s">
        <v>686</v>
      </c>
      <c r="E51" s="1">
        <v>0</v>
      </c>
      <c r="F51" s="1">
        <v>1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1</v>
      </c>
      <c r="AL51" s="1">
        <v>1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</v>
      </c>
      <c r="AU51" s="1">
        <v>0</v>
      </c>
      <c r="AV51" s="1">
        <v>0</v>
      </c>
      <c r="AW51" s="1">
        <v>0</v>
      </c>
    </row>
    <row r="52" spans="1:49">
      <c r="A52" s="1" t="s">
        <v>276</v>
      </c>
      <c r="B52" s="1" t="s">
        <v>282</v>
      </c>
      <c r="C52" s="1" t="s">
        <v>84</v>
      </c>
      <c r="D52" s="1" t="s">
        <v>687</v>
      </c>
      <c r="E52" s="1">
        <v>0</v>
      </c>
      <c r="F52" s="1">
        <v>1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</row>
    <row r="53" spans="1:49">
      <c r="A53" s="1" t="s">
        <v>285</v>
      </c>
      <c r="B53" s="1" t="s">
        <v>286</v>
      </c>
      <c r="C53" s="1" t="s">
        <v>135</v>
      </c>
      <c r="D53" s="1" t="s">
        <v>688</v>
      </c>
      <c r="E53" s="1">
        <v>0</v>
      </c>
      <c r="F53" s="1">
        <v>0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1</v>
      </c>
      <c r="AU53" s="1">
        <v>0</v>
      </c>
      <c r="AV53" s="1">
        <v>0</v>
      </c>
      <c r="AW53" s="1">
        <v>0</v>
      </c>
    </row>
    <row r="54" spans="1:49">
      <c r="A54" s="1" t="s">
        <v>285</v>
      </c>
      <c r="B54" s="1" t="s">
        <v>289</v>
      </c>
      <c r="C54" s="1" t="s">
        <v>135</v>
      </c>
      <c r="D54" s="1" t="s">
        <v>689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1</v>
      </c>
      <c r="AU54" s="1">
        <v>1</v>
      </c>
      <c r="AV54" s="1">
        <v>0</v>
      </c>
      <c r="AW54" s="1">
        <v>0</v>
      </c>
    </row>
    <row r="55" spans="1:49">
      <c r="A55" s="1" t="s">
        <v>285</v>
      </c>
      <c r="B55" s="1" t="s">
        <v>292</v>
      </c>
      <c r="C55" s="1" t="s">
        <v>78</v>
      </c>
      <c r="D55" s="1" t="s">
        <v>690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</v>
      </c>
      <c r="AT55" s="1">
        <v>1</v>
      </c>
      <c r="AU55" s="1">
        <v>0</v>
      </c>
      <c r="AV55" s="1">
        <v>0</v>
      </c>
      <c r="AW55" s="1">
        <v>0</v>
      </c>
    </row>
    <row r="56" spans="1:49">
      <c r="A56" s="1" t="s">
        <v>294</v>
      </c>
      <c r="B56" s="1" t="s">
        <v>295</v>
      </c>
      <c r="C56" s="1" t="s">
        <v>139</v>
      </c>
      <c r="D56" s="1" t="s">
        <v>691</v>
      </c>
      <c r="E56" s="1">
        <v>1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1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1</v>
      </c>
      <c r="Z56" s="1">
        <v>0</v>
      </c>
      <c r="AA56" s="1">
        <v>1</v>
      </c>
      <c r="AB56" s="1">
        <v>1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</v>
      </c>
      <c r="AV56" s="1">
        <v>0</v>
      </c>
      <c r="AW56" s="1">
        <v>0</v>
      </c>
    </row>
    <row r="57" spans="1:49">
      <c r="A57" s="1" t="s">
        <v>294</v>
      </c>
      <c r="B57" s="1" t="s">
        <v>298</v>
      </c>
      <c r="C57" s="1" t="s">
        <v>135</v>
      </c>
      <c r="D57" s="1" t="s">
        <v>692</v>
      </c>
      <c r="E57" s="1">
        <v>1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1</v>
      </c>
      <c r="T57" s="1">
        <v>0</v>
      </c>
      <c r="U57" s="1">
        <v>1</v>
      </c>
      <c r="V57" s="1">
        <v>0</v>
      </c>
      <c r="W57" s="1">
        <v>1</v>
      </c>
      <c r="X57" s="1">
        <v>0</v>
      </c>
      <c r="Y57" s="1">
        <v>1</v>
      </c>
      <c r="Z57" s="1">
        <v>0</v>
      </c>
      <c r="AA57" s="1">
        <v>1</v>
      </c>
      <c r="AB57" s="1">
        <v>1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</v>
      </c>
      <c r="AV57" s="1">
        <v>0</v>
      </c>
      <c r="AW57" s="1">
        <v>0</v>
      </c>
    </row>
    <row r="58" spans="1:49">
      <c r="A58" s="1" t="s">
        <v>294</v>
      </c>
      <c r="B58" s="1" t="s">
        <v>300</v>
      </c>
      <c r="C58" s="1" t="s">
        <v>135</v>
      </c>
      <c r="D58" s="1" t="s">
        <v>693</v>
      </c>
      <c r="E58" s="1">
        <v>1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</v>
      </c>
      <c r="S58" s="1">
        <v>1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1</v>
      </c>
      <c r="Z58" s="1">
        <v>0</v>
      </c>
      <c r="AA58" s="1">
        <v>1</v>
      </c>
      <c r="AB58" s="1">
        <v>1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0</v>
      </c>
      <c r="AU58" s="1">
        <v>1</v>
      </c>
      <c r="AV58" s="1">
        <v>0</v>
      </c>
      <c r="AW58" s="1">
        <v>0</v>
      </c>
    </row>
    <row r="59" spans="1:49">
      <c r="A59" s="1" t="s">
        <v>303</v>
      </c>
      <c r="B59" s="1" t="s">
        <v>304</v>
      </c>
      <c r="C59" s="1" t="s">
        <v>81</v>
      </c>
      <c r="D59" s="1" t="s">
        <v>694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1</v>
      </c>
      <c r="O59" s="1">
        <v>0</v>
      </c>
      <c r="P59" s="1">
        <v>1</v>
      </c>
      <c r="Q59" s="1">
        <v>0</v>
      </c>
      <c r="R59" s="1">
        <v>0</v>
      </c>
      <c r="S59" s="1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</v>
      </c>
      <c r="AD59" s="1">
        <v>0</v>
      </c>
      <c r="AE59" s="1">
        <v>0</v>
      </c>
      <c r="AF59" s="1">
        <v>1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</row>
    <row r="60" spans="1:49">
      <c r="A60" s="1" t="s">
        <v>303</v>
      </c>
      <c r="B60" s="1" t="s">
        <v>306</v>
      </c>
      <c r="C60" s="1" t="s">
        <v>139</v>
      </c>
      <c r="D60" s="1" t="s">
        <v>695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1</v>
      </c>
      <c r="AO60" s="1">
        <v>0</v>
      </c>
      <c r="AP60" s="1">
        <v>1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</v>
      </c>
      <c r="AW60" s="1">
        <v>0</v>
      </c>
    </row>
    <row r="61" spans="1:49">
      <c r="A61" s="1" t="s">
        <v>303</v>
      </c>
      <c r="B61" s="1" t="s">
        <v>309</v>
      </c>
      <c r="C61" s="1" t="s">
        <v>139</v>
      </c>
      <c r="D61" s="1" t="s">
        <v>696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0</v>
      </c>
      <c r="P61" s="1">
        <v>0</v>
      </c>
      <c r="Q61" s="1">
        <v>0</v>
      </c>
      <c r="R61" s="1">
        <v>1</v>
      </c>
      <c r="S61" s="1">
        <v>1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</v>
      </c>
      <c r="AT61" s="1">
        <v>1</v>
      </c>
      <c r="AU61" s="1">
        <v>0</v>
      </c>
      <c r="AV61" s="1">
        <v>0</v>
      </c>
      <c r="AW61" s="1">
        <v>0</v>
      </c>
    </row>
    <row r="62" spans="1:49">
      <c r="A62" s="1" t="s">
        <v>312</v>
      </c>
      <c r="B62" s="1" t="s">
        <v>313</v>
      </c>
      <c r="C62" s="1" t="s">
        <v>139</v>
      </c>
      <c r="D62" s="1" t="s">
        <v>697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>
        <v>0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  <c r="AN62" s="1">
        <v>0</v>
      </c>
      <c r="AO62" s="1">
        <v>0</v>
      </c>
      <c r="AP62" s="1">
        <v>0</v>
      </c>
      <c r="AQ62" s="1">
        <v>0</v>
      </c>
      <c r="AR62" s="1">
        <v>1</v>
      </c>
      <c r="AS62" s="1">
        <v>1</v>
      </c>
      <c r="AT62" s="1">
        <v>0</v>
      </c>
      <c r="AU62" s="1">
        <v>1</v>
      </c>
      <c r="AV62" s="1">
        <v>0</v>
      </c>
      <c r="AW62" s="1">
        <v>0</v>
      </c>
    </row>
    <row r="63" spans="1:49">
      <c r="A63" s="1" t="s">
        <v>312</v>
      </c>
      <c r="B63" s="1" t="s">
        <v>316</v>
      </c>
      <c r="C63" s="1" t="s">
        <v>139</v>
      </c>
      <c r="D63" s="1" t="s">
        <v>698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1</v>
      </c>
      <c r="AO63" s="1">
        <v>0</v>
      </c>
      <c r="AP63" s="1">
        <v>0</v>
      </c>
      <c r="AQ63" s="1">
        <v>0</v>
      </c>
      <c r="AR63" s="1">
        <v>1</v>
      </c>
      <c r="AS63" s="1">
        <v>1</v>
      </c>
      <c r="AT63" s="1">
        <v>0</v>
      </c>
      <c r="AU63" s="1">
        <v>1</v>
      </c>
      <c r="AV63" s="1">
        <v>0</v>
      </c>
      <c r="AW63" s="1">
        <v>0</v>
      </c>
    </row>
    <row r="64" spans="1:49">
      <c r="A64" s="1" t="s">
        <v>312</v>
      </c>
      <c r="B64" s="1" t="s">
        <v>319</v>
      </c>
      <c r="C64" s="1" t="s">
        <v>139</v>
      </c>
      <c r="D64" s="1" t="s">
        <v>699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  <c r="AN64" s="1">
        <v>0</v>
      </c>
      <c r="AO64" s="1">
        <v>1</v>
      </c>
      <c r="AP64" s="1">
        <v>0</v>
      </c>
      <c r="AQ64" s="1">
        <v>0</v>
      </c>
      <c r="AR64" s="1">
        <v>1</v>
      </c>
      <c r="AS64" s="1">
        <v>1</v>
      </c>
      <c r="AT64" s="1">
        <v>0</v>
      </c>
      <c r="AU64" s="1">
        <v>1</v>
      </c>
      <c r="AV64" s="1">
        <v>0</v>
      </c>
      <c r="AW64" s="1">
        <v>0</v>
      </c>
    </row>
    <row r="65" spans="1:49">
      <c r="A65" s="1" t="s">
        <v>322</v>
      </c>
      <c r="B65" s="1" t="s">
        <v>323</v>
      </c>
      <c r="C65" s="1" t="s">
        <v>135</v>
      </c>
      <c r="D65" s="1" t="s">
        <v>700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1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</v>
      </c>
      <c r="AW65" s="1">
        <v>0</v>
      </c>
    </row>
    <row r="66" spans="1:49">
      <c r="A66" s="1" t="s">
        <v>322</v>
      </c>
      <c r="B66" s="1" t="s">
        <v>326</v>
      </c>
      <c r="C66" s="1" t="s">
        <v>81</v>
      </c>
      <c r="D66" s="1" t="s">
        <v>701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1</v>
      </c>
      <c r="AW66" s="1">
        <v>0</v>
      </c>
    </row>
    <row r="67" spans="1:49">
      <c r="A67" s="1" t="s">
        <v>322</v>
      </c>
      <c r="B67" s="1" t="s">
        <v>328</v>
      </c>
      <c r="C67" s="1" t="s">
        <v>78</v>
      </c>
      <c r="D67" s="1" t="s">
        <v>702</v>
      </c>
      <c r="E67" s="1">
        <v>0</v>
      </c>
      <c r="F67" s="1">
        <v>1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</v>
      </c>
      <c r="AT67" s="1">
        <v>1</v>
      </c>
      <c r="AU67" s="1">
        <v>0</v>
      </c>
      <c r="AV67" s="1">
        <v>1</v>
      </c>
      <c r="AW67" s="1">
        <v>0</v>
      </c>
    </row>
    <row r="68" spans="1:49">
      <c r="A68" s="1" t="s">
        <v>322</v>
      </c>
      <c r="B68" s="1" t="s">
        <v>331</v>
      </c>
      <c r="C68" s="1" t="s">
        <v>139</v>
      </c>
      <c r="D68" s="1" t="s">
        <v>703</v>
      </c>
      <c r="E68" s="1">
        <v>0</v>
      </c>
      <c r="F68" s="1">
        <v>1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1</v>
      </c>
      <c r="AQ68" s="1">
        <v>0</v>
      </c>
      <c r="AR68" s="1">
        <v>0</v>
      </c>
      <c r="AS68" s="1">
        <v>0</v>
      </c>
      <c r="AT68" s="1">
        <v>0</v>
      </c>
      <c r="AU68" s="1">
        <v>1</v>
      </c>
      <c r="AV68" s="1">
        <v>1</v>
      </c>
      <c r="AW68" s="1">
        <v>0</v>
      </c>
    </row>
    <row r="69" spans="1:49">
      <c r="A69" s="1" t="s">
        <v>334</v>
      </c>
      <c r="B69" s="1" t="s">
        <v>335</v>
      </c>
      <c r="C69" s="1" t="s">
        <v>139</v>
      </c>
      <c r="D69" s="1" t="s">
        <v>704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1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1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</row>
    <row r="70" spans="1:49">
      <c r="A70" s="1" t="s">
        <v>334</v>
      </c>
      <c r="B70" s="1" t="s">
        <v>337</v>
      </c>
      <c r="C70" s="1" t="s">
        <v>139</v>
      </c>
      <c r="D70" s="1" t="s">
        <v>705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1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</row>
    <row r="71" spans="1:49">
      <c r="A71" s="1" t="s">
        <v>334</v>
      </c>
      <c r="B71" s="1" t="s">
        <v>339</v>
      </c>
      <c r="C71" s="1" t="s">
        <v>81</v>
      </c>
      <c r="D71" s="1" t="s">
        <v>706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1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1</v>
      </c>
      <c r="AE71" s="1">
        <v>1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119"/>
  <sheetViews>
    <sheetView workbookViewId="0"/>
  </sheetViews>
  <sheetFormatPr defaultRowHeight="14.25"/>
  <cols>
    <col min="1" max="1" width="34" customWidth="1"/>
    <col min="2" max="3" width="14" customWidth="1"/>
    <col min="4" max="10" width="6" customWidth="1"/>
    <col min="11" max="11" width="75" customWidth="1"/>
    <col min="12" max="48" width="6" customWidth="1"/>
  </cols>
  <sheetData>
    <row r="1" spans="1:48" ht="24">
      <c r="A1" s="3" t="s">
        <v>707</v>
      </c>
      <c r="B1" s="3" t="s">
        <v>708</v>
      </c>
      <c r="C1" s="3" t="s">
        <v>25</v>
      </c>
      <c r="D1" s="3" t="s">
        <v>709</v>
      </c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>
      <c r="A2" s="4" t="str">
        <f>IF(OR('РЕЙД-КОНСТРУКТОР'!C6="",'РЕЙД-КОНСТРУКТОР'!D6=""),"",'РЕЙД-КОНСТРУКТОР'!C6&amp;"§"&amp;'РЕЙД-КОНСТРУКТОР'!D6)</f>
        <v/>
      </c>
      <c r="B2" s="4">
        <f>IF(A2="",0,IF('РЕЙД-КОНСТРУКТОР'!F6="",1,'РЕЙД-КОНСТРУКТОР'!F6))</f>
        <v>0</v>
      </c>
      <c r="C2" s="4">
        <f>'РЕЙД-КОНСТРУКТОР'!E6</f>
        <v>0</v>
      </c>
      <c r="D2" s="4">
        <f>IFERROR(INDEX(ТЕХ_Списки!$E$2:$E$71,MATCH($A2,ТЕХ_Списки!$D$2:$D$71,0)),0)</f>
        <v>0</v>
      </c>
      <c r="E2" s="4">
        <f>IFERROR(INDEX(ТЕХ_Списки!$F$2:$F$71,MATCH($A2,ТЕХ_Списки!$D$2:$D$71,0)),0)</f>
        <v>0</v>
      </c>
      <c r="F2" s="4">
        <f>IFERROR(INDEX(ТЕХ_Списки!$G$2:$G$71,MATCH($A2,ТЕХ_Списки!$D$2:$D$71,0)),0)</f>
        <v>0</v>
      </c>
      <c r="G2" s="4">
        <f>IFERROR(INDEX(ТЕХ_Списки!$H$2:$H$71,MATCH($A2,ТЕХ_Списки!$D$2:$D$71,0)),0)</f>
        <v>0</v>
      </c>
      <c r="H2" s="4">
        <f>IFERROR(INDEX(ТЕХ_Списки!$I$2:$I$71,MATCH($A2,ТЕХ_Списки!$D$2:$D$71,0)),0)</f>
        <v>0</v>
      </c>
      <c r="I2" s="4">
        <f>IFERROR(INDEX(ТЕХ_Списки!$J$2:$J$71,MATCH($A2,ТЕХ_Списки!$D$2:$D$71,0)),0)</f>
        <v>0</v>
      </c>
      <c r="J2" s="4">
        <f>IFERROR(INDEX(ТЕХ_Списки!$K$2:$K$71,MATCH($A2,ТЕХ_Списки!$D$2:$D$71,0)),0)</f>
        <v>0</v>
      </c>
      <c r="K2" s="4">
        <f>IFERROR(INDEX(ТЕХ_Списки!$L$2:$L$71,MATCH($A2,ТЕХ_Списки!$D$2:$D$71,0)),0)</f>
        <v>0</v>
      </c>
      <c r="L2" s="4">
        <f>IFERROR(INDEX(ТЕХ_Списки!$M$2:$M$71,MATCH($A2,ТЕХ_Списки!$D$2:$D$71,0)),0)</f>
        <v>0</v>
      </c>
      <c r="M2" s="4">
        <f>IFERROR(INDEX(ТЕХ_Списки!$N$2:$N$71,MATCH($A2,ТЕХ_Списки!$D$2:$D$71,0)),0)</f>
        <v>0</v>
      </c>
      <c r="N2" s="4">
        <f>IFERROR(INDEX(ТЕХ_Списки!$O$2:$O$71,MATCH($A2,ТЕХ_Списки!$D$2:$D$71,0)),0)</f>
        <v>0</v>
      </c>
      <c r="O2" s="4">
        <f>IFERROR(INDEX(ТЕХ_Списки!$P$2:$P$71,MATCH($A2,ТЕХ_Списки!$D$2:$D$71,0)),0)</f>
        <v>0</v>
      </c>
      <c r="P2" s="4">
        <f>IFERROR(INDEX(ТЕХ_Списки!$Q$2:$Q$71,MATCH($A2,ТЕХ_Списки!$D$2:$D$71,0)),0)</f>
        <v>0</v>
      </c>
      <c r="Q2" s="4">
        <f>IFERROR(INDEX(ТЕХ_Списки!$R$2:$R$71,MATCH($A2,ТЕХ_Списки!$D$2:$D$71,0)),0)</f>
        <v>0</v>
      </c>
      <c r="R2" s="4">
        <f>IFERROR(INDEX(ТЕХ_Списки!$S$2:$S$71,MATCH($A2,ТЕХ_Списки!$D$2:$D$71,0)),0)</f>
        <v>0</v>
      </c>
      <c r="S2" s="4">
        <f>IFERROR(INDEX(ТЕХ_Списки!$T$2:$T$71,MATCH($A2,ТЕХ_Списки!$D$2:$D$71,0)),0)</f>
        <v>0</v>
      </c>
      <c r="T2" s="4">
        <f>IFERROR(INDEX(ТЕХ_Списки!$U$2:$U$71,MATCH($A2,ТЕХ_Списки!$D$2:$D$71,0)),0)</f>
        <v>0</v>
      </c>
      <c r="U2" s="4">
        <f>IFERROR(INDEX(ТЕХ_Списки!$V$2:$V$71,MATCH($A2,ТЕХ_Списки!$D$2:$D$71,0)),0)</f>
        <v>0</v>
      </c>
      <c r="V2" s="4">
        <f>IFERROR(INDEX(ТЕХ_Списки!$W$2:$W$71,MATCH($A2,ТЕХ_Списки!$D$2:$D$71,0)),0)</f>
        <v>0</v>
      </c>
      <c r="W2" s="4">
        <f>IFERROR(INDEX(ТЕХ_Списки!$X$2:$X$71,MATCH($A2,ТЕХ_Списки!$D$2:$D$71,0)),0)</f>
        <v>0</v>
      </c>
      <c r="X2" s="4">
        <f>IFERROR(INDEX(ТЕХ_Списки!$Y$2:$Y$71,MATCH($A2,ТЕХ_Списки!$D$2:$D$71,0)),0)</f>
        <v>0</v>
      </c>
      <c r="Y2" s="4">
        <f>IFERROR(INDEX(ТЕХ_Списки!$Z$2:$Z$71,MATCH($A2,ТЕХ_Списки!$D$2:$D$71,0)),0)</f>
        <v>0</v>
      </c>
      <c r="Z2" s="4">
        <f>IFERROR(INDEX(ТЕХ_Списки!$AA$2:$AA$71,MATCH($A2,ТЕХ_Списки!$D$2:$D$71,0)),0)</f>
        <v>0</v>
      </c>
      <c r="AA2" s="4">
        <f>IFERROR(INDEX(ТЕХ_Списки!$AB$2:$AB$71,MATCH($A2,ТЕХ_Списки!$D$2:$D$71,0)),0)</f>
        <v>0</v>
      </c>
      <c r="AB2" s="4">
        <f>IFERROR(INDEX(ТЕХ_Списки!$AC$2:$AC$71,MATCH($A2,ТЕХ_Списки!$D$2:$D$71,0)),0)</f>
        <v>0</v>
      </c>
      <c r="AC2" s="4">
        <f>IFERROR(INDEX(ТЕХ_Списки!$AD$2:$AD$71,MATCH($A2,ТЕХ_Списки!$D$2:$D$71,0)),0)</f>
        <v>0</v>
      </c>
      <c r="AD2" s="4">
        <f>IFERROR(INDEX(ТЕХ_Списки!$AE$2:$AE$71,MATCH($A2,ТЕХ_Списки!$D$2:$D$71,0)),0)</f>
        <v>0</v>
      </c>
      <c r="AE2" s="4">
        <f>IFERROR(INDEX(ТЕХ_Списки!$AF$2:$AF$71,MATCH($A2,ТЕХ_Списки!$D$2:$D$71,0)),0)</f>
        <v>0</v>
      </c>
      <c r="AF2" s="4">
        <f>IFERROR(INDEX(ТЕХ_Списки!$AG$2:$AG$71,MATCH($A2,ТЕХ_Списки!$D$2:$D$71,0)),0)</f>
        <v>0</v>
      </c>
      <c r="AG2" s="4">
        <f>IFERROR(INDEX(ТЕХ_Списки!$AH$2:$AH$71,MATCH($A2,ТЕХ_Списки!$D$2:$D$71,0)),0)</f>
        <v>0</v>
      </c>
      <c r="AH2" s="4">
        <f>IFERROR(INDEX(ТЕХ_Списки!$AI$2:$AI$71,MATCH($A2,ТЕХ_Списки!$D$2:$D$71,0)),0)</f>
        <v>0</v>
      </c>
      <c r="AI2" s="4">
        <f>IFERROR(INDEX(ТЕХ_Списки!$AJ$2:$AJ$71,MATCH($A2,ТЕХ_Списки!$D$2:$D$71,0)),0)</f>
        <v>0</v>
      </c>
      <c r="AJ2" s="4">
        <f>IFERROR(INDEX(ТЕХ_Списки!$AK$2:$AK$71,MATCH($A2,ТЕХ_Списки!$D$2:$D$71,0)),0)</f>
        <v>0</v>
      </c>
      <c r="AK2" s="4">
        <f>IFERROR(INDEX(ТЕХ_Списки!$AL$2:$AL$71,MATCH($A2,ТЕХ_Списки!$D$2:$D$71,0)),0)</f>
        <v>0</v>
      </c>
      <c r="AL2" s="4">
        <f>IFERROR(INDEX(ТЕХ_Списки!$AM$2:$AM$71,MATCH($A2,ТЕХ_Списки!$D$2:$D$71,0)),0)</f>
        <v>0</v>
      </c>
      <c r="AM2" s="4">
        <f>IFERROR(INDEX(ТЕХ_Списки!$AN$2:$AN$71,MATCH($A2,ТЕХ_Списки!$D$2:$D$71,0)),0)</f>
        <v>0</v>
      </c>
      <c r="AN2" s="4">
        <f>IFERROR(INDEX(ТЕХ_Списки!$AO$2:$AO$71,MATCH($A2,ТЕХ_Списки!$D$2:$D$71,0)),0)</f>
        <v>0</v>
      </c>
      <c r="AO2" s="4">
        <f>IFERROR(INDEX(ТЕХ_Списки!$AP$2:$AP$71,MATCH($A2,ТЕХ_Списки!$D$2:$D$71,0)),0)</f>
        <v>0</v>
      </c>
      <c r="AP2" s="4">
        <f>IFERROR(INDEX(ТЕХ_Списки!$AQ$2:$AQ$71,MATCH($A2,ТЕХ_Списки!$D$2:$D$71,0)),0)</f>
        <v>0</v>
      </c>
      <c r="AQ2" s="4">
        <f>IFERROR(INDEX(ТЕХ_Списки!$AR$2:$AR$71,MATCH($A2,ТЕХ_Списки!$D$2:$D$71,0)),0)</f>
        <v>0</v>
      </c>
      <c r="AR2" s="4">
        <f>IFERROR(INDEX(ТЕХ_Списки!$AS$2:$AS$71,MATCH($A2,ТЕХ_Списки!$D$2:$D$71,0)),0)</f>
        <v>0</v>
      </c>
      <c r="AS2" s="4">
        <f>IFERROR(INDEX(ТЕХ_Списки!$AT$2:$AT$71,MATCH($A2,ТЕХ_Списки!$D$2:$D$71,0)),0)</f>
        <v>0</v>
      </c>
      <c r="AT2" s="4">
        <f>IFERROR(INDEX(ТЕХ_Списки!$AU$2:$AU$71,MATCH($A2,ТЕХ_Списки!$D$2:$D$71,0)),0)</f>
        <v>0</v>
      </c>
      <c r="AU2" s="4">
        <f>IFERROR(INDEX(ТЕХ_Списки!$AV$2:$AV$71,MATCH($A2,ТЕХ_Списки!$D$2:$D$71,0)),0)</f>
        <v>0</v>
      </c>
      <c r="AV2" s="4">
        <f>IFERROR(INDEX(ТЕХ_Списки!$AW$2:$AW$71,MATCH($A2,ТЕХ_Списки!$D$2:$D$71,0)),0)</f>
        <v>0</v>
      </c>
    </row>
    <row r="3" spans="1:48">
      <c r="A3" s="4" t="str">
        <f>IF(OR('РЕЙД-КОНСТРУКТОР'!C7="",'РЕЙД-КОНСТРУКТОР'!D7=""),"",'РЕЙД-КОНСТРУКТОР'!C7&amp;"§"&amp;'РЕЙД-КОНСТРУКТОР'!D7)</f>
        <v/>
      </c>
      <c r="B3" s="4">
        <f>IF(A3="",0,IF('РЕЙД-КОНСТРУКТОР'!F7="",1,'РЕЙД-КОНСТРУКТОР'!F7))</f>
        <v>0</v>
      </c>
      <c r="C3" s="4">
        <f>'РЕЙД-КОНСТРУКТОР'!E7</f>
        <v>0</v>
      </c>
      <c r="D3" s="4">
        <f>IFERROR(INDEX(ТЕХ_Списки!$E$2:$E$71,MATCH($A3,ТЕХ_Списки!$D$2:$D$71,0)),0)</f>
        <v>0</v>
      </c>
      <c r="E3" s="4">
        <f>IFERROR(INDEX(ТЕХ_Списки!$F$2:$F$71,MATCH($A3,ТЕХ_Списки!$D$2:$D$71,0)),0)</f>
        <v>0</v>
      </c>
      <c r="F3" s="4">
        <f>IFERROR(INDEX(ТЕХ_Списки!$G$2:$G$71,MATCH($A3,ТЕХ_Списки!$D$2:$D$71,0)),0)</f>
        <v>0</v>
      </c>
      <c r="G3" s="4">
        <f>IFERROR(INDEX(ТЕХ_Списки!$H$2:$H$71,MATCH($A3,ТЕХ_Списки!$D$2:$D$71,0)),0)</f>
        <v>0</v>
      </c>
      <c r="H3" s="4">
        <f>IFERROR(INDEX(ТЕХ_Списки!$I$2:$I$71,MATCH($A3,ТЕХ_Списки!$D$2:$D$71,0)),0)</f>
        <v>0</v>
      </c>
      <c r="I3" s="4">
        <f>IFERROR(INDEX(ТЕХ_Списки!$J$2:$J$71,MATCH($A3,ТЕХ_Списки!$D$2:$D$71,0)),0)</f>
        <v>0</v>
      </c>
      <c r="J3" s="4">
        <f>IFERROR(INDEX(ТЕХ_Списки!$K$2:$K$71,MATCH($A3,ТЕХ_Списки!$D$2:$D$71,0)),0)</f>
        <v>0</v>
      </c>
      <c r="K3" s="4">
        <f>IFERROR(INDEX(ТЕХ_Списки!$L$2:$L$71,MATCH($A3,ТЕХ_Списки!$D$2:$D$71,0)),0)</f>
        <v>0</v>
      </c>
      <c r="L3" s="4">
        <f>IFERROR(INDEX(ТЕХ_Списки!$M$2:$M$71,MATCH($A3,ТЕХ_Списки!$D$2:$D$71,0)),0)</f>
        <v>0</v>
      </c>
      <c r="M3" s="4">
        <f>IFERROR(INDEX(ТЕХ_Списки!$N$2:$N$71,MATCH($A3,ТЕХ_Списки!$D$2:$D$71,0)),0)</f>
        <v>0</v>
      </c>
      <c r="N3" s="4">
        <f>IFERROR(INDEX(ТЕХ_Списки!$O$2:$O$71,MATCH($A3,ТЕХ_Списки!$D$2:$D$71,0)),0)</f>
        <v>0</v>
      </c>
      <c r="O3" s="4">
        <f>IFERROR(INDEX(ТЕХ_Списки!$P$2:$P$71,MATCH($A3,ТЕХ_Списки!$D$2:$D$71,0)),0)</f>
        <v>0</v>
      </c>
      <c r="P3" s="4">
        <f>IFERROR(INDEX(ТЕХ_Списки!$Q$2:$Q$71,MATCH($A3,ТЕХ_Списки!$D$2:$D$71,0)),0)</f>
        <v>0</v>
      </c>
      <c r="Q3" s="4">
        <f>IFERROR(INDEX(ТЕХ_Списки!$R$2:$R$71,MATCH($A3,ТЕХ_Списки!$D$2:$D$71,0)),0)</f>
        <v>0</v>
      </c>
      <c r="R3" s="4">
        <f>IFERROR(INDEX(ТЕХ_Списки!$S$2:$S$71,MATCH($A3,ТЕХ_Списки!$D$2:$D$71,0)),0)</f>
        <v>0</v>
      </c>
      <c r="S3" s="4">
        <f>IFERROR(INDEX(ТЕХ_Списки!$T$2:$T$71,MATCH($A3,ТЕХ_Списки!$D$2:$D$71,0)),0)</f>
        <v>0</v>
      </c>
      <c r="T3" s="4">
        <f>IFERROR(INDEX(ТЕХ_Списки!$U$2:$U$71,MATCH($A3,ТЕХ_Списки!$D$2:$D$71,0)),0)</f>
        <v>0</v>
      </c>
      <c r="U3" s="4">
        <f>IFERROR(INDEX(ТЕХ_Списки!$V$2:$V$71,MATCH($A3,ТЕХ_Списки!$D$2:$D$71,0)),0)</f>
        <v>0</v>
      </c>
      <c r="V3" s="4">
        <f>IFERROR(INDEX(ТЕХ_Списки!$W$2:$W$71,MATCH($A3,ТЕХ_Списки!$D$2:$D$71,0)),0)</f>
        <v>0</v>
      </c>
      <c r="W3" s="4">
        <f>IFERROR(INDEX(ТЕХ_Списки!$X$2:$X$71,MATCH($A3,ТЕХ_Списки!$D$2:$D$71,0)),0)</f>
        <v>0</v>
      </c>
      <c r="X3" s="4">
        <f>IFERROR(INDEX(ТЕХ_Списки!$Y$2:$Y$71,MATCH($A3,ТЕХ_Списки!$D$2:$D$71,0)),0)</f>
        <v>0</v>
      </c>
      <c r="Y3" s="4">
        <f>IFERROR(INDEX(ТЕХ_Списки!$Z$2:$Z$71,MATCH($A3,ТЕХ_Списки!$D$2:$D$71,0)),0)</f>
        <v>0</v>
      </c>
      <c r="Z3" s="4">
        <f>IFERROR(INDEX(ТЕХ_Списки!$AA$2:$AA$71,MATCH($A3,ТЕХ_Списки!$D$2:$D$71,0)),0)</f>
        <v>0</v>
      </c>
      <c r="AA3" s="4">
        <f>IFERROR(INDEX(ТЕХ_Списки!$AB$2:$AB$71,MATCH($A3,ТЕХ_Списки!$D$2:$D$71,0)),0)</f>
        <v>0</v>
      </c>
      <c r="AB3" s="4">
        <f>IFERROR(INDEX(ТЕХ_Списки!$AC$2:$AC$71,MATCH($A3,ТЕХ_Списки!$D$2:$D$71,0)),0)</f>
        <v>0</v>
      </c>
      <c r="AC3" s="4">
        <f>IFERROR(INDEX(ТЕХ_Списки!$AD$2:$AD$71,MATCH($A3,ТЕХ_Списки!$D$2:$D$71,0)),0)</f>
        <v>0</v>
      </c>
      <c r="AD3" s="4">
        <f>IFERROR(INDEX(ТЕХ_Списки!$AE$2:$AE$71,MATCH($A3,ТЕХ_Списки!$D$2:$D$71,0)),0)</f>
        <v>0</v>
      </c>
      <c r="AE3" s="4">
        <f>IFERROR(INDEX(ТЕХ_Списки!$AF$2:$AF$71,MATCH($A3,ТЕХ_Списки!$D$2:$D$71,0)),0)</f>
        <v>0</v>
      </c>
      <c r="AF3" s="4">
        <f>IFERROR(INDEX(ТЕХ_Списки!$AG$2:$AG$71,MATCH($A3,ТЕХ_Списки!$D$2:$D$71,0)),0)</f>
        <v>0</v>
      </c>
      <c r="AG3" s="4">
        <f>IFERROR(INDEX(ТЕХ_Списки!$AH$2:$AH$71,MATCH($A3,ТЕХ_Списки!$D$2:$D$71,0)),0)</f>
        <v>0</v>
      </c>
      <c r="AH3" s="4">
        <f>IFERROR(INDEX(ТЕХ_Списки!$AI$2:$AI$71,MATCH($A3,ТЕХ_Списки!$D$2:$D$71,0)),0)</f>
        <v>0</v>
      </c>
      <c r="AI3" s="4">
        <f>IFERROR(INDEX(ТЕХ_Списки!$AJ$2:$AJ$71,MATCH($A3,ТЕХ_Списки!$D$2:$D$71,0)),0)</f>
        <v>0</v>
      </c>
      <c r="AJ3" s="4">
        <f>IFERROR(INDEX(ТЕХ_Списки!$AK$2:$AK$71,MATCH($A3,ТЕХ_Списки!$D$2:$D$71,0)),0)</f>
        <v>0</v>
      </c>
      <c r="AK3" s="4">
        <f>IFERROR(INDEX(ТЕХ_Списки!$AL$2:$AL$71,MATCH($A3,ТЕХ_Списки!$D$2:$D$71,0)),0)</f>
        <v>0</v>
      </c>
      <c r="AL3" s="4">
        <f>IFERROR(INDEX(ТЕХ_Списки!$AM$2:$AM$71,MATCH($A3,ТЕХ_Списки!$D$2:$D$71,0)),0)</f>
        <v>0</v>
      </c>
      <c r="AM3" s="4">
        <f>IFERROR(INDEX(ТЕХ_Списки!$AN$2:$AN$71,MATCH($A3,ТЕХ_Списки!$D$2:$D$71,0)),0)</f>
        <v>0</v>
      </c>
      <c r="AN3" s="4">
        <f>IFERROR(INDEX(ТЕХ_Списки!$AO$2:$AO$71,MATCH($A3,ТЕХ_Списки!$D$2:$D$71,0)),0)</f>
        <v>0</v>
      </c>
      <c r="AO3" s="4">
        <f>IFERROR(INDEX(ТЕХ_Списки!$AP$2:$AP$71,MATCH($A3,ТЕХ_Списки!$D$2:$D$71,0)),0)</f>
        <v>0</v>
      </c>
      <c r="AP3" s="4">
        <f>IFERROR(INDEX(ТЕХ_Списки!$AQ$2:$AQ$71,MATCH($A3,ТЕХ_Списки!$D$2:$D$71,0)),0)</f>
        <v>0</v>
      </c>
      <c r="AQ3" s="4">
        <f>IFERROR(INDEX(ТЕХ_Списки!$AR$2:$AR$71,MATCH($A3,ТЕХ_Списки!$D$2:$D$71,0)),0)</f>
        <v>0</v>
      </c>
      <c r="AR3" s="4">
        <f>IFERROR(INDEX(ТЕХ_Списки!$AS$2:$AS$71,MATCH($A3,ТЕХ_Списки!$D$2:$D$71,0)),0)</f>
        <v>0</v>
      </c>
      <c r="AS3" s="4">
        <f>IFERROR(INDEX(ТЕХ_Списки!$AT$2:$AT$71,MATCH($A3,ТЕХ_Списки!$D$2:$D$71,0)),0)</f>
        <v>0</v>
      </c>
      <c r="AT3" s="4">
        <f>IFERROR(INDEX(ТЕХ_Списки!$AU$2:$AU$71,MATCH($A3,ТЕХ_Списки!$D$2:$D$71,0)),0)</f>
        <v>0</v>
      </c>
      <c r="AU3" s="4">
        <f>IFERROR(INDEX(ТЕХ_Списки!$AV$2:$AV$71,MATCH($A3,ТЕХ_Списки!$D$2:$D$71,0)),0)</f>
        <v>0</v>
      </c>
      <c r="AV3" s="4">
        <f>IFERROR(INDEX(ТЕХ_Списки!$AW$2:$AW$71,MATCH($A3,ТЕХ_Списки!$D$2:$D$71,0)),0)</f>
        <v>0</v>
      </c>
    </row>
    <row r="4" spans="1:48">
      <c r="A4" s="4" t="str">
        <f>IF(OR('РЕЙД-КОНСТРУКТОР'!C8="",'РЕЙД-КОНСТРУКТОР'!D8=""),"",'РЕЙД-КОНСТРУКТОР'!C8&amp;"§"&amp;'РЕЙД-КОНСТРУКТОР'!D8)</f>
        <v/>
      </c>
      <c r="B4" s="4">
        <f>IF(A4="",0,IF('РЕЙД-КОНСТРУКТОР'!F8="",1,'РЕЙД-КОНСТРУКТОР'!F8))</f>
        <v>0</v>
      </c>
      <c r="C4" s="4">
        <f>'РЕЙД-КОНСТРУКТОР'!E8</f>
        <v>0</v>
      </c>
      <c r="D4" s="4">
        <f>IFERROR(INDEX(ТЕХ_Списки!$E$2:$E$71,MATCH($A4,ТЕХ_Списки!$D$2:$D$71,0)),0)</f>
        <v>0</v>
      </c>
      <c r="E4" s="4">
        <f>IFERROR(INDEX(ТЕХ_Списки!$F$2:$F$71,MATCH($A4,ТЕХ_Списки!$D$2:$D$71,0)),0)</f>
        <v>0</v>
      </c>
      <c r="F4" s="4">
        <f>IFERROR(INDEX(ТЕХ_Списки!$G$2:$G$71,MATCH($A4,ТЕХ_Списки!$D$2:$D$71,0)),0)</f>
        <v>0</v>
      </c>
      <c r="G4" s="4">
        <f>IFERROR(INDEX(ТЕХ_Списки!$H$2:$H$71,MATCH($A4,ТЕХ_Списки!$D$2:$D$71,0)),0)</f>
        <v>0</v>
      </c>
      <c r="H4" s="4">
        <f>IFERROR(INDEX(ТЕХ_Списки!$I$2:$I$71,MATCH($A4,ТЕХ_Списки!$D$2:$D$71,0)),0)</f>
        <v>0</v>
      </c>
      <c r="I4" s="4">
        <f>IFERROR(INDEX(ТЕХ_Списки!$J$2:$J$71,MATCH($A4,ТЕХ_Списки!$D$2:$D$71,0)),0)</f>
        <v>0</v>
      </c>
      <c r="J4" s="4">
        <f>IFERROR(INDEX(ТЕХ_Списки!$K$2:$K$71,MATCH($A4,ТЕХ_Списки!$D$2:$D$71,0)),0)</f>
        <v>0</v>
      </c>
      <c r="K4" s="4">
        <f>IFERROR(INDEX(ТЕХ_Списки!$L$2:$L$71,MATCH($A4,ТЕХ_Списки!$D$2:$D$71,0)),0)</f>
        <v>0</v>
      </c>
      <c r="L4" s="4">
        <f>IFERROR(INDEX(ТЕХ_Списки!$M$2:$M$71,MATCH($A4,ТЕХ_Списки!$D$2:$D$71,0)),0)</f>
        <v>0</v>
      </c>
      <c r="M4" s="4">
        <f>IFERROR(INDEX(ТЕХ_Списки!$N$2:$N$71,MATCH($A4,ТЕХ_Списки!$D$2:$D$71,0)),0)</f>
        <v>0</v>
      </c>
      <c r="N4" s="4">
        <f>IFERROR(INDEX(ТЕХ_Списки!$O$2:$O$71,MATCH($A4,ТЕХ_Списки!$D$2:$D$71,0)),0)</f>
        <v>0</v>
      </c>
      <c r="O4" s="4">
        <f>IFERROR(INDEX(ТЕХ_Списки!$P$2:$P$71,MATCH($A4,ТЕХ_Списки!$D$2:$D$71,0)),0)</f>
        <v>0</v>
      </c>
      <c r="P4" s="4">
        <f>IFERROR(INDEX(ТЕХ_Списки!$Q$2:$Q$71,MATCH($A4,ТЕХ_Списки!$D$2:$D$71,0)),0)</f>
        <v>0</v>
      </c>
      <c r="Q4" s="4">
        <f>IFERROR(INDEX(ТЕХ_Списки!$R$2:$R$71,MATCH($A4,ТЕХ_Списки!$D$2:$D$71,0)),0)</f>
        <v>0</v>
      </c>
      <c r="R4" s="4">
        <f>IFERROR(INDEX(ТЕХ_Списки!$S$2:$S$71,MATCH($A4,ТЕХ_Списки!$D$2:$D$71,0)),0)</f>
        <v>0</v>
      </c>
      <c r="S4" s="4">
        <f>IFERROR(INDEX(ТЕХ_Списки!$T$2:$T$71,MATCH($A4,ТЕХ_Списки!$D$2:$D$71,0)),0)</f>
        <v>0</v>
      </c>
      <c r="T4" s="4">
        <f>IFERROR(INDEX(ТЕХ_Списки!$U$2:$U$71,MATCH($A4,ТЕХ_Списки!$D$2:$D$71,0)),0)</f>
        <v>0</v>
      </c>
      <c r="U4" s="4">
        <f>IFERROR(INDEX(ТЕХ_Списки!$V$2:$V$71,MATCH($A4,ТЕХ_Списки!$D$2:$D$71,0)),0)</f>
        <v>0</v>
      </c>
      <c r="V4" s="4">
        <f>IFERROR(INDEX(ТЕХ_Списки!$W$2:$W$71,MATCH($A4,ТЕХ_Списки!$D$2:$D$71,0)),0)</f>
        <v>0</v>
      </c>
      <c r="W4" s="4">
        <f>IFERROR(INDEX(ТЕХ_Списки!$X$2:$X$71,MATCH($A4,ТЕХ_Списки!$D$2:$D$71,0)),0)</f>
        <v>0</v>
      </c>
      <c r="X4" s="4">
        <f>IFERROR(INDEX(ТЕХ_Списки!$Y$2:$Y$71,MATCH($A4,ТЕХ_Списки!$D$2:$D$71,0)),0)</f>
        <v>0</v>
      </c>
      <c r="Y4" s="4">
        <f>IFERROR(INDEX(ТЕХ_Списки!$Z$2:$Z$71,MATCH($A4,ТЕХ_Списки!$D$2:$D$71,0)),0)</f>
        <v>0</v>
      </c>
      <c r="Z4" s="4">
        <f>IFERROR(INDEX(ТЕХ_Списки!$AA$2:$AA$71,MATCH($A4,ТЕХ_Списки!$D$2:$D$71,0)),0)</f>
        <v>0</v>
      </c>
      <c r="AA4" s="4">
        <f>IFERROR(INDEX(ТЕХ_Списки!$AB$2:$AB$71,MATCH($A4,ТЕХ_Списки!$D$2:$D$71,0)),0)</f>
        <v>0</v>
      </c>
      <c r="AB4" s="4">
        <f>IFERROR(INDEX(ТЕХ_Списки!$AC$2:$AC$71,MATCH($A4,ТЕХ_Списки!$D$2:$D$71,0)),0)</f>
        <v>0</v>
      </c>
      <c r="AC4" s="4">
        <f>IFERROR(INDEX(ТЕХ_Списки!$AD$2:$AD$71,MATCH($A4,ТЕХ_Списки!$D$2:$D$71,0)),0)</f>
        <v>0</v>
      </c>
      <c r="AD4" s="4">
        <f>IFERROR(INDEX(ТЕХ_Списки!$AE$2:$AE$71,MATCH($A4,ТЕХ_Списки!$D$2:$D$71,0)),0)</f>
        <v>0</v>
      </c>
      <c r="AE4" s="4">
        <f>IFERROR(INDEX(ТЕХ_Списки!$AF$2:$AF$71,MATCH($A4,ТЕХ_Списки!$D$2:$D$71,0)),0)</f>
        <v>0</v>
      </c>
      <c r="AF4" s="4">
        <f>IFERROR(INDEX(ТЕХ_Списки!$AG$2:$AG$71,MATCH($A4,ТЕХ_Списки!$D$2:$D$71,0)),0)</f>
        <v>0</v>
      </c>
      <c r="AG4" s="4">
        <f>IFERROR(INDEX(ТЕХ_Списки!$AH$2:$AH$71,MATCH($A4,ТЕХ_Списки!$D$2:$D$71,0)),0)</f>
        <v>0</v>
      </c>
      <c r="AH4" s="4">
        <f>IFERROR(INDEX(ТЕХ_Списки!$AI$2:$AI$71,MATCH($A4,ТЕХ_Списки!$D$2:$D$71,0)),0)</f>
        <v>0</v>
      </c>
      <c r="AI4" s="4">
        <f>IFERROR(INDEX(ТЕХ_Списки!$AJ$2:$AJ$71,MATCH($A4,ТЕХ_Списки!$D$2:$D$71,0)),0)</f>
        <v>0</v>
      </c>
      <c r="AJ4" s="4">
        <f>IFERROR(INDEX(ТЕХ_Списки!$AK$2:$AK$71,MATCH($A4,ТЕХ_Списки!$D$2:$D$71,0)),0)</f>
        <v>0</v>
      </c>
      <c r="AK4" s="4">
        <f>IFERROR(INDEX(ТЕХ_Списки!$AL$2:$AL$71,MATCH($A4,ТЕХ_Списки!$D$2:$D$71,0)),0)</f>
        <v>0</v>
      </c>
      <c r="AL4" s="4">
        <f>IFERROR(INDEX(ТЕХ_Списки!$AM$2:$AM$71,MATCH($A4,ТЕХ_Списки!$D$2:$D$71,0)),0)</f>
        <v>0</v>
      </c>
      <c r="AM4" s="4">
        <f>IFERROR(INDEX(ТЕХ_Списки!$AN$2:$AN$71,MATCH($A4,ТЕХ_Списки!$D$2:$D$71,0)),0)</f>
        <v>0</v>
      </c>
      <c r="AN4" s="4">
        <f>IFERROR(INDEX(ТЕХ_Списки!$AO$2:$AO$71,MATCH($A4,ТЕХ_Списки!$D$2:$D$71,0)),0)</f>
        <v>0</v>
      </c>
      <c r="AO4" s="4">
        <f>IFERROR(INDEX(ТЕХ_Списки!$AP$2:$AP$71,MATCH($A4,ТЕХ_Списки!$D$2:$D$71,0)),0)</f>
        <v>0</v>
      </c>
      <c r="AP4" s="4">
        <f>IFERROR(INDEX(ТЕХ_Списки!$AQ$2:$AQ$71,MATCH($A4,ТЕХ_Списки!$D$2:$D$71,0)),0)</f>
        <v>0</v>
      </c>
      <c r="AQ4" s="4">
        <f>IFERROR(INDEX(ТЕХ_Списки!$AR$2:$AR$71,MATCH($A4,ТЕХ_Списки!$D$2:$D$71,0)),0)</f>
        <v>0</v>
      </c>
      <c r="AR4" s="4">
        <f>IFERROR(INDEX(ТЕХ_Списки!$AS$2:$AS$71,MATCH($A4,ТЕХ_Списки!$D$2:$D$71,0)),0)</f>
        <v>0</v>
      </c>
      <c r="AS4" s="4">
        <f>IFERROR(INDEX(ТЕХ_Списки!$AT$2:$AT$71,MATCH($A4,ТЕХ_Списки!$D$2:$D$71,0)),0)</f>
        <v>0</v>
      </c>
      <c r="AT4" s="4">
        <f>IFERROR(INDEX(ТЕХ_Списки!$AU$2:$AU$71,MATCH($A4,ТЕХ_Списки!$D$2:$D$71,0)),0)</f>
        <v>0</v>
      </c>
      <c r="AU4" s="4">
        <f>IFERROR(INDEX(ТЕХ_Списки!$AV$2:$AV$71,MATCH($A4,ТЕХ_Списки!$D$2:$D$71,0)),0)</f>
        <v>0</v>
      </c>
      <c r="AV4" s="4">
        <f>IFERROR(INDEX(ТЕХ_Списки!$AW$2:$AW$71,MATCH($A4,ТЕХ_Списки!$D$2:$D$71,0)),0)</f>
        <v>0</v>
      </c>
    </row>
    <row r="5" spans="1:48">
      <c r="A5" s="4" t="str">
        <f>IF(OR('РЕЙД-КОНСТРУКТОР'!C9="",'РЕЙД-КОНСТРУКТОР'!D9=""),"",'РЕЙД-КОНСТРУКТОР'!C9&amp;"§"&amp;'РЕЙД-КОНСТРУКТОР'!D9)</f>
        <v/>
      </c>
      <c r="B5" s="4">
        <f>IF(A5="",0,IF('РЕЙД-КОНСТРУКТОР'!F9="",1,'РЕЙД-КОНСТРУКТОР'!F9))</f>
        <v>0</v>
      </c>
      <c r="C5" s="4">
        <f>'РЕЙД-КОНСТРУКТОР'!E9</f>
        <v>0</v>
      </c>
      <c r="D5" s="4">
        <f>IFERROR(INDEX(ТЕХ_Списки!$E$2:$E$71,MATCH($A5,ТЕХ_Списки!$D$2:$D$71,0)),0)</f>
        <v>0</v>
      </c>
      <c r="E5" s="4">
        <f>IFERROR(INDEX(ТЕХ_Списки!$F$2:$F$71,MATCH($A5,ТЕХ_Списки!$D$2:$D$71,0)),0)</f>
        <v>0</v>
      </c>
      <c r="F5" s="4">
        <f>IFERROR(INDEX(ТЕХ_Списки!$G$2:$G$71,MATCH($A5,ТЕХ_Списки!$D$2:$D$71,0)),0)</f>
        <v>0</v>
      </c>
      <c r="G5" s="4">
        <f>IFERROR(INDEX(ТЕХ_Списки!$H$2:$H$71,MATCH($A5,ТЕХ_Списки!$D$2:$D$71,0)),0)</f>
        <v>0</v>
      </c>
      <c r="H5" s="4">
        <f>IFERROR(INDEX(ТЕХ_Списки!$I$2:$I$71,MATCH($A5,ТЕХ_Списки!$D$2:$D$71,0)),0)</f>
        <v>0</v>
      </c>
      <c r="I5" s="4">
        <f>IFERROR(INDEX(ТЕХ_Списки!$J$2:$J$71,MATCH($A5,ТЕХ_Списки!$D$2:$D$71,0)),0)</f>
        <v>0</v>
      </c>
      <c r="J5" s="4">
        <f>IFERROR(INDEX(ТЕХ_Списки!$K$2:$K$71,MATCH($A5,ТЕХ_Списки!$D$2:$D$71,0)),0)</f>
        <v>0</v>
      </c>
      <c r="K5" s="4">
        <f>IFERROR(INDEX(ТЕХ_Списки!$L$2:$L$71,MATCH($A5,ТЕХ_Списки!$D$2:$D$71,0)),0)</f>
        <v>0</v>
      </c>
      <c r="L5" s="4">
        <f>IFERROR(INDEX(ТЕХ_Списки!$M$2:$M$71,MATCH($A5,ТЕХ_Списки!$D$2:$D$71,0)),0)</f>
        <v>0</v>
      </c>
      <c r="M5" s="4">
        <f>IFERROR(INDEX(ТЕХ_Списки!$N$2:$N$71,MATCH($A5,ТЕХ_Списки!$D$2:$D$71,0)),0)</f>
        <v>0</v>
      </c>
      <c r="N5" s="4">
        <f>IFERROR(INDEX(ТЕХ_Списки!$O$2:$O$71,MATCH($A5,ТЕХ_Списки!$D$2:$D$71,0)),0)</f>
        <v>0</v>
      </c>
      <c r="O5" s="4">
        <f>IFERROR(INDEX(ТЕХ_Списки!$P$2:$P$71,MATCH($A5,ТЕХ_Списки!$D$2:$D$71,0)),0)</f>
        <v>0</v>
      </c>
      <c r="P5" s="4">
        <f>IFERROR(INDEX(ТЕХ_Списки!$Q$2:$Q$71,MATCH($A5,ТЕХ_Списки!$D$2:$D$71,0)),0)</f>
        <v>0</v>
      </c>
      <c r="Q5" s="4">
        <f>IFERROR(INDEX(ТЕХ_Списки!$R$2:$R$71,MATCH($A5,ТЕХ_Списки!$D$2:$D$71,0)),0)</f>
        <v>0</v>
      </c>
      <c r="R5" s="4">
        <f>IFERROR(INDEX(ТЕХ_Списки!$S$2:$S$71,MATCH($A5,ТЕХ_Списки!$D$2:$D$71,0)),0)</f>
        <v>0</v>
      </c>
      <c r="S5" s="4">
        <f>IFERROR(INDEX(ТЕХ_Списки!$T$2:$T$71,MATCH($A5,ТЕХ_Списки!$D$2:$D$71,0)),0)</f>
        <v>0</v>
      </c>
      <c r="T5" s="4">
        <f>IFERROR(INDEX(ТЕХ_Списки!$U$2:$U$71,MATCH($A5,ТЕХ_Списки!$D$2:$D$71,0)),0)</f>
        <v>0</v>
      </c>
      <c r="U5" s="4">
        <f>IFERROR(INDEX(ТЕХ_Списки!$V$2:$V$71,MATCH($A5,ТЕХ_Списки!$D$2:$D$71,0)),0)</f>
        <v>0</v>
      </c>
      <c r="V5" s="4">
        <f>IFERROR(INDEX(ТЕХ_Списки!$W$2:$W$71,MATCH($A5,ТЕХ_Списки!$D$2:$D$71,0)),0)</f>
        <v>0</v>
      </c>
      <c r="W5" s="4">
        <f>IFERROR(INDEX(ТЕХ_Списки!$X$2:$X$71,MATCH($A5,ТЕХ_Списки!$D$2:$D$71,0)),0)</f>
        <v>0</v>
      </c>
      <c r="X5" s="4">
        <f>IFERROR(INDEX(ТЕХ_Списки!$Y$2:$Y$71,MATCH($A5,ТЕХ_Списки!$D$2:$D$71,0)),0)</f>
        <v>0</v>
      </c>
      <c r="Y5" s="4">
        <f>IFERROR(INDEX(ТЕХ_Списки!$Z$2:$Z$71,MATCH($A5,ТЕХ_Списки!$D$2:$D$71,0)),0)</f>
        <v>0</v>
      </c>
      <c r="Z5" s="4">
        <f>IFERROR(INDEX(ТЕХ_Списки!$AA$2:$AA$71,MATCH($A5,ТЕХ_Списки!$D$2:$D$71,0)),0)</f>
        <v>0</v>
      </c>
      <c r="AA5" s="4">
        <f>IFERROR(INDEX(ТЕХ_Списки!$AB$2:$AB$71,MATCH($A5,ТЕХ_Списки!$D$2:$D$71,0)),0)</f>
        <v>0</v>
      </c>
      <c r="AB5" s="4">
        <f>IFERROR(INDEX(ТЕХ_Списки!$AC$2:$AC$71,MATCH($A5,ТЕХ_Списки!$D$2:$D$71,0)),0)</f>
        <v>0</v>
      </c>
      <c r="AC5" s="4">
        <f>IFERROR(INDEX(ТЕХ_Списки!$AD$2:$AD$71,MATCH($A5,ТЕХ_Списки!$D$2:$D$71,0)),0)</f>
        <v>0</v>
      </c>
      <c r="AD5" s="4">
        <f>IFERROR(INDEX(ТЕХ_Списки!$AE$2:$AE$71,MATCH($A5,ТЕХ_Списки!$D$2:$D$71,0)),0)</f>
        <v>0</v>
      </c>
      <c r="AE5" s="4">
        <f>IFERROR(INDEX(ТЕХ_Списки!$AF$2:$AF$71,MATCH($A5,ТЕХ_Списки!$D$2:$D$71,0)),0)</f>
        <v>0</v>
      </c>
      <c r="AF5" s="4">
        <f>IFERROR(INDEX(ТЕХ_Списки!$AG$2:$AG$71,MATCH($A5,ТЕХ_Списки!$D$2:$D$71,0)),0)</f>
        <v>0</v>
      </c>
      <c r="AG5" s="4">
        <f>IFERROR(INDEX(ТЕХ_Списки!$AH$2:$AH$71,MATCH($A5,ТЕХ_Списки!$D$2:$D$71,0)),0)</f>
        <v>0</v>
      </c>
      <c r="AH5" s="4">
        <f>IFERROR(INDEX(ТЕХ_Списки!$AI$2:$AI$71,MATCH($A5,ТЕХ_Списки!$D$2:$D$71,0)),0)</f>
        <v>0</v>
      </c>
      <c r="AI5" s="4">
        <f>IFERROR(INDEX(ТЕХ_Списки!$AJ$2:$AJ$71,MATCH($A5,ТЕХ_Списки!$D$2:$D$71,0)),0)</f>
        <v>0</v>
      </c>
      <c r="AJ5" s="4">
        <f>IFERROR(INDEX(ТЕХ_Списки!$AK$2:$AK$71,MATCH($A5,ТЕХ_Списки!$D$2:$D$71,0)),0)</f>
        <v>0</v>
      </c>
      <c r="AK5" s="4">
        <f>IFERROR(INDEX(ТЕХ_Списки!$AL$2:$AL$71,MATCH($A5,ТЕХ_Списки!$D$2:$D$71,0)),0)</f>
        <v>0</v>
      </c>
      <c r="AL5" s="4">
        <f>IFERROR(INDEX(ТЕХ_Списки!$AM$2:$AM$71,MATCH($A5,ТЕХ_Списки!$D$2:$D$71,0)),0)</f>
        <v>0</v>
      </c>
      <c r="AM5" s="4">
        <f>IFERROR(INDEX(ТЕХ_Списки!$AN$2:$AN$71,MATCH($A5,ТЕХ_Списки!$D$2:$D$71,0)),0)</f>
        <v>0</v>
      </c>
      <c r="AN5" s="4">
        <f>IFERROR(INDEX(ТЕХ_Списки!$AO$2:$AO$71,MATCH($A5,ТЕХ_Списки!$D$2:$D$71,0)),0)</f>
        <v>0</v>
      </c>
      <c r="AO5" s="4">
        <f>IFERROR(INDEX(ТЕХ_Списки!$AP$2:$AP$71,MATCH($A5,ТЕХ_Списки!$D$2:$D$71,0)),0)</f>
        <v>0</v>
      </c>
      <c r="AP5" s="4">
        <f>IFERROR(INDEX(ТЕХ_Списки!$AQ$2:$AQ$71,MATCH($A5,ТЕХ_Списки!$D$2:$D$71,0)),0)</f>
        <v>0</v>
      </c>
      <c r="AQ5" s="4">
        <f>IFERROR(INDEX(ТЕХ_Списки!$AR$2:$AR$71,MATCH($A5,ТЕХ_Списки!$D$2:$D$71,0)),0)</f>
        <v>0</v>
      </c>
      <c r="AR5" s="4">
        <f>IFERROR(INDEX(ТЕХ_Списки!$AS$2:$AS$71,MATCH($A5,ТЕХ_Списки!$D$2:$D$71,0)),0)</f>
        <v>0</v>
      </c>
      <c r="AS5" s="4">
        <f>IFERROR(INDEX(ТЕХ_Списки!$AT$2:$AT$71,MATCH($A5,ТЕХ_Списки!$D$2:$D$71,0)),0)</f>
        <v>0</v>
      </c>
      <c r="AT5" s="4">
        <f>IFERROR(INDEX(ТЕХ_Списки!$AU$2:$AU$71,MATCH($A5,ТЕХ_Списки!$D$2:$D$71,0)),0)</f>
        <v>0</v>
      </c>
      <c r="AU5" s="4">
        <f>IFERROR(INDEX(ТЕХ_Списки!$AV$2:$AV$71,MATCH($A5,ТЕХ_Списки!$D$2:$D$71,0)),0)</f>
        <v>0</v>
      </c>
      <c r="AV5" s="4">
        <f>IFERROR(INDEX(ТЕХ_Списки!$AW$2:$AW$71,MATCH($A5,ТЕХ_Списки!$D$2:$D$71,0)),0)</f>
        <v>0</v>
      </c>
    </row>
    <row r="6" spans="1:48">
      <c r="A6" s="4" t="str">
        <f>IF(OR('РЕЙД-КОНСТРУКТОР'!C10="",'РЕЙД-КОНСТРУКТОР'!D10=""),"",'РЕЙД-КОНСТРУКТОР'!C10&amp;"§"&amp;'РЕЙД-КОНСТРУКТОР'!D10)</f>
        <v/>
      </c>
      <c r="B6" s="4">
        <f>IF(A6="",0,IF('РЕЙД-КОНСТРУКТОР'!F10="",1,'РЕЙД-КОНСТРУКТОР'!F10))</f>
        <v>0</v>
      </c>
      <c r="C6" s="4">
        <f>'РЕЙД-КОНСТРУКТОР'!E10</f>
        <v>0</v>
      </c>
      <c r="D6" s="4">
        <f>IFERROR(INDEX(ТЕХ_Списки!$E$2:$E$71,MATCH($A6,ТЕХ_Списки!$D$2:$D$71,0)),0)</f>
        <v>0</v>
      </c>
      <c r="E6" s="4">
        <f>IFERROR(INDEX(ТЕХ_Списки!$F$2:$F$71,MATCH($A6,ТЕХ_Списки!$D$2:$D$71,0)),0)</f>
        <v>0</v>
      </c>
      <c r="F6" s="4">
        <f>IFERROR(INDEX(ТЕХ_Списки!$G$2:$G$71,MATCH($A6,ТЕХ_Списки!$D$2:$D$71,0)),0)</f>
        <v>0</v>
      </c>
      <c r="G6" s="4">
        <f>IFERROR(INDEX(ТЕХ_Списки!$H$2:$H$71,MATCH($A6,ТЕХ_Списки!$D$2:$D$71,0)),0)</f>
        <v>0</v>
      </c>
      <c r="H6" s="4">
        <f>IFERROR(INDEX(ТЕХ_Списки!$I$2:$I$71,MATCH($A6,ТЕХ_Списки!$D$2:$D$71,0)),0)</f>
        <v>0</v>
      </c>
      <c r="I6" s="4">
        <f>IFERROR(INDEX(ТЕХ_Списки!$J$2:$J$71,MATCH($A6,ТЕХ_Списки!$D$2:$D$71,0)),0)</f>
        <v>0</v>
      </c>
      <c r="J6" s="4">
        <f>IFERROR(INDEX(ТЕХ_Списки!$K$2:$K$71,MATCH($A6,ТЕХ_Списки!$D$2:$D$71,0)),0)</f>
        <v>0</v>
      </c>
      <c r="K6" s="4">
        <f>IFERROR(INDEX(ТЕХ_Списки!$L$2:$L$71,MATCH($A6,ТЕХ_Списки!$D$2:$D$71,0)),0)</f>
        <v>0</v>
      </c>
      <c r="L6" s="4">
        <f>IFERROR(INDEX(ТЕХ_Списки!$M$2:$M$71,MATCH($A6,ТЕХ_Списки!$D$2:$D$71,0)),0)</f>
        <v>0</v>
      </c>
      <c r="M6" s="4">
        <f>IFERROR(INDEX(ТЕХ_Списки!$N$2:$N$71,MATCH($A6,ТЕХ_Списки!$D$2:$D$71,0)),0)</f>
        <v>0</v>
      </c>
      <c r="N6" s="4">
        <f>IFERROR(INDEX(ТЕХ_Списки!$O$2:$O$71,MATCH($A6,ТЕХ_Списки!$D$2:$D$71,0)),0)</f>
        <v>0</v>
      </c>
      <c r="O6" s="4">
        <f>IFERROR(INDEX(ТЕХ_Списки!$P$2:$P$71,MATCH($A6,ТЕХ_Списки!$D$2:$D$71,0)),0)</f>
        <v>0</v>
      </c>
      <c r="P6" s="4">
        <f>IFERROR(INDEX(ТЕХ_Списки!$Q$2:$Q$71,MATCH($A6,ТЕХ_Списки!$D$2:$D$71,0)),0)</f>
        <v>0</v>
      </c>
      <c r="Q6" s="4">
        <f>IFERROR(INDEX(ТЕХ_Списки!$R$2:$R$71,MATCH($A6,ТЕХ_Списки!$D$2:$D$71,0)),0)</f>
        <v>0</v>
      </c>
      <c r="R6" s="4">
        <f>IFERROR(INDEX(ТЕХ_Списки!$S$2:$S$71,MATCH($A6,ТЕХ_Списки!$D$2:$D$71,0)),0)</f>
        <v>0</v>
      </c>
      <c r="S6" s="4">
        <f>IFERROR(INDEX(ТЕХ_Списки!$T$2:$T$71,MATCH($A6,ТЕХ_Списки!$D$2:$D$71,0)),0)</f>
        <v>0</v>
      </c>
      <c r="T6" s="4">
        <f>IFERROR(INDEX(ТЕХ_Списки!$U$2:$U$71,MATCH($A6,ТЕХ_Списки!$D$2:$D$71,0)),0)</f>
        <v>0</v>
      </c>
      <c r="U6" s="4">
        <f>IFERROR(INDEX(ТЕХ_Списки!$V$2:$V$71,MATCH($A6,ТЕХ_Списки!$D$2:$D$71,0)),0)</f>
        <v>0</v>
      </c>
      <c r="V6" s="4">
        <f>IFERROR(INDEX(ТЕХ_Списки!$W$2:$W$71,MATCH($A6,ТЕХ_Списки!$D$2:$D$71,0)),0)</f>
        <v>0</v>
      </c>
      <c r="W6" s="4">
        <f>IFERROR(INDEX(ТЕХ_Списки!$X$2:$X$71,MATCH($A6,ТЕХ_Списки!$D$2:$D$71,0)),0)</f>
        <v>0</v>
      </c>
      <c r="X6" s="4">
        <f>IFERROR(INDEX(ТЕХ_Списки!$Y$2:$Y$71,MATCH($A6,ТЕХ_Списки!$D$2:$D$71,0)),0)</f>
        <v>0</v>
      </c>
      <c r="Y6" s="4">
        <f>IFERROR(INDEX(ТЕХ_Списки!$Z$2:$Z$71,MATCH($A6,ТЕХ_Списки!$D$2:$D$71,0)),0)</f>
        <v>0</v>
      </c>
      <c r="Z6" s="4">
        <f>IFERROR(INDEX(ТЕХ_Списки!$AA$2:$AA$71,MATCH($A6,ТЕХ_Списки!$D$2:$D$71,0)),0)</f>
        <v>0</v>
      </c>
      <c r="AA6" s="4">
        <f>IFERROR(INDEX(ТЕХ_Списки!$AB$2:$AB$71,MATCH($A6,ТЕХ_Списки!$D$2:$D$71,0)),0)</f>
        <v>0</v>
      </c>
      <c r="AB6" s="4">
        <f>IFERROR(INDEX(ТЕХ_Списки!$AC$2:$AC$71,MATCH($A6,ТЕХ_Списки!$D$2:$D$71,0)),0)</f>
        <v>0</v>
      </c>
      <c r="AC6" s="4">
        <f>IFERROR(INDEX(ТЕХ_Списки!$AD$2:$AD$71,MATCH($A6,ТЕХ_Списки!$D$2:$D$71,0)),0)</f>
        <v>0</v>
      </c>
      <c r="AD6" s="4">
        <f>IFERROR(INDEX(ТЕХ_Списки!$AE$2:$AE$71,MATCH($A6,ТЕХ_Списки!$D$2:$D$71,0)),0)</f>
        <v>0</v>
      </c>
      <c r="AE6" s="4">
        <f>IFERROR(INDEX(ТЕХ_Списки!$AF$2:$AF$71,MATCH($A6,ТЕХ_Списки!$D$2:$D$71,0)),0)</f>
        <v>0</v>
      </c>
      <c r="AF6" s="4">
        <f>IFERROR(INDEX(ТЕХ_Списки!$AG$2:$AG$71,MATCH($A6,ТЕХ_Списки!$D$2:$D$71,0)),0)</f>
        <v>0</v>
      </c>
      <c r="AG6" s="4">
        <f>IFERROR(INDEX(ТЕХ_Списки!$AH$2:$AH$71,MATCH($A6,ТЕХ_Списки!$D$2:$D$71,0)),0)</f>
        <v>0</v>
      </c>
      <c r="AH6" s="4">
        <f>IFERROR(INDEX(ТЕХ_Списки!$AI$2:$AI$71,MATCH($A6,ТЕХ_Списки!$D$2:$D$71,0)),0)</f>
        <v>0</v>
      </c>
      <c r="AI6" s="4">
        <f>IFERROR(INDEX(ТЕХ_Списки!$AJ$2:$AJ$71,MATCH($A6,ТЕХ_Списки!$D$2:$D$71,0)),0)</f>
        <v>0</v>
      </c>
      <c r="AJ6" s="4">
        <f>IFERROR(INDEX(ТЕХ_Списки!$AK$2:$AK$71,MATCH($A6,ТЕХ_Списки!$D$2:$D$71,0)),0)</f>
        <v>0</v>
      </c>
      <c r="AK6" s="4">
        <f>IFERROR(INDEX(ТЕХ_Списки!$AL$2:$AL$71,MATCH($A6,ТЕХ_Списки!$D$2:$D$71,0)),0)</f>
        <v>0</v>
      </c>
      <c r="AL6" s="4">
        <f>IFERROR(INDEX(ТЕХ_Списки!$AM$2:$AM$71,MATCH($A6,ТЕХ_Списки!$D$2:$D$71,0)),0)</f>
        <v>0</v>
      </c>
      <c r="AM6" s="4">
        <f>IFERROR(INDEX(ТЕХ_Списки!$AN$2:$AN$71,MATCH($A6,ТЕХ_Списки!$D$2:$D$71,0)),0)</f>
        <v>0</v>
      </c>
      <c r="AN6" s="4">
        <f>IFERROR(INDEX(ТЕХ_Списки!$AO$2:$AO$71,MATCH($A6,ТЕХ_Списки!$D$2:$D$71,0)),0)</f>
        <v>0</v>
      </c>
      <c r="AO6" s="4">
        <f>IFERROR(INDEX(ТЕХ_Списки!$AP$2:$AP$71,MATCH($A6,ТЕХ_Списки!$D$2:$D$71,0)),0)</f>
        <v>0</v>
      </c>
      <c r="AP6" s="4">
        <f>IFERROR(INDEX(ТЕХ_Списки!$AQ$2:$AQ$71,MATCH($A6,ТЕХ_Списки!$D$2:$D$71,0)),0)</f>
        <v>0</v>
      </c>
      <c r="AQ6" s="4">
        <f>IFERROR(INDEX(ТЕХ_Списки!$AR$2:$AR$71,MATCH($A6,ТЕХ_Списки!$D$2:$D$71,0)),0)</f>
        <v>0</v>
      </c>
      <c r="AR6" s="4">
        <f>IFERROR(INDEX(ТЕХ_Списки!$AS$2:$AS$71,MATCH($A6,ТЕХ_Списки!$D$2:$D$71,0)),0)</f>
        <v>0</v>
      </c>
      <c r="AS6" s="4">
        <f>IFERROR(INDEX(ТЕХ_Списки!$AT$2:$AT$71,MATCH($A6,ТЕХ_Списки!$D$2:$D$71,0)),0)</f>
        <v>0</v>
      </c>
      <c r="AT6" s="4">
        <f>IFERROR(INDEX(ТЕХ_Списки!$AU$2:$AU$71,MATCH($A6,ТЕХ_Списки!$D$2:$D$71,0)),0)</f>
        <v>0</v>
      </c>
      <c r="AU6" s="4">
        <f>IFERROR(INDEX(ТЕХ_Списки!$AV$2:$AV$71,MATCH($A6,ТЕХ_Списки!$D$2:$D$71,0)),0)</f>
        <v>0</v>
      </c>
      <c r="AV6" s="4">
        <f>IFERROR(INDEX(ТЕХ_Списки!$AW$2:$AW$71,MATCH($A6,ТЕХ_Списки!$D$2:$D$71,0)),0)</f>
        <v>0</v>
      </c>
    </row>
    <row r="7" spans="1:48">
      <c r="A7" s="4" t="str">
        <f>IF(OR('РЕЙД-КОНСТРУКТОР'!C11="",'РЕЙД-КОНСТРУКТОР'!D11=""),"",'РЕЙД-КОНСТРУКТОР'!C11&amp;"§"&amp;'РЕЙД-КОНСТРУКТОР'!D11)</f>
        <v/>
      </c>
      <c r="B7" s="4">
        <f>IF(A7="",0,IF('РЕЙД-КОНСТРУКТОР'!F11="",1,'РЕЙД-КОНСТРУКТОР'!F11))</f>
        <v>0</v>
      </c>
      <c r="C7" s="4">
        <f>'РЕЙД-КОНСТРУКТОР'!E11</f>
        <v>0</v>
      </c>
      <c r="D7" s="4">
        <f>IFERROR(INDEX(ТЕХ_Списки!$E$2:$E$71,MATCH($A7,ТЕХ_Списки!$D$2:$D$71,0)),0)</f>
        <v>0</v>
      </c>
      <c r="E7" s="4">
        <f>IFERROR(INDEX(ТЕХ_Списки!$F$2:$F$71,MATCH($A7,ТЕХ_Списки!$D$2:$D$71,0)),0)</f>
        <v>0</v>
      </c>
      <c r="F7" s="4">
        <f>IFERROR(INDEX(ТЕХ_Списки!$G$2:$G$71,MATCH($A7,ТЕХ_Списки!$D$2:$D$71,0)),0)</f>
        <v>0</v>
      </c>
      <c r="G7" s="4">
        <f>IFERROR(INDEX(ТЕХ_Списки!$H$2:$H$71,MATCH($A7,ТЕХ_Списки!$D$2:$D$71,0)),0)</f>
        <v>0</v>
      </c>
      <c r="H7" s="4">
        <f>IFERROR(INDEX(ТЕХ_Списки!$I$2:$I$71,MATCH($A7,ТЕХ_Списки!$D$2:$D$71,0)),0)</f>
        <v>0</v>
      </c>
      <c r="I7" s="4">
        <f>IFERROR(INDEX(ТЕХ_Списки!$J$2:$J$71,MATCH($A7,ТЕХ_Списки!$D$2:$D$71,0)),0)</f>
        <v>0</v>
      </c>
      <c r="J7" s="4">
        <f>IFERROR(INDEX(ТЕХ_Списки!$K$2:$K$71,MATCH($A7,ТЕХ_Списки!$D$2:$D$71,0)),0)</f>
        <v>0</v>
      </c>
      <c r="K7" s="4">
        <f>IFERROR(INDEX(ТЕХ_Списки!$L$2:$L$71,MATCH($A7,ТЕХ_Списки!$D$2:$D$71,0)),0)</f>
        <v>0</v>
      </c>
      <c r="L7" s="4">
        <f>IFERROR(INDEX(ТЕХ_Списки!$M$2:$M$71,MATCH($A7,ТЕХ_Списки!$D$2:$D$71,0)),0)</f>
        <v>0</v>
      </c>
      <c r="M7" s="4">
        <f>IFERROR(INDEX(ТЕХ_Списки!$N$2:$N$71,MATCH($A7,ТЕХ_Списки!$D$2:$D$71,0)),0)</f>
        <v>0</v>
      </c>
      <c r="N7" s="4">
        <f>IFERROR(INDEX(ТЕХ_Списки!$O$2:$O$71,MATCH($A7,ТЕХ_Списки!$D$2:$D$71,0)),0)</f>
        <v>0</v>
      </c>
      <c r="O7" s="4">
        <f>IFERROR(INDEX(ТЕХ_Списки!$P$2:$P$71,MATCH($A7,ТЕХ_Списки!$D$2:$D$71,0)),0)</f>
        <v>0</v>
      </c>
      <c r="P7" s="4">
        <f>IFERROR(INDEX(ТЕХ_Списки!$Q$2:$Q$71,MATCH($A7,ТЕХ_Списки!$D$2:$D$71,0)),0)</f>
        <v>0</v>
      </c>
      <c r="Q7" s="4">
        <f>IFERROR(INDEX(ТЕХ_Списки!$R$2:$R$71,MATCH($A7,ТЕХ_Списки!$D$2:$D$71,0)),0)</f>
        <v>0</v>
      </c>
      <c r="R7" s="4">
        <f>IFERROR(INDEX(ТЕХ_Списки!$S$2:$S$71,MATCH($A7,ТЕХ_Списки!$D$2:$D$71,0)),0)</f>
        <v>0</v>
      </c>
      <c r="S7" s="4">
        <f>IFERROR(INDEX(ТЕХ_Списки!$T$2:$T$71,MATCH($A7,ТЕХ_Списки!$D$2:$D$71,0)),0)</f>
        <v>0</v>
      </c>
      <c r="T7" s="4">
        <f>IFERROR(INDEX(ТЕХ_Списки!$U$2:$U$71,MATCH($A7,ТЕХ_Списки!$D$2:$D$71,0)),0)</f>
        <v>0</v>
      </c>
      <c r="U7" s="4">
        <f>IFERROR(INDEX(ТЕХ_Списки!$V$2:$V$71,MATCH($A7,ТЕХ_Списки!$D$2:$D$71,0)),0)</f>
        <v>0</v>
      </c>
      <c r="V7" s="4">
        <f>IFERROR(INDEX(ТЕХ_Списки!$W$2:$W$71,MATCH($A7,ТЕХ_Списки!$D$2:$D$71,0)),0)</f>
        <v>0</v>
      </c>
      <c r="W7" s="4">
        <f>IFERROR(INDEX(ТЕХ_Списки!$X$2:$X$71,MATCH($A7,ТЕХ_Списки!$D$2:$D$71,0)),0)</f>
        <v>0</v>
      </c>
      <c r="X7" s="4">
        <f>IFERROR(INDEX(ТЕХ_Списки!$Y$2:$Y$71,MATCH($A7,ТЕХ_Списки!$D$2:$D$71,0)),0)</f>
        <v>0</v>
      </c>
      <c r="Y7" s="4">
        <f>IFERROR(INDEX(ТЕХ_Списки!$Z$2:$Z$71,MATCH($A7,ТЕХ_Списки!$D$2:$D$71,0)),0)</f>
        <v>0</v>
      </c>
      <c r="Z7" s="4">
        <f>IFERROR(INDEX(ТЕХ_Списки!$AA$2:$AA$71,MATCH($A7,ТЕХ_Списки!$D$2:$D$71,0)),0)</f>
        <v>0</v>
      </c>
      <c r="AA7" s="4">
        <f>IFERROR(INDEX(ТЕХ_Списки!$AB$2:$AB$71,MATCH($A7,ТЕХ_Списки!$D$2:$D$71,0)),0)</f>
        <v>0</v>
      </c>
      <c r="AB7" s="4">
        <f>IFERROR(INDEX(ТЕХ_Списки!$AC$2:$AC$71,MATCH($A7,ТЕХ_Списки!$D$2:$D$71,0)),0)</f>
        <v>0</v>
      </c>
      <c r="AC7" s="4">
        <f>IFERROR(INDEX(ТЕХ_Списки!$AD$2:$AD$71,MATCH($A7,ТЕХ_Списки!$D$2:$D$71,0)),0)</f>
        <v>0</v>
      </c>
      <c r="AD7" s="4">
        <f>IFERROR(INDEX(ТЕХ_Списки!$AE$2:$AE$71,MATCH($A7,ТЕХ_Списки!$D$2:$D$71,0)),0)</f>
        <v>0</v>
      </c>
      <c r="AE7" s="4">
        <f>IFERROR(INDEX(ТЕХ_Списки!$AF$2:$AF$71,MATCH($A7,ТЕХ_Списки!$D$2:$D$71,0)),0)</f>
        <v>0</v>
      </c>
      <c r="AF7" s="4">
        <f>IFERROR(INDEX(ТЕХ_Списки!$AG$2:$AG$71,MATCH($A7,ТЕХ_Списки!$D$2:$D$71,0)),0)</f>
        <v>0</v>
      </c>
      <c r="AG7" s="4">
        <f>IFERROR(INDEX(ТЕХ_Списки!$AH$2:$AH$71,MATCH($A7,ТЕХ_Списки!$D$2:$D$71,0)),0)</f>
        <v>0</v>
      </c>
      <c r="AH7" s="4">
        <f>IFERROR(INDEX(ТЕХ_Списки!$AI$2:$AI$71,MATCH($A7,ТЕХ_Списки!$D$2:$D$71,0)),0)</f>
        <v>0</v>
      </c>
      <c r="AI7" s="4">
        <f>IFERROR(INDEX(ТЕХ_Списки!$AJ$2:$AJ$71,MATCH($A7,ТЕХ_Списки!$D$2:$D$71,0)),0)</f>
        <v>0</v>
      </c>
      <c r="AJ7" s="4">
        <f>IFERROR(INDEX(ТЕХ_Списки!$AK$2:$AK$71,MATCH($A7,ТЕХ_Списки!$D$2:$D$71,0)),0)</f>
        <v>0</v>
      </c>
      <c r="AK7" s="4">
        <f>IFERROR(INDEX(ТЕХ_Списки!$AL$2:$AL$71,MATCH($A7,ТЕХ_Списки!$D$2:$D$71,0)),0)</f>
        <v>0</v>
      </c>
      <c r="AL7" s="4">
        <f>IFERROR(INDEX(ТЕХ_Списки!$AM$2:$AM$71,MATCH($A7,ТЕХ_Списки!$D$2:$D$71,0)),0)</f>
        <v>0</v>
      </c>
      <c r="AM7" s="4">
        <f>IFERROR(INDEX(ТЕХ_Списки!$AN$2:$AN$71,MATCH($A7,ТЕХ_Списки!$D$2:$D$71,0)),0)</f>
        <v>0</v>
      </c>
      <c r="AN7" s="4">
        <f>IFERROR(INDEX(ТЕХ_Списки!$AO$2:$AO$71,MATCH($A7,ТЕХ_Списки!$D$2:$D$71,0)),0)</f>
        <v>0</v>
      </c>
      <c r="AO7" s="4">
        <f>IFERROR(INDEX(ТЕХ_Списки!$AP$2:$AP$71,MATCH($A7,ТЕХ_Списки!$D$2:$D$71,0)),0)</f>
        <v>0</v>
      </c>
      <c r="AP7" s="4">
        <f>IFERROR(INDEX(ТЕХ_Списки!$AQ$2:$AQ$71,MATCH($A7,ТЕХ_Списки!$D$2:$D$71,0)),0)</f>
        <v>0</v>
      </c>
      <c r="AQ7" s="4">
        <f>IFERROR(INDEX(ТЕХ_Списки!$AR$2:$AR$71,MATCH($A7,ТЕХ_Списки!$D$2:$D$71,0)),0)</f>
        <v>0</v>
      </c>
      <c r="AR7" s="4">
        <f>IFERROR(INDEX(ТЕХ_Списки!$AS$2:$AS$71,MATCH($A7,ТЕХ_Списки!$D$2:$D$71,0)),0)</f>
        <v>0</v>
      </c>
      <c r="AS7" s="4">
        <f>IFERROR(INDEX(ТЕХ_Списки!$AT$2:$AT$71,MATCH($A7,ТЕХ_Списки!$D$2:$D$71,0)),0)</f>
        <v>0</v>
      </c>
      <c r="AT7" s="4">
        <f>IFERROR(INDEX(ТЕХ_Списки!$AU$2:$AU$71,MATCH($A7,ТЕХ_Списки!$D$2:$D$71,0)),0)</f>
        <v>0</v>
      </c>
      <c r="AU7" s="4">
        <f>IFERROR(INDEX(ТЕХ_Списки!$AV$2:$AV$71,MATCH($A7,ТЕХ_Списки!$D$2:$D$71,0)),0)</f>
        <v>0</v>
      </c>
      <c r="AV7" s="4">
        <f>IFERROR(INDEX(ТЕХ_Списки!$AW$2:$AW$71,MATCH($A7,ТЕХ_Списки!$D$2:$D$71,0)),0)</f>
        <v>0</v>
      </c>
    </row>
    <row r="8" spans="1:48">
      <c r="A8" s="4" t="str">
        <f>IF(OR('РЕЙД-КОНСТРУКТОР'!C12="",'РЕЙД-КОНСТРУКТОР'!D12=""),"",'РЕЙД-КОНСТРУКТОР'!C12&amp;"§"&amp;'РЕЙД-КОНСТРУКТОР'!D12)</f>
        <v/>
      </c>
      <c r="B8" s="4">
        <f>IF(A8="",0,IF('РЕЙД-КОНСТРУКТОР'!F12="",1,'РЕЙД-КОНСТРУКТОР'!F12))</f>
        <v>0</v>
      </c>
      <c r="C8" s="4">
        <f>'РЕЙД-КОНСТРУКТОР'!E12</f>
        <v>0</v>
      </c>
      <c r="D8" s="4">
        <f>IFERROR(INDEX(ТЕХ_Списки!$E$2:$E$71,MATCH($A8,ТЕХ_Списки!$D$2:$D$71,0)),0)</f>
        <v>0</v>
      </c>
      <c r="E8" s="4">
        <f>IFERROR(INDEX(ТЕХ_Списки!$F$2:$F$71,MATCH($A8,ТЕХ_Списки!$D$2:$D$71,0)),0)</f>
        <v>0</v>
      </c>
      <c r="F8" s="4">
        <f>IFERROR(INDEX(ТЕХ_Списки!$G$2:$G$71,MATCH($A8,ТЕХ_Списки!$D$2:$D$71,0)),0)</f>
        <v>0</v>
      </c>
      <c r="G8" s="4">
        <f>IFERROR(INDEX(ТЕХ_Списки!$H$2:$H$71,MATCH($A8,ТЕХ_Списки!$D$2:$D$71,0)),0)</f>
        <v>0</v>
      </c>
      <c r="H8" s="4">
        <f>IFERROR(INDEX(ТЕХ_Списки!$I$2:$I$71,MATCH($A8,ТЕХ_Списки!$D$2:$D$71,0)),0)</f>
        <v>0</v>
      </c>
      <c r="I8" s="4">
        <f>IFERROR(INDEX(ТЕХ_Списки!$J$2:$J$71,MATCH($A8,ТЕХ_Списки!$D$2:$D$71,0)),0)</f>
        <v>0</v>
      </c>
      <c r="J8" s="4">
        <f>IFERROR(INDEX(ТЕХ_Списки!$K$2:$K$71,MATCH($A8,ТЕХ_Списки!$D$2:$D$71,0)),0)</f>
        <v>0</v>
      </c>
      <c r="K8" s="4">
        <f>IFERROR(INDEX(ТЕХ_Списки!$L$2:$L$71,MATCH($A8,ТЕХ_Списки!$D$2:$D$71,0)),0)</f>
        <v>0</v>
      </c>
      <c r="L8" s="4">
        <f>IFERROR(INDEX(ТЕХ_Списки!$M$2:$M$71,MATCH($A8,ТЕХ_Списки!$D$2:$D$71,0)),0)</f>
        <v>0</v>
      </c>
      <c r="M8" s="4">
        <f>IFERROR(INDEX(ТЕХ_Списки!$N$2:$N$71,MATCH($A8,ТЕХ_Списки!$D$2:$D$71,0)),0)</f>
        <v>0</v>
      </c>
      <c r="N8" s="4">
        <f>IFERROR(INDEX(ТЕХ_Списки!$O$2:$O$71,MATCH($A8,ТЕХ_Списки!$D$2:$D$71,0)),0)</f>
        <v>0</v>
      </c>
      <c r="O8" s="4">
        <f>IFERROR(INDEX(ТЕХ_Списки!$P$2:$P$71,MATCH($A8,ТЕХ_Списки!$D$2:$D$71,0)),0)</f>
        <v>0</v>
      </c>
      <c r="P8" s="4">
        <f>IFERROR(INDEX(ТЕХ_Списки!$Q$2:$Q$71,MATCH($A8,ТЕХ_Списки!$D$2:$D$71,0)),0)</f>
        <v>0</v>
      </c>
      <c r="Q8" s="4">
        <f>IFERROR(INDEX(ТЕХ_Списки!$R$2:$R$71,MATCH($A8,ТЕХ_Списки!$D$2:$D$71,0)),0)</f>
        <v>0</v>
      </c>
      <c r="R8" s="4">
        <f>IFERROR(INDEX(ТЕХ_Списки!$S$2:$S$71,MATCH($A8,ТЕХ_Списки!$D$2:$D$71,0)),0)</f>
        <v>0</v>
      </c>
      <c r="S8" s="4">
        <f>IFERROR(INDEX(ТЕХ_Списки!$T$2:$T$71,MATCH($A8,ТЕХ_Списки!$D$2:$D$71,0)),0)</f>
        <v>0</v>
      </c>
      <c r="T8" s="4">
        <f>IFERROR(INDEX(ТЕХ_Списки!$U$2:$U$71,MATCH($A8,ТЕХ_Списки!$D$2:$D$71,0)),0)</f>
        <v>0</v>
      </c>
      <c r="U8" s="4">
        <f>IFERROR(INDEX(ТЕХ_Списки!$V$2:$V$71,MATCH($A8,ТЕХ_Списки!$D$2:$D$71,0)),0)</f>
        <v>0</v>
      </c>
      <c r="V8" s="4">
        <f>IFERROR(INDEX(ТЕХ_Списки!$W$2:$W$71,MATCH($A8,ТЕХ_Списки!$D$2:$D$71,0)),0)</f>
        <v>0</v>
      </c>
      <c r="W8" s="4">
        <f>IFERROR(INDEX(ТЕХ_Списки!$X$2:$X$71,MATCH($A8,ТЕХ_Списки!$D$2:$D$71,0)),0)</f>
        <v>0</v>
      </c>
      <c r="X8" s="4">
        <f>IFERROR(INDEX(ТЕХ_Списки!$Y$2:$Y$71,MATCH($A8,ТЕХ_Списки!$D$2:$D$71,0)),0)</f>
        <v>0</v>
      </c>
      <c r="Y8" s="4">
        <f>IFERROR(INDEX(ТЕХ_Списки!$Z$2:$Z$71,MATCH($A8,ТЕХ_Списки!$D$2:$D$71,0)),0)</f>
        <v>0</v>
      </c>
      <c r="Z8" s="4">
        <f>IFERROR(INDEX(ТЕХ_Списки!$AA$2:$AA$71,MATCH($A8,ТЕХ_Списки!$D$2:$D$71,0)),0)</f>
        <v>0</v>
      </c>
      <c r="AA8" s="4">
        <f>IFERROR(INDEX(ТЕХ_Списки!$AB$2:$AB$71,MATCH($A8,ТЕХ_Списки!$D$2:$D$71,0)),0)</f>
        <v>0</v>
      </c>
      <c r="AB8" s="4">
        <f>IFERROR(INDEX(ТЕХ_Списки!$AC$2:$AC$71,MATCH($A8,ТЕХ_Списки!$D$2:$D$71,0)),0)</f>
        <v>0</v>
      </c>
      <c r="AC8" s="4">
        <f>IFERROR(INDEX(ТЕХ_Списки!$AD$2:$AD$71,MATCH($A8,ТЕХ_Списки!$D$2:$D$71,0)),0)</f>
        <v>0</v>
      </c>
      <c r="AD8" s="4">
        <f>IFERROR(INDEX(ТЕХ_Списки!$AE$2:$AE$71,MATCH($A8,ТЕХ_Списки!$D$2:$D$71,0)),0)</f>
        <v>0</v>
      </c>
      <c r="AE8" s="4">
        <f>IFERROR(INDEX(ТЕХ_Списки!$AF$2:$AF$71,MATCH($A8,ТЕХ_Списки!$D$2:$D$71,0)),0)</f>
        <v>0</v>
      </c>
      <c r="AF8" s="4">
        <f>IFERROR(INDEX(ТЕХ_Списки!$AG$2:$AG$71,MATCH($A8,ТЕХ_Списки!$D$2:$D$71,0)),0)</f>
        <v>0</v>
      </c>
      <c r="AG8" s="4">
        <f>IFERROR(INDEX(ТЕХ_Списки!$AH$2:$AH$71,MATCH($A8,ТЕХ_Списки!$D$2:$D$71,0)),0)</f>
        <v>0</v>
      </c>
      <c r="AH8" s="4">
        <f>IFERROR(INDEX(ТЕХ_Списки!$AI$2:$AI$71,MATCH($A8,ТЕХ_Списки!$D$2:$D$71,0)),0)</f>
        <v>0</v>
      </c>
      <c r="AI8" s="4">
        <f>IFERROR(INDEX(ТЕХ_Списки!$AJ$2:$AJ$71,MATCH($A8,ТЕХ_Списки!$D$2:$D$71,0)),0)</f>
        <v>0</v>
      </c>
      <c r="AJ8" s="4">
        <f>IFERROR(INDEX(ТЕХ_Списки!$AK$2:$AK$71,MATCH($A8,ТЕХ_Списки!$D$2:$D$71,0)),0)</f>
        <v>0</v>
      </c>
      <c r="AK8" s="4">
        <f>IFERROR(INDEX(ТЕХ_Списки!$AL$2:$AL$71,MATCH($A8,ТЕХ_Списки!$D$2:$D$71,0)),0)</f>
        <v>0</v>
      </c>
      <c r="AL8" s="4">
        <f>IFERROR(INDEX(ТЕХ_Списки!$AM$2:$AM$71,MATCH($A8,ТЕХ_Списки!$D$2:$D$71,0)),0)</f>
        <v>0</v>
      </c>
      <c r="AM8" s="4">
        <f>IFERROR(INDEX(ТЕХ_Списки!$AN$2:$AN$71,MATCH($A8,ТЕХ_Списки!$D$2:$D$71,0)),0)</f>
        <v>0</v>
      </c>
      <c r="AN8" s="4">
        <f>IFERROR(INDEX(ТЕХ_Списки!$AO$2:$AO$71,MATCH($A8,ТЕХ_Списки!$D$2:$D$71,0)),0)</f>
        <v>0</v>
      </c>
      <c r="AO8" s="4">
        <f>IFERROR(INDEX(ТЕХ_Списки!$AP$2:$AP$71,MATCH($A8,ТЕХ_Списки!$D$2:$D$71,0)),0)</f>
        <v>0</v>
      </c>
      <c r="AP8" s="4">
        <f>IFERROR(INDEX(ТЕХ_Списки!$AQ$2:$AQ$71,MATCH($A8,ТЕХ_Списки!$D$2:$D$71,0)),0)</f>
        <v>0</v>
      </c>
      <c r="AQ8" s="4">
        <f>IFERROR(INDEX(ТЕХ_Списки!$AR$2:$AR$71,MATCH($A8,ТЕХ_Списки!$D$2:$D$71,0)),0)</f>
        <v>0</v>
      </c>
      <c r="AR8" s="4">
        <f>IFERROR(INDEX(ТЕХ_Списки!$AS$2:$AS$71,MATCH($A8,ТЕХ_Списки!$D$2:$D$71,0)),0)</f>
        <v>0</v>
      </c>
      <c r="AS8" s="4">
        <f>IFERROR(INDEX(ТЕХ_Списки!$AT$2:$AT$71,MATCH($A8,ТЕХ_Списки!$D$2:$D$71,0)),0)</f>
        <v>0</v>
      </c>
      <c r="AT8" s="4">
        <f>IFERROR(INDEX(ТЕХ_Списки!$AU$2:$AU$71,MATCH($A8,ТЕХ_Списки!$D$2:$D$71,0)),0)</f>
        <v>0</v>
      </c>
      <c r="AU8" s="4">
        <f>IFERROR(INDEX(ТЕХ_Списки!$AV$2:$AV$71,MATCH($A8,ТЕХ_Списки!$D$2:$D$71,0)),0)</f>
        <v>0</v>
      </c>
      <c r="AV8" s="4">
        <f>IFERROR(INDEX(ТЕХ_Списки!$AW$2:$AW$71,MATCH($A8,ТЕХ_Списки!$D$2:$D$71,0)),0)</f>
        <v>0</v>
      </c>
    </row>
    <row r="9" spans="1:48">
      <c r="A9" s="4" t="str">
        <f>IF(OR('РЕЙД-КОНСТРУКТОР'!C13="",'РЕЙД-КОНСТРУКТОР'!D13=""),"",'РЕЙД-КОНСТРУКТОР'!C13&amp;"§"&amp;'РЕЙД-КОНСТРУКТОР'!D13)</f>
        <v/>
      </c>
      <c r="B9" s="4">
        <f>IF(A9="",0,IF('РЕЙД-КОНСТРУКТОР'!F13="",1,'РЕЙД-КОНСТРУКТОР'!F13))</f>
        <v>0</v>
      </c>
      <c r="C9" s="4">
        <f>'РЕЙД-КОНСТРУКТОР'!E13</f>
        <v>0</v>
      </c>
      <c r="D9" s="4">
        <f>IFERROR(INDEX(ТЕХ_Списки!$E$2:$E$71,MATCH($A9,ТЕХ_Списки!$D$2:$D$71,0)),0)</f>
        <v>0</v>
      </c>
      <c r="E9" s="4">
        <f>IFERROR(INDEX(ТЕХ_Списки!$F$2:$F$71,MATCH($A9,ТЕХ_Списки!$D$2:$D$71,0)),0)</f>
        <v>0</v>
      </c>
      <c r="F9" s="4">
        <f>IFERROR(INDEX(ТЕХ_Списки!$G$2:$G$71,MATCH($A9,ТЕХ_Списки!$D$2:$D$71,0)),0)</f>
        <v>0</v>
      </c>
      <c r="G9" s="4">
        <f>IFERROR(INDEX(ТЕХ_Списки!$H$2:$H$71,MATCH($A9,ТЕХ_Списки!$D$2:$D$71,0)),0)</f>
        <v>0</v>
      </c>
      <c r="H9" s="4">
        <f>IFERROR(INDEX(ТЕХ_Списки!$I$2:$I$71,MATCH($A9,ТЕХ_Списки!$D$2:$D$71,0)),0)</f>
        <v>0</v>
      </c>
      <c r="I9" s="4">
        <f>IFERROR(INDEX(ТЕХ_Списки!$J$2:$J$71,MATCH($A9,ТЕХ_Списки!$D$2:$D$71,0)),0)</f>
        <v>0</v>
      </c>
      <c r="J9" s="4">
        <f>IFERROR(INDEX(ТЕХ_Списки!$K$2:$K$71,MATCH($A9,ТЕХ_Списки!$D$2:$D$71,0)),0)</f>
        <v>0</v>
      </c>
      <c r="K9" s="4">
        <f>IFERROR(INDEX(ТЕХ_Списки!$L$2:$L$71,MATCH($A9,ТЕХ_Списки!$D$2:$D$71,0)),0)</f>
        <v>0</v>
      </c>
      <c r="L9" s="4">
        <f>IFERROR(INDEX(ТЕХ_Списки!$M$2:$M$71,MATCH($A9,ТЕХ_Списки!$D$2:$D$71,0)),0)</f>
        <v>0</v>
      </c>
      <c r="M9" s="4">
        <f>IFERROR(INDEX(ТЕХ_Списки!$N$2:$N$71,MATCH($A9,ТЕХ_Списки!$D$2:$D$71,0)),0)</f>
        <v>0</v>
      </c>
      <c r="N9" s="4">
        <f>IFERROR(INDEX(ТЕХ_Списки!$O$2:$O$71,MATCH($A9,ТЕХ_Списки!$D$2:$D$71,0)),0)</f>
        <v>0</v>
      </c>
      <c r="O9" s="4">
        <f>IFERROR(INDEX(ТЕХ_Списки!$P$2:$P$71,MATCH($A9,ТЕХ_Списки!$D$2:$D$71,0)),0)</f>
        <v>0</v>
      </c>
      <c r="P9" s="4">
        <f>IFERROR(INDEX(ТЕХ_Списки!$Q$2:$Q$71,MATCH($A9,ТЕХ_Списки!$D$2:$D$71,0)),0)</f>
        <v>0</v>
      </c>
      <c r="Q9" s="4">
        <f>IFERROR(INDEX(ТЕХ_Списки!$R$2:$R$71,MATCH($A9,ТЕХ_Списки!$D$2:$D$71,0)),0)</f>
        <v>0</v>
      </c>
      <c r="R9" s="4">
        <f>IFERROR(INDEX(ТЕХ_Списки!$S$2:$S$71,MATCH($A9,ТЕХ_Списки!$D$2:$D$71,0)),0)</f>
        <v>0</v>
      </c>
      <c r="S9" s="4">
        <f>IFERROR(INDEX(ТЕХ_Списки!$T$2:$T$71,MATCH($A9,ТЕХ_Списки!$D$2:$D$71,0)),0)</f>
        <v>0</v>
      </c>
      <c r="T9" s="4">
        <f>IFERROR(INDEX(ТЕХ_Списки!$U$2:$U$71,MATCH($A9,ТЕХ_Списки!$D$2:$D$71,0)),0)</f>
        <v>0</v>
      </c>
      <c r="U9" s="4">
        <f>IFERROR(INDEX(ТЕХ_Списки!$V$2:$V$71,MATCH($A9,ТЕХ_Списки!$D$2:$D$71,0)),0)</f>
        <v>0</v>
      </c>
      <c r="V9" s="4">
        <f>IFERROR(INDEX(ТЕХ_Списки!$W$2:$W$71,MATCH($A9,ТЕХ_Списки!$D$2:$D$71,0)),0)</f>
        <v>0</v>
      </c>
      <c r="W9" s="4">
        <f>IFERROR(INDEX(ТЕХ_Списки!$X$2:$X$71,MATCH($A9,ТЕХ_Списки!$D$2:$D$71,0)),0)</f>
        <v>0</v>
      </c>
      <c r="X9" s="4">
        <f>IFERROR(INDEX(ТЕХ_Списки!$Y$2:$Y$71,MATCH($A9,ТЕХ_Списки!$D$2:$D$71,0)),0)</f>
        <v>0</v>
      </c>
      <c r="Y9" s="4">
        <f>IFERROR(INDEX(ТЕХ_Списки!$Z$2:$Z$71,MATCH($A9,ТЕХ_Списки!$D$2:$D$71,0)),0)</f>
        <v>0</v>
      </c>
      <c r="Z9" s="4">
        <f>IFERROR(INDEX(ТЕХ_Списки!$AA$2:$AA$71,MATCH($A9,ТЕХ_Списки!$D$2:$D$71,0)),0)</f>
        <v>0</v>
      </c>
      <c r="AA9" s="4">
        <f>IFERROR(INDEX(ТЕХ_Списки!$AB$2:$AB$71,MATCH($A9,ТЕХ_Списки!$D$2:$D$71,0)),0)</f>
        <v>0</v>
      </c>
      <c r="AB9" s="4">
        <f>IFERROR(INDEX(ТЕХ_Списки!$AC$2:$AC$71,MATCH($A9,ТЕХ_Списки!$D$2:$D$71,0)),0)</f>
        <v>0</v>
      </c>
      <c r="AC9" s="4">
        <f>IFERROR(INDEX(ТЕХ_Списки!$AD$2:$AD$71,MATCH($A9,ТЕХ_Списки!$D$2:$D$71,0)),0)</f>
        <v>0</v>
      </c>
      <c r="AD9" s="4">
        <f>IFERROR(INDEX(ТЕХ_Списки!$AE$2:$AE$71,MATCH($A9,ТЕХ_Списки!$D$2:$D$71,0)),0)</f>
        <v>0</v>
      </c>
      <c r="AE9" s="4">
        <f>IFERROR(INDEX(ТЕХ_Списки!$AF$2:$AF$71,MATCH($A9,ТЕХ_Списки!$D$2:$D$71,0)),0)</f>
        <v>0</v>
      </c>
      <c r="AF9" s="4">
        <f>IFERROR(INDEX(ТЕХ_Списки!$AG$2:$AG$71,MATCH($A9,ТЕХ_Списки!$D$2:$D$71,0)),0)</f>
        <v>0</v>
      </c>
      <c r="AG9" s="4">
        <f>IFERROR(INDEX(ТЕХ_Списки!$AH$2:$AH$71,MATCH($A9,ТЕХ_Списки!$D$2:$D$71,0)),0)</f>
        <v>0</v>
      </c>
      <c r="AH9" s="4">
        <f>IFERROR(INDEX(ТЕХ_Списки!$AI$2:$AI$71,MATCH($A9,ТЕХ_Списки!$D$2:$D$71,0)),0)</f>
        <v>0</v>
      </c>
      <c r="AI9" s="4">
        <f>IFERROR(INDEX(ТЕХ_Списки!$AJ$2:$AJ$71,MATCH($A9,ТЕХ_Списки!$D$2:$D$71,0)),0)</f>
        <v>0</v>
      </c>
      <c r="AJ9" s="4">
        <f>IFERROR(INDEX(ТЕХ_Списки!$AK$2:$AK$71,MATCH($A9,ТЕХ_Списки!$D$2:$D$71,0)),0)</f>
        <v>0</v>
      </c>
      <c r="AK9" s="4">
        <f>IFERROR(INDEX(ТЕХ_Списки!$AL$2:$AL$71,MATCH($A9,ТЕХ_Списки!$D$2:$D$71,0)),0)</f>
        <v>0</v>
      </c>
      <c r="AL9" s="4">
        <f>IFERROR(INDEX(ТЕХ_Списки!$AM$2:$AM$71,MATCH($A9,ТЕХ_Списки!$D$2:$D$71,0)),0)</f>
        <v>0</v>
      </c>
      <c r="AM9" s="4">
        <f>IFERROR(INDEX(ТЕХ_Списки!$AN$2:$AN$71,MATCH($A9,ТЕХ_Списки!$D$2:$D$71,0)),0)</f>
        <v>0</v>
      </c>
      <c r="AN9" s="4">
        <f>IFERROR(INDEX(ТЕХ_Списки!$AO$2:$AO$71,MATCH($A9,ТЕХ_Списки!$D$2:$D$71,0)),0)</f>
        <v>0</v>
      </c>
      <c r="AO9" s="4">
        <f>IFERROR(INDEX(ТЕХ_Списки!$AP$2:$AP$71,MATCH($A9,ТЕХ_Списки!$D$2:$D$71,0)),0)</f>
        <v>0</v>
      </c>
      <c r="AP9" s="4">
        <f>IFERROR(INDEX(ТЕХ_Списки!$AQ$2:$AQ$71,MATCH($A9,ТЕХ_Списки!$D$2:$D$71,0)),0)</f>
        <v>0</v>
      </c>
      <c r="AQ9" s="4">
        <f>IFERROR(INDEX(ТЕХ_Списки!$AR$2:$AR$71,MATCH($A9,ТЕХ_Списки!$D$2:$D$71,0)),0)</f>
        <v>0</v>
      </c>
      <c r="AR9" s="4">
        <f>IFERROR(INDEX(ТЕХ_Списки!$AS$2:$AS$71,MATCH($A9,ТЕХ_Списки!$D$2:$D$71,0)),0)</f>
        <v>0</v>
      </c>
      <c r="AS9" s="4">
        <f>IFERROR(INDEX(ТЕХ_Списки!$AT$2:$AT$71,MATCH($A9,ТЕХ_Списки!$D$2:$D$71,0)),0)</f>
        <v>0</v>
      </c>
      <c r="AT9" s="4">
        <f>IFERROR(INDEX(ТЕХ_Списки!$AU$2:$AU$71,MATCH($A9,ТЕХ_Списки!$D$2:$D$71,0)),0)</f>
        <v>0</v>
      </c>
      <c r="AU9" s="4">
        <f>IFERROR(INDEX(ТЕХ_Списки!$AV$2:$AV$71,MATCH($A9,ТЕХ_Списки!$D$2:$D$71,0)),0)</f>
        <v>0</v>
      </c>
      <c r="AV9" s="4">
        <f>IFERROR(INDEX(ТЕХ_Списки!$AW$2:$AW$71,MATCH($A9,ТЕХ_Списки!$D$2:$D$71,0)),0)</f>
        <v>0</v>
      </c>
    </row>
    <row r="10" spans="1:48">
      <c r="A10" s="4" t="str">
        <f>IF(OR('РЕЙД-КОНСТРУКТОР'!C14="",'РЕЙД-КОНСТРУКТОР'!D14=""),"",'РЕЙД-КОНСТРУКТОР'!C14&amp;"§"&amp;'РЕЙД-КОНСТРУКТОР'!D14)</f>
        <v/>
      </c>
      <c r="B10" s="4">
        <f>IF(A10="",0,IF('РЕЙД-КОНСТРУКТОР'!F14="",1,'РЕЙД-КОНСТРУКТОР'!F14))</f>
        <v>0</v>
      </c>
      <c r="C10" s="4">
        <f>'РЕЙД-КОНСТРУКТОР'!E14</f>
        <v>0</v>
      </c>
      <c r="D10" s="4">
        <f>IFERROR(INDEX(ТЕХ_Списки!$E$2:$E$71,MATCH($A10,ТЕХ_Списки!$D$2:$D$71,0)),0)</f>
        <v>0</v>
      </c>
      <c r="E10" s="4">
        <f>IFERROR(INDEX(ТЕХ_Списки!$F$2:$F$71,MATCH($A10,ТЕХ_Списки!$D$2:$D$71,0)),0)</f>
        <v>0</v>
      </c>
      <c r="F10" s="4">
        <f>IFERROR(INDEX(ТЕХ_Списки!$G$2:$G$71,MATCH($A10,ТЕХ_Списки!$D$2:$D$71,0)),0)</f>
        <v>0</v>
      </c>
      <c r="G10" s="4">
        <f>IFERROR(INDEX(ТЕХ_Списки!$H$2:$H$71,MATCH($A10,ТЕХ_Списки!$D$2:$D$71,0)),0)</f>
        <v>0</v>
      </c>
      <c r="H10" s="4">
        <f>IFERROR(INDEX(ТЕХ_Списки!$I$2:$I$71,MATCH($A10,ТЕХ_Списки!$D$2:$D$71,0)),0)</f>
        <v>0</v>
      </c>
      <c r="I10" s="4">
        <f>IFERROR(INDEX(ТЕХ_Списки!$J$2:$J$71,MATCH($A10,ТЕХ_Списки!$D$2:$D$71,0)),0)</f>
        <v>0</v>
      </c>
      <c r="J10" s="4">
        <f>IFERROR(INDEX(ТЕХ_Списки!$K$2:$K$71,MATCH($A10,ТЕХ_Списки!$D$2:$D$71,0)),0)</f>
        <v>0</v>
      </c>
      <c r="K10" s="4">
        <f>IFERROR(INDEX(ТЕХ_Списки!$L$2:$L$71,MATCH($A10,ТЕХ_Списки!$D$2:$D$71,0)),0)</f>
        <v>0</v>
      </c>
      <c r="L10" s="4">
        <f>IFERROR(INDEX(ТЕХ_Списки!$M$2:$M$71,MATCH($A10,ТЕХ_Списки!$D$2:$D$71,0)),0)</f>
        <v>0</v>
      </c>
      <c r="M10" s="4">
        <f>IFERROR(INDEX(ТЕХ_Списки!$N$2:$N$71,MATCH($A10,ТЕХ_Списки!$D$2:$D$71,0)),0)</f>
        <v>0</v>
      </c>
      <c r="N10" s="4">
        <f>IFERROR(INDEX(ТЕХ_Списки!$O$2:$O$71,MATCH($A10,ТЕХ_Списки!$D$2:$D$71,0)),0)</f>
        <v>0</v>
      </c>
      <c r="O10" s="4">
        <f>IFERROR(INDEX(ТЕХ_Списки!$P$2:$P$71,MATCH($A10,ТЕХ_Списки!$D$2:$D$71,0)),0)</f>
        <v>0</v>
      </c>
      <c r="P10" s="4">
        <f>IFERROR(INDEX(ТЕХ_Списки!$Q$2:$Q$71,MATCH($A10,ТЕХ_Списки!$D$2:$D$71,0)),0)</f>
        <v>0</v>
      </c>
      <c r="Q10" s="4">
        <f>IFERROR(INDEX(ТЕХ_Списки!$R$2:$R$71,MATCH($A10,ТЕХ_Списки!$D$2:$D$71,0)),0)</f>
        <v>0</v>
      </c>
      <c r="R10" s="4">
        <f>IFERROR(INDEX(ТЕХ_Списки!$S$2:$S$71,MATCH($A10,ТЕХ_Списки!$D$2:$D$71,0)),0)</f>
        <v>0</v>
      </c>
      <c r="S10" s="4">
        <f>IFERROR(INDEX(ТЕХ_Списки!$T$2:$T$71,MATCH($A10,ТЕХ_Списки!$D$2:$D$71,0)),0)</f>
        <v>0</v>
      </c>
      <c r="T10" s="4">
        <f>IFERROR(INDEX(ТЕХ_Списки!$U$2:$U$71,MATCH($A10,ТЕХ_Списки!$D$2:$D$71,0)),0)</f>
        <v>0</v>
      </c>
      <c r="U10" s="4">
        <f>IFERROR(INDEX(ТЕХ_Списки!$V$2:$V$71,MATCH($A10,ТЕХ_Списки!$D$2:$D$71,0)),0)</f>
        <v>0</v>
      </c>
      <c r="V10" s="4">
        <f>IFERROR(INDEX(ТЕХ_Списки!$W$2:$W$71,MATCH($A10,ТЕХ_Списки!$D$2:$D$71,0)),0)</f>
        <v>0</v>
      </c>
      <c r="W10" s="4">
        <f>IFERROR(INDEX(ТЕХ_Списки!$X$2:$X$71,MATCH($A10,ТЕХ_Списки!$D$2:$D$71,0)),0)</f>
        <v>0</v>
      </c>
      <c r="X10" s="4">
        <f>IFERROR(INDEX(ТЕХ_Списки!$Y$2:$Y$71,MATCH($A10,ТЕХ_Списки!$D$2:$D$71,0)),0)</f>
        <v>0</v>
      </c>
      <c r="Y10" s="4">
        <f>IFERROR(INDEX(ТЕХ_Списки!$Z$2:$Z$71,MATCH($A10,ТЕХ_Списки!$D$2:$D$71,0)),0)</f>
        <v>0</v>
      </c>
      <c r="Z10" s="4">
        <f>IFERROR(INDEX(ТЕХ_Списки!$AA$2:$AA$71,MATCH($A10,ТЕХ_Списки!$D$2:$D$71,0)),0)</f>
        <v>0</v>
      </c>
      <c r="AA10" s="4">
        <f>IFERROR(INDEX(ТЕХ_Списки!$AB$2:$AB$71,MATCH($A10,ТЕХ_Списки!$D$2:$D$71,0)),0)</f>
        <v>0</v>
      </c>
      <c r="AB10" s="4">
        <f>IFERROR(INDEX(ТЕХ_Списки!$AC$2:$AC$71,MATCH($A10,ТЕХ_Списки!$D$2:$D$71,0)),0)</f>
        <v>0</v>
      </c>
      <c r="AC10" s="4">
        <f>IFERROR(INDEX(ТЕХ_Списки!$AD$2:$AD$71,MATCH($A10,ТЕХ_Списки!$D$2:$D$71,0)),0)</f>
        <v>0</v>
      </c>
      <c r="AD10" s="4">
        <f>IFERROR(INDEX(ТЕХ_Списки!$AE$2:$AE$71,MATCH($A10,ТЕХ_Списки!$D$2:$D$71,0)),0)</f>
        <v>0</v>
      </c>
      <c r="AE10" s="4">
        <f>IFERROR(INDEX(ТЕХ_Списки!$AF$2:$AF$71,MATCH($A10,ТЕХ_Списки!$D$2:$D$71,0)),0)</f>
        <v>0</v>
      </c>
      <c r="AF10" s="4">
        <f>IFERROR(INDEX(ТЕХ_Списки!$AG$2:$AG$71,MATCH($A10,ТЕХ_Списки!$D$2:$D$71,0)),0)</f>
        <v>0</v>
      </c>
      <c r="AG10" s="4">
        <f>IFERROR(INDEX(ТЕХ_Списки!$AH$2:$AH$71,MATCH($A10,ТЕХ_Списки!$D$2:$D$71,0)),0)</f>
        <v>0</v>
      </c>
      <c r="AH10" s="4">
        <f>IFERROR(INDEX(ТЕХ_Списки!$AI$2:$AI$71,MATCH($A10,ТЕХ_Списки!$D$2:$D$71,0)),0)</f>
        <v>0</v>
      </c>
      <c r="AI10" s="4">
        <f>IFERROR(INDEX(ТЕХ_Списки!$AJ$2:$AJ$71,MATCH($A10,ТЕХ_Списки!$D$2:$D$71,0)),0)</f>
        <v>0</v>
      </c>
      <c r="AJ10" s="4">
        <f>IFERROR(INDEX(ТЕХ_Списки!$AK$2:$AK$71,MATCH($A10,ТЕХ_Списки!$D$2:$D$71,0)),0)</f>
        <v>0</v>
      </c>
      <c r="AK10" s="4">
        <f>IFERROR(INDEX(ТЕХ_Списки!$AL$2:$AL$71,MATCH($A10,ТЕХ_Списки!$D$2:$D$71,0)),0)</f>
        <v>0</v>
      </c>
      <c r="AL10" s="4">
        <f>IFERROR(INDEX(ТЕХ_Списки!$AM$2:$AM$71,MATCH($A10,ТЕХ_Списки!$D$2:$D$71,0)),0)</f>
        <v>0</v>
      </c>
      <c r="AM10" s="4">
        <f>IFERROR(INDEX(ТЕХ_Списки!$AN$2:$AN$71,MATCH($A10,ТЕХ_Списки!$D$2:$D$71,0)),0)</f>
        <v>0</v>
      </c>
      <c r="AN10" s="4">
        <f>IFERROR(INDEX(ТЕХ_Списки!$AO$2:$AO$71,MATCH($A10,ТЕХ_Списки!$D$2:$D$71,0)),0)</f>
        <v>0</v>
      </c>
      <c r="AO10" s="4">
        <f>IFERROR(INDEX(ТЕХ_Списки!$AP$2:$AP$71,MATCH($A10,ТЕХ_Списки!$D$2:$D$71,0)),0)</f>
        <v>0</v>
      </c>
      <c r="AP10" s="4">
        <f>IFERROR(INDEX(ТЕХ_Списки!$AQ$2:$AQ$71,MATCH($A10,ТЕХ_Списки!$D$2:$D$71,0)),0)</f>
        <v>0</v>
      </c>
      <c r="AQ10" s="4">
        <f>IFERROR(INDEX(ТЕХ_Списки!$AR$2:$AR$71,MATCH($A10,ТЕХ_Списки!$D$2:$D$71,0)),0)</f>
        <v>0</v>
      </c>
      <c r="AR10" s="4">
        <f>IFERROR(INDEX(ТЕХ_Списки!$AS$2:$AS$71,MATCH($A10,ТЕХ_Списки!$D$2:$D$71,0)),0)</f>
        <v>0</v>
      </c>
      <c r="AS10" s="4">
        <f>IFERROR(INDEX(ТЕХ_Списки!$AT$2:$AT$71,MATCH($A10,ТЕХ_Списки!$D$2:$D$71,0)),0)</f>
        <v>0</v>
      </c>
      <c r="AT10" s="4">
        <f>IFERROR(INDEX(ТЕХ_Списки!$AU$2:$AU$71,MATCH($A10,ТЕХ_Списки!$D$2:$D$71,0)),0)</f>
        <v>0</v>
      </c>
      <c r="AU10" s="4">
        <f>IFERROR(INDEX(ТЕХ_Списки!$AV$2:$AV$71,MATCH($A10,ТЕХ_Списки!$D$2:$D$71,0)),0)</f>
        <v>0</v>
      </c>
      <c r="AV10" s="4">
        <f>IFERROR(INDEX(ТЕХ_Списки!$AW$2:$AW$71,MATCH($A10,ТЕХ_Списки!$D$2:$D$71,0)),0)</f>
        <v>0</v>
      </c>
    </row>
    <row r="11" spans="1:48">
      <c r="A11" s="4" t="str">
        <f>IF(OR('РЕЙД-КОНСТРУКТОР'!C15="",'РЕЙД-КОНСТРУКТОР'!D15=""),"",'РЕЙД-КОНСТРУКТОР'!C15&amp;"§"&amp;'РЕЙД-КОНСТРУКТОР'!D15)</f>
        <v/>
      </c>
      <c r="B11" s="4">
        <f>IF(A11="",0,IF('РЕЙД-КОНСТРУКТОР'!F15="",1,'РЕЙД-КОНСТРУКТОР'!F15))</f>
        <v>0</v>
      </c>
      <c r="C11" s="4">
        <f>'РЕЙД-КОНСТРУКТОР'!E15</f>
        <v>0</v>
      </c>
      <c r="D11" s="4">
        <f>IFERROR(INDEX(ТЕХ_Списки!$E$2:$E$71,MATCH($A11,ТЕХ_Списки!$D$2:$D$71,0)),0)</f>
        <v>0</v>
      </c>
      <c r="E11" s="4">
        <f>IFERROR(INDEX(ТЕХ_Списки!$F$2:$F$71,MATCH($A11,ТЕХ_Списки!$D$2:$D$71,0)),0)</f>
        <v>0</v>
      </c>
      <c r="F11" s="4">
        <f>IFERROR(INDEX(ТЕХ_Списки!$G$2:$G$71,MATCH($A11,ТЕХ_Списки!$D$2:$D$71,0)),0)</f>
        <v>0</v>
      </c>
      <c r="G11" s="4">
        <f>IFERROR(INDEX(ТЕХ_Списки!$H$2:$H$71,MATCH($A11,ТЕХ_Списки!$D$2:$D$71,0)),0)</f>
        <v>0</v>
      </c>
      <c r="H11" s="4">
        <f>IFERROR(INDEX(ТЕХ_Списки!$I$2:$I$71,MATCH($A11,ТЕХ_Списки!$D$2:$D$71,0)),0)</f>
        <v>0</v>
      </c>
      <c r="I11" s="4">
        <f>IFERROR(INDEX(ТЕХ_Списки!$J$2:$J$71,MATCH($A11,ТЕХ_Списки!$D$2:$D$71,0)),0)</f>
        <v>0</v>
      </c>
      <c r="J11" s="4">
        <f>IFERROR(INDEX(ТЕХ_Списки!$K$2:$K$71,MATCH($A11,ТЕХ_Списки!$D$2:$D$71,0)),0)</f>
        <v>0</v>
      </c>
      <c r="K11" s="4">
        <f>IFERROR(INDEX(ТЕХ_Списки!$L$2:$L$71,MATCH($A11,ТЕХ_Списки!$D$2:$D$71,0)),0)</f>
        <v>0</v>
      </c>
      <c r="L11" s="4">
        <f>IFERROR(INDEX(ТЕХ_Списки!$M$2:$M$71,MATCH($A11,ТЕХ_Списки!$D$2:$D$71,0)),0)</f>
        <v>0</v>
      </c>
      <c r="M11" s="4">
        <f>IFERROR(INDEX(ТЕХ_Списки!$N$2:$N$71,MATCH($A11,ТЕХ_Списки!$D$2:$D$71,0)),0)</f>
        <v>0</v>
      </c>
      <c r="N11" s="4">
        <f>IFERROR(INDEX(ТЕХ_Списки!$O$2:$O$71,MATCH($A11,ТЕХ_Списки!$D$2:$D$71,0)),0)</f>
        <v>0</v>
      </c>
      <c r="O11" s="4">
        <f>IFERROR(INDEX(ТЕХ_Списки!$P$2:$P$71,MATCH($A11,ТЕХ_Списки!$D$2:$D$71,0)),0)</f>
        <v>0</v>
      </c>
      <c r="P11" s="4">
        <f>IFERROR(INDEX(ТЕХ_Списки!$Q$2:$Q$71,MATCH($A11,ТЕХ_Списки!$D$2:$D$71,0)),0)</f>
        <v>0</v>
      </c>
      <c r="Q11" s="4">
        <f>IFERROR(INDEX(ТЕХ_Списки!$R$2:$R$71,MATCH($A11,ТЕХ_Списки!$D$2:$D$71,0)),0)</f>
        <v>0</v>
      </c>
      <c r="R11" s="4">
        <f>IFERROR(INDEX(ТЕХ_Списки!$S$2:$S$71,MATCH($A11,ТЕХ_Списки!$D$2:$D$71,0)),0)</f>
        <v>0</v>
      </c>
      <c r="S11" s="4">
        <f>IFERROR(INDEX(ТЕХ_Списки!$T$2:$T$71,MATCH($A11,ТЕХ_Списки!$D$2:$D$71,0)),0)</f>
        <v>0</v>
      </c>
      <c r="T11" s="4">
        <f>IFERROR(INDEX(ТЕХ_Списки!$U$2:$U$71,MATCH($A11,ТЕХ_Списки!$D$2:$D$71,0)),0)</f>
        <v>0</v>
      </c>
      <c r="U11" s="4">
        <f>IFERROR(INDEX(ТЕХ_Списки!$V$2:$V$71,MATCH($A11,ТЕХ_Списки!$D$2:$D$71,0)),0)</f>
        <v>0</v>
      </c>
      <c r="V11" s="4">
        <f>IFERROR(INDEX(ТЕХ_Списки!$W$2:$W$71,MATCH($A11,ТЕХ_Списки!$D$2:$D$71,0)),0)</f>
        <v>0</v>
      </c>
      <c r="W11" s="4">
        <f>IFERROR(INDEX(ТЕХ_Списки!$X$2:$X$71,MATCH($A11,ТЕХ_Списки!$D$2:$D$71,0)),0)</f>
        <v>0</v>
      </c>
      <c r="X11" s="4">
        <f>IFERROR(INDEX(ТЕХ_Списки!$Y$2:$Y$71,MATCH($A11,ТЕХ_Списки!$D$2:$D$71,0)),0)</f>
        <v>0</v>
      </c>
      <c r="Y11" s="4">
        <f>IFERROR(INDEX(ТЕХ_Списки!$Z$2:$Z$71,MATCH($A11,ТЕХ_Списки!$D$2:$D$71,0)),0)</f>
        <v>0</v>
      </c>
      <c r="Z11" s="4">
        <f>IFERROR(INDEX(ТЕХ_Списки!$AA$2:$AA$71,MATCH($A11,ТЕХ_Списки!$D$2:$D$71,0)),0)</f>
        <v>0</v>
      </c>
      <c r="AA11" s="4">
        <f>IFERROR(INDEX(ТЕХ_Списки!$AB$2:$AB$71,MATCH($A11,ТЕХ_Списки!$D$2:$D$71,0)),0)</f>
        <v>0</v>
      </c>
      <c r="AB11" s="4">
        <f>IFERROR(INDEX(ТЕХ_Списки!$AC$2:$AC$71,MATCH($A11,ТЕХ_Списки!$D$2:$D$71,0)),0)</f>
        <v>0</v>
      </c>
      <c r="AC11" s="4">
        <f>IFERROR(INDEX(ТЕХ_Списки!$AD$2:$AD$71,MATCH($A11,ТЕХ_Списки!$D$2:$D$71,0)),0)</f>
        <v>0</v>
      </c>
      <c r="AD11" s="4">
        <f>IFERROR(INDEX(ТЕХ_Списки!$AE$2:$AE$71,MATCH($A11,ТЕХ_Списки!$D$2:$D$71,0)),0)</f>
        <v>0</v>
      </c>
      <c r="AE11" s="4">
        <f>IFERROR(INDEX(ТЕХ_Списки!$AF$2:$AF$71,MATCH($A11,ТЕХ_Списки!$D$2:$D$71,0)),0)</f>
        <v>0</v>
      </c>
      <c r="AF11" s="4">
        <f>IFERROR(INDEX(ТЕХ_Списки!$AG$2:$AG$71,MATCH($A11,ТЕХ_Списки!$D$2:$D$71,0)),0)</f>
        <v>0</v>
      </c>
      <c r="AG11" s="4">
        <f>IFERROR(INDEX(ТЕХ_Списки!$AH$2:$AH$71,MATCH($A11,ТЕХ_Списки!$D$2:$D$71,0)),0)</f>
        <v>0</v>
      </c>
      <c r="AH11" s="4">
        <f>IFERROR(INDEX(ТЕХ_Списки!$AI$2:$AI$71,MATCH($A11,ТЕХ_Списки!$D$2:$D$71,0)),0)</f>
        <v>0</v>
      </c>
      <c r="AI11" s="4">
        <f>IFERROR(INDEX(ТЕХ_Списки!$AJ$2:$AJ$71,MATCH($A11,ТЕХ_Списки!$D$2:$D$71,0)),0)</f>
        <v>0</v>
      </c>
      <c r="AJ11" s="4">
        <f>IFERROR(INDEX(ТЕХ_Списки!$AK$2:$AK$71,MATCH($A11,ТЕХ_Списки!$D$2:$D$71,0)),0)</f>
        <v>0</v>
      </c>
      <c r="AK11" s="4">
        <f>IFERROR(INDEX(ТЕХ_Списки!$AL$2:$AL$71,MATCH($A11,ТЕХ_Списки!$D$2:$D$71,0)),0)</f>
        <v>0</v>
      </c>
      <c r="AL11" s="4">
        <f>IFERROR(INDEX(ТЕХ_Списки!$AM$2:$AM$71,MATCH($A11,ТЕХ_Списки!$D$2:$D$71,0)),0)</f>
        <v>0</v>
      </c>
      <c r="AM11" s="4">
        <f>IFERROR(INDEX(ТЕХ_Списки!$AN$2:$AN$71,MATCH($A11,ТЕХ_Списки!$D$2:$D$71,0)),0)</f>
        <v>0</v>
      </c>
      <c r="AN11" s="4">
        <f>IFERROR(INDEX(ТЕХ_Списки!$AO$2:$AO$71,MATCH($A11,ТЕХ_Списки!$D$2:$D$71,0)),0)</f>
        <v>0</v>
      </c>
      <c r="AO11" s="4">
        <f>IFERROR(INDEX(ТЕХ_Списки!$AP$2:$AP$71,MATCH($A11,ТЕХ_Списки!$D$2:$D$71,0)),0)</f>
        <v>0</v>
      </c>
      <c r="AP11" s="4">
        <f>IFERROR(INDEX(ТЕХ_Списки!$AQ$2:$AQ$71,MATCH($A11,ТЕХ_Списки!$D$2:$D$71,0)),0)</f>
        <v>0</v>
      </c>
      <c r="AQ11" s="4">
        <f>IFERROR(INDEX(ТЕХ_Списки!$AR$2:$AR$71,MATCH($A11,ТЕХ_Списки!$D$2:$D$71,0)),0)</f>
        <v>0</v>
      </c>
      <c r="AR11" s="4">
        <f>IFERROR(INDEX(ТЕХ_Списки!$AS$2:$AS$71,MATCH($A11,ТЕХ_Списки!$D$2:$D$71,0)),0)</f>
        <v>0</v>
      </c>
      <c r="AS11" s="4">
        <f>IFERROR(INDEX(ТЕХ_Списки!$AT$2:$AT$71,MATCH($A11,ТЕХ_Списки!$D$2:$D$71,0)),0)</f>
        <v>0</v>
      </c>
      <c r="AT11" s="4">
        <f>IFERROR(INDEX(ТЕХ_Списки!$AU$2:$AU$71,MATCH($A11,ТЕХ_Списки!$D$2:$D$71,0)),0)</f>
        <v>0</v>
      </c>
      <c r="AU11" s="4">
        <f>IFERROR(INDEX(ТЕХ_Списки!$AV$2:$AV$71,MATCH($A11,ТЕХ_Списки!$D$2:$D$71,0)),0)</f>
        <v>0</v>
      </c>
      <c r="AV11" s="4">
        <f>IFERROR(INDEX(ТЕХ_Списки!$AW$2:$AW$71,MATCH($A11,ТЕХ_Списки!$D$2:$D$71,0)),0)</f>
        <v>0</v>
      </c>
    </row>
    <row r="12" spans="1:48">
      <c r="A12" s="4" t="str">
        <f>IF(OR('РЕЙД-КОНСТРУКТОР'!C16="",'РЕЙД-КОНСТРУКТОР'!D16=""),"",'РЕЙД-КОНСТРУКТОР'!C16&amp;"§"&amp;'РЕЙД-КОНСТРУКТОР'!D16)</f>
        <v/>
      </c>
      <c r="B12" s="4">
        <f>IF(A12="",0,IF('РЕЙД-КОНСТРУКТОР'!F16="",1,'РЕЙД-КОНСТРУКТОР'!F16))</f>
        <v>0</v>
      </c>
      <c r="C12" s="4" t="str">
        <f>'РЕЙД-КОНСТРУКТОР'!E16</f>
        <v/>
      </c>
      <c r="D12" s="4">
        <f>IFERROR(INDEX(ТЕХ_Списки!$E$2:$E$71,MATCH($A12,ТЕХ_Списки!$D$2:$D$71,0)),0)</f>
        <v>0</v>
      </c>
      <c r="E12" s="4">
        <f>IFERROR(INDEX(ТЕХ_Списки!$F$2:$F$71,MATCH($A12,ТЕХ_Списки!$D$2:$D$71,0)),0)</f>
        <v>0</v>
      </c>
      <c r="F12" s="4">
        <f>IFERROR(INDEX(ТЕХ_Списки!$G$2:$G$71,MATCH($A12,ТЕХ_Списки!$D$2:$D$71,0)),0)</f>
        <v>0</v>
      </c>
      <c r="G12" s="4">
        <f>IFERROR(INDEX(ТЕХ_Списки!$H$2:$H$71,MATCH($A12,ТЕХ_Списки!$D$2:$D$71,0)),0)</f>
        <v>0</v>
      </c>
      <c r="H12" s="4">
        <f>IFERROR(INDEX(ТЕХ_Списки!$I$2:$I$71,MATCH($A12,ТЕХ_Списки!$D$2:$D$71,0)),0)</f>
        <v>0</v>
      </c>
      <c r="I12" s="4">
        <f>IFERROR(INDEX(ТЕХ_Списки!$J$2:$J$71,MATCH($A12,ТЕХ_Списки!$D$2:$D$71,0)),0)</f>
        <v>0</v>
      </c>
      <c r="J12" s="4">
        <f>IFERROR(INDEX(ТЕХ_Списки!$K$2:$K$71,MATCH($A12,ТЕХ_Списки!$D$2:$D$71,0)),0)</f>
        <v>0</v>
      </c>
      <c r="K12" s="4">
        <f>IFERROR(INDEX(ТЕХ_Списки!$L$2:$L$71,MATCH($A12,ТЕХ_Списки!$D$2:$D$71,0)),0)</f>
        <v>0</v>
      </c>
      <c r="L12" s="4">
        <f>IFERROR(INDEX(ТЕХ_Списки!$M$2:$M$71,MATCH($A12,ТЕХ_Списки!$D$2:$D$71,0)),0)</f>
        <v>0</v>
      </c>
      <c r="M12" s="4">
        <f>IFERROR(INDEX(ТЕХ_Списки!$N$2:$N$71,MATCH($A12,ТЕХ_Списки!$D$2:$D$71,0)),0)</f>
        <v>0</v>
      </c>
      <c r="N12" s="4">
        <f>IFERROR(INDEX(ТЕХ_Списки!$O$2:$O$71,MATCH($A12,ТЕХ_Списки!$D$2:$D$71,0)),0)</f>
        <v>0</v>
      </c>
      <c r="O12" s="4">
        <f>IFERROR(INDEX(ТЕХ_Списки!$P$2:$P$71,MATCH($A12,ТЕХ_Списки!$D$2:$D$71,0)),0)</f>
        <v>0</v>
      </c>
      <c r="P12" s="4">
        <f>IFERROR(INDEX(ТЕХ_Списки!$Q$2:$Q$71,MATCH($A12,ТЕХ_Списки!$D$2:$D$71,0)),0)</f>
        <v>0</v>
      </c>
      <c r="Q12" s="4">
        <f>IFERROR(INDEX(ТЕХ_Списки!$R$2:$R$71,MATCH($A12,ТЕХ_Списки!$D$2:$D$71,0)),0)</f>
        <v>0</v>
      </c>
      <c r="R12" s="4">
        <f>IFERROR(INDEX(ТЕХ_Списки!$S$2:$S$71,MATCH($A12,ТЕХ_Списки!$D$2:$D$71,0)),0)</f>
        <v>0</v>
      </c>
      <c r="S12" s="4">
        <f>IFERROR(INDEX(ТЕХ_Списки!$T$2:$T$71,MATCH($A12,ТЕХ_Списки!$D$2:$D$71,0)),0)</f>
        <v>0</v>
      </c>
      <c r="T12" s="4">
        <f>IFERROR(INDEX(ТЕХ_Списки!$U$2:$U$71,MATCH($A12,ТЕХ_Списки!$D$2:$D$71,0)),0)</f>
        <v>0</v>
      </c>
      <c r="U12" s="4">
        <f>IFERROR(INDEX(ТЕХ_Списки!$V$2:$V$71,MATCH($A12,ТЕХ_Списки!$D$2:$D$71,0)),0)</f>
        <v>0</v>
      </c>
      <c r="V12" s="4">
        <f>IFERROR(INDEX(ТЕХ_Списки!$W$2:$W$71,MATCH($A12,ТЕХ_Списки!$D$2:$D$71,0)),0)</f>
        <v>0</v>
      </c>
      <c r="W12" s="4">
        <f>IFERROR(INDEX(ТЕХ_Списки!$X$2:$X$71,MATCH($A12,ТЕХ_Списки!$D$2:$D$71,0)),0)</f>
        <v>0</v>
      </c>
      <c r="X12" s="4">
        <f>IFERROR(INDEX(ТЕХ_Списки!$Y$2:$Y$71,MATCH($A12,ТЕХ_Списки!$D$2:$D$71,0)),0)</f>
        <v>0</v>
      </c>
      <c r="Y12" s="4">
        <f>IFERROR(INDEX(ТЕХ_Списки!$Z$2:$Z$71,MATCH($A12,ТЕХ_Списки!$D$2:$D$71,0)),0)</f>
        <v>0</v>
      </c>
      <c r="Z12" s="4">
        <f>IFERROR(INDEX(ТЕХ_Списки!$AA$2:$AA$71,MATCH($A12,ТЕХ_Списки!$D$2:$D$71,0)),0)</f>
        <v>0</v>
      </c>
      <c r="AA12" s="4">
        <f>IFERROR(INDEX(ТЕХ_Списки!$AB$2:$AB$71,MATCH($A12,ТЕХ_Списки!$D$2:$D$71,0)),0)</f>
        <v>0</v>
      </c>
      <c r="AB12" s="4">
        <f>IFERROR(INDEX(ТЕХ_Списки!$AC$2:$AC$71,MATCH($A12,ТЕХ_Списки!$D$2:$D$71,0)),0)</f>
        <v>0</v>
      </c>
      <c r="AC12" s="4">
        <f>IFERROR(INDEX(ТЕХ_Списки!$AD$2:$AD$71,MATCH($A12,ТЕХ_Списки!$D$2:$D$71,0)),0)</f>
        <v>0</v>
      </c>
      <c r="AD12" s="4">
        <f>IFERROR(INDEX(ТЕХ_Списки!$AE$2:$AE$71,MATCH($A12,ТЕХ_Списки!$D$2:$D$71,0)),0)</f>
        <v>0</v>
      </c>
      <c r="AE12" s="4">
        <f>IFERROR(INDEX(ТЕХ_Списки!$AF$2:$AF$71,MATCH($A12,ТЕХ_Списки!$D$2:$D$71,0)),0)</f>
        <v>0</v>
      </c>
      <c r="AF12" s="4">
        <f>IFERROR(INDEX(ТЕХ_Списки!$AG$2:$AG$71,MATCH($A12,ТЕХ_Списки!$D$2:$D$71,0)),0)</f>
        <v>0</v>
      </c>
      <c r="AG12" s="4">
        <f>IFERROR(INDEX(ТЕХ_Списки!$AH$2:$AH$71,MATCH($A12,ТЕХ_Списки!$D$2:$D$71,0)),0)</f>
        <v>0</v>
      </c>
      <c r="AH12" s="4">
        <f>IFERROR(INDEX(ТЕХ_Списки!$AI$2:$AI$71,MATCH($A12,ТЕХ_Списки!$D$2:$D$71,0)),0)</f>
        <v>0</v>
      </c>
      <c r="AI12" s="4">
        <f>IFERROR(INDEX(ТЕХ_Списки!$AJ$2:$AJ$71,MATCH($A12,ТЕХ_Списки!$D$2:$D$71,0)),0)</f>
        <v>0</v>
      </c>
      <c r="AJ12" s="4">
        <f>IFERROR(INDEX(ТЕХ_Списки!$AK$2:$AK$71,MATCH($A12,ТЕХ_Списки!$D$2:$D$71,0)),0)</f>
        <v>0</v>
      </c>
      <c r="AK12" s="4">
        <f>IFERROR(INDEX(ТЕХ_Списки!$AL$2:$AL$71,MATCH($A12,ТЕХ_Списки!$D$2:$D$71,0)),0)</f>
        <v>0</v>
      </c>
      <c r="AL12" s="4">
        <f>IFERROR(INDEX(ТЕХ_Списки!$AM$2:$AM$71,MATCH($A12,ТЕХ_Списки!$D$2:$D$71,0)),0)</f>
        <v>0</v>
      </c>
      <c r="AM12" s="4">
        <f>IFERROR(INDEX(ТЕХ_Списки!$AN$2:$AN$71,MATCH($A12,ТЕХ_Списки!$D$2:$D$71,0)),0)</f>
        <v>0</v>
      </c>
      <c r="AN12" s="4">
        <f>IFERROR(INDEX(ТЕХ_Списки!$AO$2:$AO$71,MATCH($A12,ТЕХ_Списки!$D$2:$D$71,0)),0)</f>
        <v>0</v>
      </c>
      <c r="AO12" s="4">
        <f>IFERROR(INDEX(ТЕХ_Списки!$AP$2:$AP$71,MATCH($A12,ТЕХ_Списки!$D$2:$D$71,0)),0)</f>
        <v>0</v>
      </c>
      <c r="AP12" s="4">
        <f>IFERROR(INDEX(ТЕХ_Списки!$AQ$2:$AQ$71,MATCH($A12,ТЕХ_Списки!$D$2:$D$71,0)),0)</f>
        <v>0</v>
      </c>
      <c r="AQ12" s="4">
        <f>IFERROR(INDEX(ТЕХ_Списки!$AR$2:$AR$71,MATCH($A12,ТЕХ_Списки!$D$2:$D$71,0)),0)</f>
        <v>0</v>
      </c>
      <c r="AR12" s="4">
        <f>IFERROR(INDEX(ТЕХ_Списки!$AS$2:$AS$71,MATCH($A12,ТЕХ_Списки!$D$2:$D$71,0)),0)</f>
        <v>0</v>
      </c>
      <c r="AS12" s="4">
        <f>IFERROR(INDEX(ТЕХ_Списки!$AT$2:$AT$71,MATCH($A12,ТЕХ_Списки!$D$2:$D$71,0)),0)</f>
        <v>0</v>
      </c>
      <c r="AT12" s="4">
        <f>IFERROR(INDEX(ТЕХ_Списки!$AU$2:$AU$71,MATCH($A12,ТЕХ_Списки!$D$2:$D$71,0)),0)</f>
        <v>0</v>
      </c>
      <c r="AU12" s="4">
        <f>IFERROR(INDEX(ТЕХ_Списки!$AV$2:$AV$71,MATCH($A12,ТЕХ_Списки!$D$2:$D$71,0)),0)</f>
        <v>0</v>
      </c>
      <c r="AV12" s="4">
        <f>IFERROR(INDEX(ТЕХ_Списки!$AW$2:$AW$71,MATCH($A12,ТЕХ_Списки!$D$2:$D$71,0)),0)</f>
        <v>0</v>
      </c>
    </row>
    <row r="13" spans="1:48">
      <c r="A13" s="4" t="str">
        <f>IF(OR('РЕЙД-КОНСТРУКТОР'!C17="",'РЕЙД-КОНСТРУКТОР'!D17=""),"",'РЕЙД-КОНСТРУКТОР'!C17&amp;"§"&amp;'РЕЙД-КОНСТРУКТОР'!D17)</f>
        <v/>
      </c>
      <c r="B13" s="4">
        <f>IF(A13="",0,IF('РЕЙД-КОНСТРУКТОР'!F17="",1,'РЕЙД-КОНСТРУКТОР'!F17))</f>
        <v>0</v>
      </c>
      <c r="C13" s="4" t="str">
        <f>'РЕЙД-КОНСТРУКТОР'!E17</f>
        <v/>
      </c>
      <c r="D13" s="4">
        <f>IFERROR(INDEX(ТЕХ_Списки!$E$2:$E$71,MATCH($A13,ТЕХ_Списки!$D$2:$D$71,0)),0)</f>
        <v>0</v>
      </c>
      <c r="E13" s="4">
        <f>IFERROR(INDEX(ТЕХ_Списки!$F$2:$F$71,MATCH($A13,ТЕХ_Списки!$D$2:$D$71,0)),0)</f>
        <v>0</v>
      </c>
      <c r="F13" s="4">
        <f>IFERROR(INDEX(ТЕХ_Списки!$G$2:$G$71,MATCH($A13,ТЕХ_Списки!$D$2:$D$71,0)),0)</f>
        <v>0</v>
      </c>
      <c r="G13" s="4">
        <f>IFERROR(INDEX(ТЕХ_Списки!$H$2:$H$71,MATCH($A13,ТЕХ_Списки!$D$2:$D$71,0)),0)</f>
        <v>0</v>
      </c>
      <c r="H13" s="4">
        <f>IFERROR(INDEX(ТЕХ_Списки!$I$2:$I$71,MATCH($A13,ТЕХ_Списки!$D$2:$D$71,0)),0)</f>
        <v>0</v>
      </c>
      <c r="I13" s="4">
        <f>IFERROR(INDEX(ТЕХ_Списки!$J$2:$J$71,MATCH($A13,ТЕХ_Списки!$D$2:$D$71,0)),0)</f>
        <v>0</v>
      </c>
      <c r="J13" s="4">
        <f>IFERROR(INDEX(ТЕХ_Списки!$K$2:$K$71,MATCH($A13,ТЕХ_Списки!$D$2:$D$71,0)),0)</f>
        <v>0</v>
      </c>
      <c r="K13" s="4">
        <f>IFERROR(INDEX(ТЕХ_Списки!$L$2:$L$71,MATCH($A13,ТЕХ_Списки!$D$2:$D$71,0)),0)</f>
        <v>0</v>
      </c>
      <c r="L13" s="4">
        <f>IFERROR(INDEX(ТЕХ_Списки!$M$2:$M$71,MATCH($A13,ТЕХ_Списки!$D$2:$D$71,0)),0)</f>
        <v>0</v>
      </c>
      <c r="M13" s="4">
        <f>IFERROR(INDEX(ТЕХ_Списки!$N$2:$N$71,MATCH($A13,ТЕХ_Списки!$D$2:$D$71,0)),0)</f>
        <v>0</v>
      </c>
      <c r="N13" s="4">
        <f>IFERROR(INDEX(ТЕХ_Списки!$O$2:$O$71,MATCH($A13,ТЕХ_Списки!$D$2:$D$71,0)),0)</f>
        <v>0</v>
      </c>
      <c r="O13" s="4">
        <f>IFERROR(INDEX(ТЕХ_Списки!$P$2:$P$71,MATCH($A13,ТЕХ_Списки!$D$2:$D$71,0)),0)</f>
        <v>0</v>
      </c>
      <c r="P13" s="4">
        <f>IFERROR(INDEX(ТЕХ_Списки!$Q$2:$Q$71,MATCH($A13,ТЕХ_Списки!$D$2:$D$71,0)),0)</f>
        <v>0</v>
      </c>
      <c r="Q13" s="4">
        <f>IFERROR(INDEX(ТЕХ_Списки!$R$2:$R$71,MATCH($A13,ТЕХ_Списки!$D$2:$D$71,0)),0)</f>
        <v>0</v>
      </c>
      <c r="R13" s="4">
        <f>IFERROR(INDEX(ТЕХ_Списки!$S$2:$S$71,MATCH($A13,ТЕХ_Списки!$D$2:$D$71,0)),0)</f>
        <v>0</v>
      </c>
      <c r="S13" s="4">
        <f>IFERROR(INDEX(ТЕХ_Списки!$T$2:$T$71,MATCH($A13,ТЕХ_Списки!$D$2:$D$71,0)),0)</f>
        <v>0</v>
      </c>
      <c r="T13" s="4">
        <f>IFERROR(INDEX(ТЕХ_Списки!$U$2:$U$71,MATCH($A13,ТЕХ_Списки!$D$2:$D$71,0)),0)</f>
        <v>0</v>
      </c>
      <c r="U13" s="4">
        <f>IFERROR(INDEX(ТЕХ_Списки!$V$2:$V$71,MATCH($A13,ТЕХ_Списки!$D$2:$D$71,0)),0)</f>
        <v>0</v>
      </c>
      <c r="V13" s="4">
        <f>IFERROR(INDEX(ТЕХ_Списки!$W$2:$W$71,MATCH($A13,ТЕХ_Списки!$D$2:$D$71,0)),0)</f>
        <v>0</v>
      </c>
      <c r="W13" s="4">
        <f>IFERROR(INDEX(ТЕХ_Списки!$X$2:$X$71,MATCH($A13,ТЕХ_Списки!$D$2:$D$71,0)),0)</f>
        <v>0</v>
      </c>
      <c r="X13" s="4">
        <f>IFERROR(INDEX(ТЕХ_Списки!$Y$2:$Y$71,MATCH($A13,ТЕХ_Списки!$D$2:$D$71,0)),0)</f>
        <v>0</v>
      </c>
      <c r="Y13" s="4">
        <f>IFERROR(INDEX(ТЕХ_Списки!$Z$2:$Z$71,MATCH($A13,ТЕХ_Списки!$D$2:$D$71,0)),0)</f>
        <v>0</v>
      </c>
      <c r="Z13" s="4">
        <f>IFERROR(INDEX(ТЕХ_Списки!$AA$2:$AA$71,MATCH($A13,ТЕХ_Списки!$D$2:$D$71,0)),0)</f>
        <v>0</v>
      </c>
      <c r="AA13" s="4">
        <f>IFERROR(INDEX(ТЕХ_Списки!$AB$2:$AB$71,MATCH($A13,ТЕХ_Списки!$D$2:$D$71,0)),0)</f>
        <v>0</v>
      </c>
      <c r="AB13" s="4">
        <f>IFERROR(INDEX(ТЕХ_Списки!$AC$2:$AC$71,MATCH($A13,ТЕХ_Списки!$D$2:$D$71,0)),0)</f>
        <v>0</v>
      </c>
      <c r="AC13" s="4">
        <f>IFERROR(INDEX(ТЕХ_Списки!$AD$2:$AD$71,MATCH($A13,ТЕХ_Списки!$D$2:$D$71,0)),0)</f>
        <v>0</v>
      </c>
      <c r="AD13" s="4">
        <f>IFERROR(INDEX(ТЕХ_Списки!$AE$2:$AE$71,MATCH($A13,ТЕХ_Списки!$D$2:$D$71,0)),0)</f>
        <v>0</v>
      </c>
      <c r="AE13" s="4">
        <f>IFERROR(INDEX(ТЕХ_Списки!$AF$2:$AF$71,MATCH($A13,ТЕХ_Списки!$D$2:$D$71,0)),0)</f>
        <v>0</v>
      </c>
      <c r="AF13" s="4">
        <f>IFERROR(INDEX(ТЕХ_Списки!$AG$2:$AG$71,MATCH($A13,ТЕХ_Списки!$D$2:$D$71,0)),0)</f>
        <v>0</v>
      </c>
      <c r="AG13" s="4">
        <f>IFERROR(INDEX(ТЕХ_Списки!$AH$2:$AH$71,MATCH($A13,ТЕХ_Списки!$D$2:$D$71,0)),0)</f>
        <v>0</v>
      </c>
      <c r="AH13" s="4">
        <f>IFERROR(INDEX(ТЕХ_Списки!$AI$2:$AI$71,MATCH($A13,ТЕХ_Списки!$D$2:$D$71,0)),0)</f>
        <v>0</v>
      </c>
      <c r="AI13" s="4">
        <f>IFERROR(INDEX(ТЕХ_Списки!$AJ$2:$AJ$71,MATCH($A13,ТЕХ_Списки!$D$2:$D$71,0)),0)</f>
        <v>0</v>
      </c>
      <c r="AJ13" s="4">
        <f>IFERROR(INDEX(ТЕХ_Списки!$AK$2:$AK$71,MATCH($A13,ТЕХ_Списки!$D$2:$D$71,0)),0)</f>
        <v>0</v>
      </c>
      <c r="AK13" s="4">
        <f>IFERROR(INDEX(ТЕХ_Списки!$AL$2:$AL$71,MATCH($A13,ТЕХ_Списки!$D$2:$D$71,0)),0)</f>
        <v>0</v>
      </c>
      <c r="AL13" s="4">
        <f>IFERROR(INDEX(ТЕХ_Списки!$AM$2:$AM$71,MATCH($A13,ТЕХ_Списки!$D$2:$D$71,0)),0)</f>
        <v>0</v>
      </c>
      <c r="AM13" s="4">
        <f>IFERROR(INDEX(ТЕХ_Списки!$AN$2:$AN$71,MATCH($A13,ТЕХ_Списки!$D$2:$D$71,0)),0)</f>
        <v>0</v>
      </c>
      <c r="AN13" s="4">
        <f>IFERROR(INDEX(ТЕХ_Списки!$AO$2:$AO$71,MATCH($A13,ТЕХ_Списки!$D$2:$D$71,0)),0)</f>
        <v>0</v>
      </c>
      <c r="AO13" s="4">
        <f>IFERROR(INDEX(ТЕХ_Списки!$AP$2:$AP$71,MATCH($A13,ТЕХ_Списки!$D$2:$D$71,0)),0)</f>
        <v>0</v>
      </c>
      <c r="AP13" s="4">
        <f>IFERROR(INDEX(ТЕХ_Списки!$AQ$2:$AQ$71,MATCH($A13,ТЕХ_Списки!$D$2:$D$71,0)),0)</f>
        <v>0</v>
      </c>
      <c r="AQ13" s="4">
        <f>IFERROR(INDEX(ТЕХ_Списки!$AR$2:$AR$71,MATCH($A13,ТЕХ_Списки!$D$2:$D$71,0)),0)</f>
        <v>0</v>
      </c>
      <c r="AR13" s="4">
        <f>IFERROR(INDEX(ТЕХ_Списки!$AS$2:$AS$71,MATCH($A13,ТЕХ_Списки!$D$2:$D$71,0)),0)</f>
        <v>0</v>
      </c>
      <c r="AS13" s="4">
        <f>IFERROR(INDEX(ТЕХ_Списки!$AT$2:$AT$71,MATCH($A13,ТЕХ_Списки!$D$2:$D$71,0)),0)</f>
        <v>0</v>
      </c>
      <c r="AT13" s="4">
        <f>IFERROR(INDEX(ТЕХ_Списки!$AU$2:$AU$71,MATCH($A13,ТЕХ_Списки!$D$2:$D$71,0)),0)</f>
        <v>0</v>
      </c>
      <c r="AU13" s="4">
        <f>IFERROR(INDEX(ТЕХ_Списки!$AV$2:$AV$71,MATCH($A13,ТЕХ_Списки!$D$2:$D$71,0)),0)</f>
        <v>0</v>
      </c>
      <c r="AV13" s="4">
        <f>IFERROR(INDEX(ТЕХ_Списки!$AW$2:$AW$71,MATCH($A13,ТЕХ_Списки!$D$2:$D$71,0)),0)</f>
        <v>0</v>
      </c>
    </row>
    <row r="14" spans="1:48">
      <c r="A14" s="4" t="str">
        <f>IF(OR('РЕЙД-КОНСТРУКТОР'!C18="",'РЕЙД-КОНСТРУКТОР'!D18=""),"",'РЕЙД-КОНСТРУКТОР'!C18&amp;"§"&amp;'РЕЙД-КОНСТРУКТОР'!D18)</f>
        <v/>
      </c>
      <c r="B14" s="4">
        <f>IF(A14="",0,IF('РЕЙД-КОНСТРУКТОР'!F18="",1,'РЕЙД-КОНСТРУКТОР'!F18))</f>
        <v>0</v>
      </c>
      <c r="C14" s="4" t="str">
        <f>'РЕЙД-КОНСТРУКТОР'!E18</f>
        <v/>
      </c>
      <c r="D14" s="4">
        <f>IFERROR(INDEX(ТЕХ_Списки!$E$2:$E$71,MATCH($A14,ТЕХ_Списки!$D$2:$D$71,0)),0)</f>
        <v>0</v>
      </c>
      <c r="E14" s="4">
        <f>IFERROR(INDEX(ТЕХ_Списки!$F$2:$F$71,MATCH($A14,ТЕХ_Списки!$D$2:$D$71,0)),0)</f>
        <v>0</v>
      </c>
      <c r="F14" s="4">
        <f>IFERROR(INDEX(ТЕХ_Списки!$G$2:$G$71,MATCH($A14,ТЕХ_Списки!$D$2:$D$71,0)),0)</f>
        <v>0</v>
      </c>
      <c r="G14" s="4">
        <f>IFERROR(INDEX(ТЕХ_Списки!$H$2:$H$71,MATCH($A14,ТЕХ_Списки!$D$2:$D$71,0)),0)</f>
        <v>0</v>
      </c>
      <c r="H14" s="4">
        <f>IFERROR(INDEX(ТЕХ_Списки!$I$2:$I$71,MATCH($A14,ТЕХ_Списки!$D$2:$D$71,0)),0)</f>
        <v>0</v>
      </c>
      <c r="I14" s="4">
        <f>IFERROR(INDEX(ТЕХ_Списки!$J$2:$J$71,MATCH($A14,ТЕХ_Списки!$D$2:$D$71,0)),0)</f>
        <v>0</v>
      </c>
      <c r="J14" s="4">
        <f>IFERROR(INDEX(ТЕХ_Списки!$K$2:$K$71,MATCH($A14,ТЕХ_Списки!$D$2:$D$71,0)),0)</f>
        <v>0</v>
      </c>
      <c r="K14" s="4">
        <f>IFERROR(INDEX(ТЕХ_Списки!$L$2:$L$71,MATCH($A14,ТЕХ_Списки!$D$2:$D$71,0)),0)</f>
        <v>0</v>
      </c>
      <c r="L14" s="4">
        <f>IFERROR(INDEX(ТЕХ_Списки!$M$2:$M$71,MATCH($A14,ТЕХ_Списки!$D$2:$D$71,0)),0)</f>
        <v>0</v>
      </c>
      <c r="M14" s="4">
        <f>IFERROR(INDEX(ТЕХ_Списки!$N$2:$N$71,MATCH($A14,ТЕХ_Списки!$D$2:$D$71,0)),0)</f>
        <v>0</v>
      </c>
      <c r="N14" s="4">
        <f>IFERROR(INDEX(ТЕХ_Списки!$O$2:$O$71,MATCH($A14,ТЕХ_Списки!$D$2:$D$71,0)),0)</f>
        <v>0</v>
      </c>
      <c r="O14" s="4">
        <f>IFERROR(INDEX(ТЕХ_Списки!$P$2:$P$71,MATCH($A14,ТЕХ_Списки!$D$2:$D$71,0)),0)</f>
        <v>0</v>
      </c>
      <c r="P14" s="4">
        <f>IFERROR(INDEX(ТЕХ_Списки!$Q$2:$Q$71,MATCH($A14,ТЕХ_Списки!$D$2:$D$71,0)),0)</f>
        <v>0</v>
      </c>
      <c r="Q14" s="4">
        <f>IFERROR(INDEX(ТЕХ_Списки!$R$2:$R$71,MATCH($A14,ТЕХ_Списки!$D$2:$D$71,0)),0)</f>
        <v>0</v>
      </c>
      <c r="R14" s="4">
        <f>IFERROR(INDEX(ТЕХ_Списки!$S$2:$S$71,MATCH($A14,ТЕХ_Списки!$D$2:$D$71,0)),0)</f>
        <v>0</v>
      </c>
      <c r="S14" s="4">
        <f>IFERROR(INDEX(ТЕХ_Списки!$T$2:$T$71,MATCH($A14,ТЕХ_Списки!$D$2:$D$71,0)),0)</f>
        <v>0</v>
      </c>
      <c r="T14" s="4">
        <f>IFERROR(INDEX(ТЕХ_Списки!$U$2:$U$71,MATCH($A14,ТЕХ_Списки!$D$2:$D$71,0)),0)</f>
        <v>0</v>
      </c>
      <c r="U14" s="4">
        <f>IFERROR(INDEX(ТЕХ_Списки!$V$2:$V$71,MATCH($A14,ТЕХ_Списки!$D$2:$D$71,0)),0)</f>
        <v>0</v>
      </c>
      <c r="V14" s="4">
        <f>IFERROR(INDEX(ТЕХ_Списки!$W$2:$W$71,MATCH($A14,ТЕХ_Списки!$D$2:$D$71,0)),0)</f>
        <v>0</v>
      </c>
      <c r="W14" s="4">
        <f>IFERROR(INDEX(ТЕХ_Списки!$X$2:$X$71,MATCH($A14,ТЕХ_Списки!$D$2:$D$71,0)),0)</f>
        <v>0</v>
      </c>
      <c r="X14" s="4">
        <f>IFERROR(INDEX(ТЕХ_Списки!$Y$2:$Y$71,MATCH($A14,ТЕХ_Списки!$D$2:$D$71,0)),0)</f>
        <v>0</v>
      </c>
      <c r="Y14" s="4">
        <f>IFERROR(INDEX(ТЕХ_Списки!$Z$2:$Z$71,MATCH($A14,ТЕХ_Списки!$D$2:$D$71,0)),0)</f>
        <v>0</v>
      </c>
      <c r="Z14" s="4">
        <f>IFERROR(INDEX(ТЕХ_Списки!$AA$2:$AA$71,MATCH($A14,ТЕХ_Списки!$D$2:$D$71,0)),0)</f>
        <v>0</v>
      </c>
      <c r="AA14" s="4">
        <f>IFERROR(INDEX(ТЕХ_Списки!$AB$2:$AB$71,MATCH($A14,ТЕХ_Списки!$D$2:$D$71,0)),0)</f>
        <v>0</v>
      </c>
      <c r="AB14" s="4">
        <f>IFERROR(INDEX(ТЕХ_Списки!$AC$2:$AC$71,MATCH($A14,ТЕХ_Списки!$D$2:$D$71,0)),0)</f>
        <v>0</v>
      </c>
      <c r="AC14" s="4">
        <f>IFERROR(INDEX(ТЕХ_Списки!$AD$2:$AD$71,MATCH($A14,ТЕХ_Списки!$D$2:$D$71,0)),0)</f>
        <v>0</v>
      </c>
      <c r="AD14" s="4">
        <f>IFERROR(INDEX(ТЕХ_Списки!$AE$2:$AE$71,MATCH($A14,ТЕХ_Списки!$D$2:$D$71,0)),0)</f>
        <v>0</v>
      </c>
      <c r="AE14" s="4">
        <f>IFERROR(INDEX(ТЕХ_Списки!$AF$2:$AF$71,MATCH($A14,ТЕХ_Списки!$D$2:$D$71,0)),0)</f>
        <v>0</v>
      </c>
      <c r="AF14" s="4">
        <f>IFERROR(INDEX(ТЕХ_Списки!$AG$2:$AG$71,MATCH($A14,ТЕХ_Списки!$D$2:$D$71,0)),0)</f>
        <v>0</v>
      </c>
      <c r="AG14" s="4">
        <f>IFERROR(INDEX(ТЕХ_Списки!$AH$2:$AH$71,MATCH($A14,ТЕХ_Списки!$D$2:$D$71,0)),0)</f>
        <v>0</v>
      </c>
      <c r="AH14" s="4">
        <f>IFERROR(INDEX(ТЕХ_Списки!$AI$2:$AI$71,MATCH($A14,ТЕХ_Списки!$D$2:$D$71,0)),0)</f>
        <v>0</v>
      </c>
      <c r="AI14" s="4">
        <f>IFERROR(INDEX(ТЕХ_Списки!$AJ$2:$AJ$71,MATCH($A14,ТЕХ_Списки!$D$2:$D$71,0)),0)</f>
        <v>0</v>
      </c>
      <c r="AJ14" s="4">
        <f>IFERROR(INDEX(ТЕХ_Списки!$AK$2:$AK$71,MATCH($A14,ТЕХ_Списки!$D$2:$D$71,0)),0)</f>
        <v>0</v>
      </c>
      <c r="AK14" s="4">
        <f>IFERROR(INDEX(ТЕХ_Списки!$AL$2:$AL$71,MATCH($A14,ТЕХ_Списки!$D$2:$D$71,0)),0)</f>
        <v>0</v>
      </c>
      <c r="AL14" s="4">
        <f>IFERROR(INDEX(ТЕХ_Списки!$AM$2:$AM$71,MATCH($A14,ТЕХ_Списки!$D$2:$D$71,0)),0)</f>
        <v>0</v>
      </c>
      <c r="AM14" s="4">
        <f>IFERROR(INDEX(ТЕХ_Списки!$AN$2:$AN$71,MATCH($A14,ТЕХ_Списки!$D$2:$D$71,0)),0)</f>
        <v>0</v>
      </c>
      <c r="AN14" s="4">
        <f>IFERROR(INDEX(ТЕХ_Списки!$AO$2:$AO$71,MATCH($A14,ТЕХ_Списки!$D$2:$D$71,0)),0)</f>
        <v>0</v>
      </c>
      <c r="AO14" s="4">
        <f>IFERROR(INDEX(ТЕХ_Списки!$AP$2:$AP$71,MATCH($A14,ТЕХ_Списки!$D$2:$D$71,0)),0)</f>
        <v>0</v>
      </c>
      <c r="AP14" s="4">
        <f>IFERROR(INDEX(ТЕХ_Списки!$AQ$2:$AQ$71,MATCH($A14,ТЕХ_Списки!$D$2:$D$71,0)),0)</f>
        <v>0</v>
      </c>
      <c r="AQ14" s="4">
        <f>IFERROR(INDEX(ТЕХ_Списки!$AR$2:$AR$71,MATCH($A14,ТЕХ_Списки!$D$2:$D$71,0)),0)</f>
        <v>0</v>
      </c>
      <c r="AR14" s="4">
        <f>IFERROR(INDEX(ТЕХ_Списки!$AS$2:$AS$71,MATCH($A14,ТЕХ_Списки!$D$2:$D$71,0)),0)</f>
        <v>0</v>
      </c>
      <c r="AS14" s="4">
        <f>IFERROR(INDEX(ТЕХ_Списки!$AT$2:$AT$71,MATCH($A14,ТЕХ_Списки!$D$2:$D$71,0)),0)</f>
        <v>0</v>
      </c>
      <c r="AT14" s="4">
        <f>IFERROR(INDEX(ТЕХ_Списки!$AU$2:$AU$71,MATCH($A14,ТЕХ_Списки!$D$2:$D$71,0)),0)</f>
        <v>0</v>
      </c>
      <c r="AU14" s="4">
        <f>IFERROR(INDEX(ТЕХ_Списки!$AV$2:$AV$71,MATCH($A14,ТЕХ_Списки!$D$2:$D$71,0)),0)</f>
        <v>0</v>
      </c>
      <c r="AV14" s="4">
        <f>IFERROR(INDEX(ТЕХ_Списки!$AW$2:$AW$71,MATCH($A14,ТЕХ_Списки!$D$2:$D$71,0)),0)</f>
        <v>0</v>
      </c>
    </row>
    <row r="15" spans="1:48">
      <c r="A15" s="4" t="str">
        <f>IF(OR('РЕЙД-КОНСТРУКТОР'!C19="",'РЕЙД-КОНСТРУКТОР'!D19=""),"",'РЕЙД-КОНСТРУКТОР'!C19&amp;"§"&amp;'РЕЙД-КОНСТРУКТОР'!D19)</f>
        <v/>
      </c>
      <c r="B15" s="4">
        <f>IF(A15="",0,IF('РЕЙД-КОНСТРУКТОР'!F19="",1,'РЕЙД-КОНСТРУКТОР'!F19))</f>
        <v>0</v>
      </c>
      <c r="C15" s="4" t="str">
        <f>'РЕЙД-КОНСТРУКТОР'!E19</f>
        <v/>
      </c>
      <c r="D15" s="4">
        <f>IFERROR(INDEX(ТЕХ_Списки!$E$2:$E$71,MATCH($A15,ТЕХ_Списки!$D$2:$D$71,0)),0)</f>
        <v>0</v>
      </c>
      <c r="E15" s="4">
        <f>IFERROR(INDEX(ТЕХ_Списки!$F$2:$F$71,MATCH($A15,ТЕХ_Списки!$D$2:$D$71,0)),0)</f>
        <v>0</v>
      </c>
      <c r="F15" s="4">
        <f>IFERROR(INDEX(ТЕХ_Списки!$G$2:$G$71,MATCH($A15,ТЕХ_Списки!$D$2:$D$71,0)),0)</f>
        <v>0</v>
      </c>
      <c r="G15" s="4">
        <f>IFERROR(INDEX(ТЕХ_Списки!$H$2:$H$71,MATCH($A15,ТЕХ_Списки!$D$2:$D$71,0)),0)</f>
        <v>0</v>
      </c>
      <c r="H15" s="4">
        <f>IFERROR(INDEX(ТЕХ_Списки!$I$2:$I$71,MATCH($A15,ТЕХ_Списки!$D$2:$D$71,0)),0)</f>
        <v>0</v>
      </c>
      <c r="I15" s="4">
        <f>IFERROR(INDEX(ТЕХ_Списки!$J$2:$J$71,MATCH($A15,ТЕХ_Списки!$D$2:$D$71,0)),0)</f>
        <v>0</v>
      </c>
      <c r="J15" s="4">
        <f>IFERROR(INDEX(ТЕХ_Списки!$K$2:$K$71,MATCH($A15,ТЕХ_Списки!$D$2:$D$71,0)),0)</f>
        <v>0</v>
      </c>
      <c r="K15" s="4">
        <f>IFERROR(INDEX(ТЕХ_Списки!$L$2:$L$71,MATCH($A15,ТЕХ_Списки!$D$2:$D$71,0)),0)</f>
        <v>0</v>
      </c>
      <c r="L15" s="4">
        <f>IFERROR(INDEX(ТЕХ_Списки!$M$2:$M$71,MATCH($A15,ТЕХ_Списки!$D$2:$D$71,0)),0)</f>
        <v>0</v>
      </c>
      <c r="M15" s="4">
        <f>IFERROR(INDEX(ТЕХ_Списки!$N$2:$N$71,MATCH($A15,ТЕХ_Списки!$D$2:$D$71,0)),0)</f>
        <v>0</v>
      </c>
      <c r="N15" s="4">
        <f>IFERROR(INDEX(ТЕХ_Списки!$O$2:$O$71,MATCH($A15,ТЕХ_Списки!$D$2:$D$71,0)),0)</f>
        <v>0</v>
      </c>
      <c r="O15" s="4">
        <f>IFERROR(INDEX(ТЕХ_Списки!$P$2:$P$71,MATCH($A15,ТЕХ_Списки!$D$2:$D$71,0)),0)</f>
        <v>0</v>
      </c>
      <c r="P15" s="4">
        <f>IFERROR(INDEX(ТЕХ_Списки!$Q$2:$Q$71,MATCH($A15,ТЕХ_Списки!$D$2:$D$71,0)),0)</f>
        <v>0</v>
      </c>
      <c r="Q15" s="4">
        <f>IFERROR(INDEX(ТЕХ_Списки!$R$2:$R$71,MATCH($A15,ТЕХ_Списки!$D$2:$D$71,0)),0)</f>
        <v>0</v>
      </c>
      <c r="R15" s="4">
        <f>IFERROR(INDEX(ТЕХ_Списки!$S$2:$S$71,MATCH($A15,ТЕХ_Списки!$D$2:$D$71,0)),0)</f>
        <v>0</v>
      </c>
      <c r="S15" s="4">
        <f>IFERROR(INDEX(ТЕХ_Списки!$T$2:$T$71,MATCH($A15,ТЕХ_Списки!$D$2:$D$71,0)),0)</f>
        <v>0</v>
      </c>
      <c r="T15" s="4">
        <f>IFERROR(INDEX(ТЕХ_Списки!$U$2:$U$71,MATCH($A15,ТЕХ_Списки!$D$2:$D$71,0)),0)</f>
        <v>0</v>
      </c>
      <c r="U15" s="4">
        <f>IFERROR(INDEX(ТЕХ_Списки!$V$2:$V$71,MATCH($A15,ТЕХ_Списки!$D$2:$D$71,0)),0)</f>
        <v>0</v>
      </c>
      <c r="V15" s="4">
        <f>IFERROR(INDEX(ТЕХ_Списки!$W$2:$W$71,MATCH($A15,ТЕХ_Списки!$D$2:$D$71,0)),0)</f>
        <v>0</v>
      </c>
      <c r="W15" s="4">
        <f>IFERROR(INDEX(ТЕХ_Списки!$X$2:$X$71,MATCH($A15,ТЕХ_Списки!$D$2:$D$71,0)),0)</f>
        <v>0</v>
      </c>
      <c r="X15" s="4">
        <f>IFERROR(INDEX(ТЕХ_Списки!$Y$2:$Y$71,MATCH($A15,ТЕХ_Списки!$D$2:$D$71,0)),0)</f>
        <v>0</v>
      </c>
      <c r="Y15" s="4">
        <f>IFERROR(INDEX(ТЕХ_Списки!$Z$2:$Z$71,MATCH($A15,ТЕХ_Списки!$D$2:$D$71,0)),0)</f>
        <v>0</v>
      </c>
      <c r="Z15" s="4">
        <f>IFERROR(INDEX(ТЕХ_Списки!$AA$2:$AA$71,MATCH($A15,ТЕХ_Списки!$D$2:$D$71,0)),0)</f>
        <v>0</v>
      </c>
      <c r="AA15" s="4">
        <f>IFERROR(INDEX(ТЕХ_Списки!$AB$2:$AB$71,MATCH($A15,ТЕХ_Списки!$D$2:$D$71,0)),0)</f>
        <v>0</v>
      </c>
      <c r="AB15" s="4">
        <f>IFERROR(INDEX(ТЕХ_Списки!$AC$2:$AC$71,MATCH($A15,ТЕХ_Списки!$D$2:$D$71,0)),0)</f>
        <v>0</v>
      </c>
      <c r="AC15" s="4">
        <f>IFERROR(INDEX(ТЕХ_Списки!$AD$2:$AD$71,MATCH($A15,ТЕХ_Списки!$D$2:$D$71,0)),0)</f>
        <v>0</v>
      </c>
      <c r="AD15" s="4">
        <f>IFERROR(INDEX(ТЕХ_Списки!$AE$2:$AE$71,MATCH($A15,ТЕХ_Списки!$D$2:$D$71,0)),0)</f>
        <v>0</v>
      </c>
      <c r="AE15" s="4">
        <f>IFERROR(INDEX(ТЕХ_Списки!$AF$2:$AF$71,MATCH($A15,ТЕХ_Списки!$D$2:$D$71,0)),0)</f>
        <v>0</v>
      </c>
      <c r="AF15" s="4">
        <f>IFERROR(INDEX(ТЕХ_Списки!$AG$2:$AG$71,MATCH($A15,ТЕХ_Списки!$D$2:$D$71,0)),0)</f>
        <v>0</v>
      </c>
      <c r="AG15" s="4">
        <f>IFERROR(INDEX(ТЕХ_Списки!$AH$2:$AH$71,MATCH($A15,ТЕХ_Списки!$D$2:$D$71,0)),0)</f>
        <v>0</v>
      </c>
      <c r="AH15" s="4">
        <f>IFERROR(INDEX(ТЕХ_Списки!$AI$2:$AI$71,MATCH($A15,ТЕХ_Списки!$D$2:$D$71,0)),0)</f>
        <v>0</v>
      </c>
      <c r="AI15" s="4">
        <f>IFERROR(INDEX(ТЕХ_Списки!$AJ$2:$AJ$71,MATCH($A15,ТЕХ_Списки!$D$2:$D$71,0)),0)</f>
        <v>0</v>
      </c>
      <c r="AJ15" s="4">
        <f>IFERROR(INDEX(ТЕХ_Списки!$AK$2:$AK$71,MATCH($A15,ТЕХ_Списки!$D$2:$D$71,0)),0)</f>
        <v>0</v>
      </c>
      <c r="AK15" s="4">
        <f>IFERROR(INDEX(ТЕХ_Списки!$AL$2:$AL$71,MATCH($A15,ТЕХ_Списки!$D$2:$D$71,0)),0)</f>
        <v>0</v>
      </c>
      <c r="AL15" s="4">
        <f>IFERROR(INDEX(ТЕХ_Списки!$AM$2:$AM$71,MATCH($A15,ТЕХ_Списки!$D$2:$D$71,0)),0)</f>
        <v>0</v>
      </c>
      <c r="AM15" s="4">
        <f>IFERROR(INDEX(ТЕХ_Списки!$AN$2:$AN$71,MATCH($A15,ТЕХ_Списки!$D$2:$D$71,0)),0)</f>
        <v>0</v>
      </c>
      <c r="AN15" s="4">
        <f>IFERROR(INDEX(ТЕХ_Списки!$AO$2:$AO$71,MATCH($A15,ТЕХ_Списки!$D$2:$D$71,0)),0)</f>
        <v>0</v>
      </c>
      <c r="AO15" s="4">
        <f>IFERROR(INDEX(ТЕХ_Списки!$AP$2:$AP$71,MATCH($A15,ТЕХ_Списки!$D$2:$D$71,0)),0)</f>
        <v>0</v>
      </c>
      <c r="AP15" s="4">
        <f>IFERROR(INDEX(ТЕХ_Списки!$AQ$2:$AQ$71,MATCH($A15,ТЕХ_Списки!$D$2:$D$71,0)),0)</f>
        <v>0</v>
      </c>
      <c r="AQ15" s="4">
        <f>IFERROR(INDEX(ТЕХ_Списки!$AR$2:$AR$71,MATCH($A15,ТЕХ_Списки!$D$2:$D$71,0)),0)</f>
        <v>0</v>
      </c>
      <c r="AR15" s="4">
        <f>IFERROR(INDEX(ТЕХ_Списки!$AS$2:$AS$71,MATCH($A15,ТЕХ_Списки!$D$2:$D$71,0)),0)</f>
        <v>0</v>
      </c>
      <c r="AS15" s="4">
        <f>IFERROR(INDEX(ТЕХ_Списки!$AT$2:$AT$71,MATCH($A15,ТЕХ_Списки!$D$2:$D$71,0)),0)</f>
        <v>0</v>
      </c>
      <c r="AT15" s="4">
        <f>IFERROR(INDEX(ТЕХ_Списки!$AU$2:$AU$71,MATCH($A15,ТЕХ_Списки!$D$2:$D$71,0)),0)</f>
        <v>0</v>
      </c>
      <c r="AU15" s="4">
        <f>IFERROR(INDEX(ТЕХ_Списки!$AV$2:$AV$71,MATCH($A15,ТЕХ_Списки!$D$2:$D$71,0)),0)</f>
        <v>0</v>
      </c>
      <c r="AV15" s="4">
        <f>IFERROR(INDEX(ТЕХ_Списки!$AW$2:$AW$71,MATCH($A15,ТЕХ_Списки!$D$2:$D$71,0)),0)</f>
        <v>0</v>
      </c>
    </row>
    <row r="16" spans="1:48">
      <c r="A16" s="4" t="str">
        <f>IF(OR('РЕЙД-КОНСТРУКТОР'!C20="",'РЕЙД-КОНСТРУКТОР'!D20=""),"",'РЕЙД-КОНСТРУКТОР'!C20&amp;"§"&amp;'РЕЙД-КОНСТРУКТОР'!D20)</f>
        <v/>
      </c>
      <c r="B16" s="4">
        <f>IF(A16="",0,IF('РЕЙД-КОНСТРУКТОР'!F20="",1,'РЕЙД-КОНСТРУКТОР'!F20))</f>
        <v>0</v>
      </c>
      <c r="C16" s="4" t="str">
        <f>'РЕЙД-КОНСТРУКТОР'!E20</f>
        <v/>
      </c>
      <c r="D16" s="4">
        <f>IFERROR(INDEX(ТЕХ_Списки!$E$2:$E$71,MATCH($A16,ТЕХ_Списки!$D$2:$D$71,0)),0)</f>
        <v>0</v>
      </c>
      <c r="E16" s="4">
        <f>IFERROR(INDEX(ТЕХ_Списки!$F$2:$F$71,MATCH($A16,ТЕХ_Списки!$D$2:$D$71,0)),0)</f>
        <v>0</v>
      </c>
      <c r="F16" s="4">
        <f>IFERROR(INDEX(ТЕХ_Списки!$G$2:$G$71,MATCH($A16,ТЕХ_Списки!$D$2:$D$71,0)),0)</f>
        <v>0</v>
      </c>
      <c r="G16" s="4">
        <f>IFERROR(INDEX(ТЕХ_Списки!$H$2:$H$71,MATCH($A16,ТЕХ_Списки!$D$2:$D$71,0)),0)</f>
        <v>0</v>
      </c>
      <c r="H16" s="4">
        <f>IFERROR(INDEX(ТЕХ_Списки!$I$2:$I$71,MATCH($A16,ТЕХ_Списки!$D$2:$D$71,0)),0)</f>
        <v>0</v>
      </c>
      <c r="I16" s="4">
        <f>IFERROR(INDEX(ТЕХ_Списки!$J$2:$J$71,MATCH($A16,ТЕХ_Списки!$D$2:$D$71,0)),0)</f>
        <v>0</v>
      </c>
      <c r="J16" s="4">
        <f>IFERROR(INDEX(ТЕХ_Списки!$K$2:$K$71,MATCH($A16,ТЕХ_Списки!$D$2:$D$71,0)),0)</f>
        <v>0</v>
      </c>
      <c r="K16" s="4">
        <f>IFERROR(INDEX(ТЕХ_Списки!$L$2:$L$71,MATCH($A16,ТЕХ_Списки!$D$2:$D$71,0)),0)</f>
        <v>0</v>
      </c>
      <c r="L16" s="4">
        <f>IFERROR(INDEX(ТЕХ_Списки!$M$2:$M$71,MATCH($A16,ТЕХ_Списки!$D$2:$D$71,0)),0)</f>
        <v>0</v>
      </c>
      <c r="M16" s="4">
        <f>IFERROR(INDEX(ТЕХ_Списки!$N$2:$N$71,MATCH($A16,ТЕХ_Списки!$D$2:$D$71,0)),0)</f>
        <v>0</v>
      </c>
      <c r="N16" s="4">
        <f>IFERROR(INDEX(ТЕХ_Списки!$O$2:$O$71,MATCH($A16,ТЕХ_Списки!$D$2:$D$71,0)),0)</f>
        <v>0</v>
      </c>
      <c r="O16" s="4">
        <f>IFERROR(INDEX(ТЕХ_Списки!$P$2:$P$71,MATCH($A16,ТЕХ_Списки!$D$2:$D$71,0)),0)</f>
        <v>0</v>
      </c>
      <c r="P16" s="4">
        <f>IFERROR(INDEX(ТЕХ_Списки!$Q$2:$Q$71,MATCH($A16,ТЕХ_Списки!$D$2:$D$71,0)),0)</f>
        <v>0</v>
      </c>
      <c r="Q16" s="4">
        <f>IFERROR(INDEX(ТЕХ_Списки!$R$2:$R$71,MATCH($A16,ТЕХ_Списки!$D$2:$D$71,0)),0)</f>
        <v>0</v>
      </c>
      <c r="R16" s="4">
        <f>IFERROR(INDEX(ТЕХ_Списки!$S$2:$S$71,MATCH($A16,ТЕХ_Списки!$D$2:$D$71,0)),0)</f>
        <v>0</v>
      </c>
      <c r="S16" s="4">
        <f>IFERROR(INDEX(ТЕХ_Списки!$T$2:$T$71,MATCH($A16,ТЕХ_Списки!$D$2:$D$71,0)),0)</f>
        <v>0</v>
      </c>
      <c r="T16" s="4">
        <f>IFERROR(INDEX(ТЕХ_Списки!$U$2:$U$71,MATCH($A16,ТЕХ_Списки!$D$2:$D$71,0)),0)</f>
        <v>0</v>
      </c>
      <c r="U16" s="4">
        <f>IFERROR(INDEX(ТЕХ_Списки!$V$2:$V$71,MATCH($A16,ТЕХ_Списки!$D$2:$D$71,0)),0)</f>
        <v>0</v>
      </c>
      <c r="V16" s="4">
        <f>IFERROR(INDEX(ТЕХ_Списки!$W$2:$W$71,MATCH($A16,ТЕХ_Списки!$D$2:$D$71,0)),0)</f>
        <v>0</v>
      </c>
      <c r="W16" s="4">
        <f>IFERROR(INDEX(ТЕХ_Списки!$X$2:$X$71,MATCH($A16,ТЕХ_Списки!$D$2:$D$71,0)),0)</f>
        <v>0</v>
      </c>
      <c r="X16" s="4">
        <f>IFERROR(INDEX(ТЕХ_Списки!$Y$2:$Y$71,MATCH($A16,ТЕХ_Списки!$D$2:$D$71,0)),0)</f>
        <v>0</v>
      </c>
      <c r="Y16" s="4">
        <f>IFERROR(INDEX(ТЕХ_Списки!$Z$2:$Z$71,MATCH($A16,ТЕХ_Списки!$D$2:$D$71,0)),0)</f>
        <v>0</v>
      </c>
      <c r="Z16" s="4">
        <f>IFERROR(INDEX(ТЕХ_Списки!$AA$2:$AA$71,MATCH($A16,ТЕХ_Списки!$D$2:$D$71,0)),0)</f>
        <v>0</v>
      </c>
      <c r="AA16" s="4">
        <f>IFERROR(INDEX(ТЕХ_Списки!$AB$2:$AB$71,MATCH($A16,ТЕХ_Списки!$D$2:$D$71,0)),0)</f>
        <v>0</v>
      </c>
      <c r="AB16" s="4">
        <f>IFERROR(INDEX(ТЕХ_Списки!$AC$2:$AC$71,MATCH($A16,ТЕХ_Списки!$D$2:$D$71,0)),0)</f>
        <v>0</v>
      </c>
      <c r="AC16" s="4">
        <f>IFERROR(INDEX(ТЕХ_Списки!$AD$2:$AD$71,MATCH($A16,ТЕХ_Списки!$D$2:$D$71,0)),0)</f>
        <v>0</v>
      </c>
      <c r="AD16" s="4">
        <f>IFERROR(INDEX(ТЕХ_Списки!$AE$2:$AE$71,MATCH($A16,ТЕХ_Списки!$D$2:$D$71,0)),0)</f>
        <v>0</v>
      </c>
      <c r="AE16" s="4">
        <f>IFERROR(INDEX(ТЕХ_Списки!$AF$2:$AF$71,MATCH($A16,ТЕХ_Списки!$D$2:$D$71,0)),0)</f>
        <v>0</v>
      </c>
      <c r="AF16" s="4">
        <f>IFERROR(INDEX(ТЕХ_Списки!$AG$2:$AG$71,MATCH($A16,ТЕХ_Списки!$D$2:$D$71,0)),0)</f>
        <v>0</v>
      </c>
      <c r="AG16" s="4">
        <f>IFERROR(INDEX(ТЕХ_Списки!$AH$2:$AH$71,MATCH($A16,ТЕХ_Списки!$D$2:$D$71,0)),0)</f>
        <v>0</v>
      </c>
      <c r="AH16" s="4">
        <f>IFERROR(INDEX(ТЕХ_Списки!$AI$2:$AI$71,MATCH($A16,ТЕХ_Списки!$D$2:$D$71,0)),0)</f>
        <v>0</v>
      </c>
      <c r="AI16" s="4">
        <f>IFERROR(INDEX(ТЕХ_Списки!$AJ$2:$AJ$71,MATCH($A16,ТЕХ_Списки!$D$2:$D$71,0)),0)</f>
        <v>0</v>
      </c>
      <c r="AJ16" s="4">
        <f>IFERROR(INDEX(ТЕХ_Списки!$AK$2:$AK$71,MATCH($A16,ТЕХ_Списки!$D$2:$D$71,0)),0)</f>
        <v>0</v>
      </c>
      <c r="AK16" s="4">
        <f>IFERROR(INDEX(ТЕХ_Списки!$AL$2:$AL$71,MATCH($A16,ТЕХ_Списки!$D$2:$D$71,0)),0)</f>
        <v>0</v>
      </c>
      <c r="AL16" s="4">
        <f>IFERROR(INDEX(ТЕХ_Списки!$AM$2:$AM$71,MATCH($A16,ТЕХ_Списки!$D$2:$D$71,0)),0)</f>
        <v>0</v>
      </c>
      <c r="AM16" s="4">
        <f>IFERROR(INDEX(ТЕХ_Списки!$AN$2:$AN$71,MATCH($A16,ТЕХ_Списки!$D$2:$D$71,0)),0)</f>
        <v>0</v>
      </c>
      <c r="AN16" s="4">
        <f>IFERROR(INDEX(ТЕХ_Списки!$AO$2:$AO$71,MATCH($A16,ТЕХ_Списки!$D$2:$D$71,0)),0)</f>
        <v>0</v>
      </c>
      <c r="AO16" s="4">
        <f>IFERROR(INDEX(ТЕХ_Списки!$AP$2:$AP$71,MATCH($A16,ТЕХ_Списки!$D$2:$D$71,0)),0)</f>
        <v>0</v>
      </c>
      <c r="AP16" s="4">
        <f>IFERROR(INDEX(ТЕХ_Списки!$AQ$2:$AQ$71,MATCH($A16,ТЕХ_Списки!$D$2:$D$71,0)),0)</f>
        <v>0</v>
      </c>
      <c r="AQ16" s="4">
        <f>IFERROR(INDEX(ТЕХ_Списки!$AR$2:$AR$71,MATCH($A16,ТЕХ_Списки!$D$2:$D$71,0)),0)</f>
        <v>0</v>
      </c>
      <c r="AR16" s="4">
        <f>IFERROR(INDEX(ТЕХ_Списки!$AS$2:$AS$71,MATCH($A16,ТЕХ_Списки!$D$2:$D$71,0)),0)</f>
        <v>0</v>
      </c>
      <c r="AS16" s="4">
        <f>IFERROR(INDEX(ТЕХ_Списки!$AT$2:$AT$71,MATCH($A16,ТЕХ_Списки!$D$2:$D$71,0)),0)</f>
        <v>0</v>
      </c>
      <c r="AT16" s="4">
        <f>IFERROR(INDEX(ТЕХ_Списки!$AU$2:$AU$71,MATCH($A16,ТЕХ_Списки!$D$2:$D$71,0)),0)</f>
        <v>0</v>
      </c>
      <c r="AU16" s="4">
        <f>IFERROR(INDEX(ТЕХ_Списки!$AV$2:$AV$71,MATCH($A16,ТЕХ_Списки!$D$2:$D$71,0)),0)</f>
        <v>0</v>
      </c>
      <c r="AV16" s="4">
        <f>IFERROR(INDEX(ТЕХ_Списки!$AW$2:$AW$71,MATCH($A16,ТЕХ_Списки!$D$2:$D$71,0)),0)</f>
        <v>0</v>
      </c>
    </row>
    <row r="17" spans="1:48">
      <c r="A17" s="4" t="str">
        <f>IF(OR('РЕЙД-КОНСТРУКТОР'!C21="",'РЕЙД-КОНСТРУКТОР'!D21=""),"",'РЕЙД-КОНСТРУКТОР'!C21&amp;"§"&amp;'РЕЙД-КОНСТРУКТОР'!D21)</f>
        <v/>
      </c>
      <c r="B17" s="4">
        <f>IF(A17="",0,IF('РЕЙД-КОНСТРУКТОР'!F21="",1,'РЕЙД-КОНСТРУКТОР'!F21))</f>
        <v>0</v>
      </c>
      <c r="C17" s="4" t="str">
        <f>'РЕЙД-КОНСТРУКТОР'!E21</f>
        <v/>
      </c>
      <c r="D17" s="4">
        <f>IFERROR(INDEX(ТЕХ_Списки!$E$2:$E$71,MATCH($A17,ТЕХ_Списки!$D$2:$D$71,0)),0)</f>
        <v>0</v>
      </c>
      <c r="E17" s="4">
        <f>IFERROR(INDEX(ТЕХ_Списки!$F$2:$F$71,MATCH($A17,ТЕХ_Списки!$D$2:$D$71,0)),0)</f>
        <v>0</v>
      </c>
      <c r="F17" s="4">
        <f>IFERROR(INDEX(ТЕХ_Списки!$G$2:$G$71,MATCH($A17,ТЕХ_Списки!$D$2:$D$71,0)),0)</f>
        <v>0</v>
      </c>
      <c r="G17" s="4">
        <f>IFERROR(INDEX(ТЕХ_Списки!$H$2:$H$71,MATCH($A17,ТЕХ_Списки!$D$2:$D$71,0)),0)</f>
        <v>0</v>
      </c>
      <c r="H17" s="4">
        <f>IFERROR(INDEX(ТЕХ_Списки!$I$2:$I$71,MATCH($A17,ТЕХ_Списки!$D$2:$D$71,0)),0)</f>
        <v>0</v>
      </c>
      <c r="I17" s="4">
        <f>IFERROR(INDEX(ТЕХ_Списки!$J$2:$J$71,MATCH($A17,ТЕХ_Списки!$D$2:$D$71,0)),0)</f>
        <v>0</v>
      </c>
      <c r="J17" s="4">
        <f>IFERROR(INDEX(ТЕХ_Списки!$K$2:$K$71,MATCH($A17,ТЕХ_Списки!$D$2:$D$71,0)),0)</f>
        <v>0</v>
      </c>
      <c r="K17" s="4">
        <f>IFERROR(INDEX(ТЕХ_Списки!$L$2:$L$71,MATCH($A17,ТЕХ_Списки!$D$2:$D$71,0)),0)</f>
        <v>0</v>
      </c>
      <c r="L17" s="4">
        <f>IFERROR(INDEX(ТЕХ_Списки!$M$2:$M$71,MATCH($A17,ТЕХ_Списки!$D$2:$D$71,0)),0)</f>
        <v>0</v>
      </c>
      <c r="M17" s="4">
        <f>IFERROR(INDEX(ТЕХ_Списки!$N$2:$N$71,MATCH($A17,ТЕХ_Списки!$D$2:$D$71,0)),0)</f>
        <v>0</v>
      </c>
      <c r="N17" s="4">
        <f>IFERROR(INDEX(ТЕХ_Списки!$O$2:$O$71,MATCH($A17,ТЕХ_Списки!$D$2:$D$71,0)),0)</f>
        <v>0</v>
      </c>
      <c r="O17" s="4">
        <f>IFERROR(INDEX(ТЕХ_Списки!$P$2:$P$71,MATCH($A17,ТЕХ_Списки!$D$2:$D$71,0)),0)</f>
        <v>0</v>
      </c>
      <c r="P17" s="4">
        <f>IFERROR(INDEX(ТЕХ_Списки!$Q$2:$Q$71,MATCH($A17,ТЕХ_Списки!$D$2:$D$71,0)),0)</f>
        <v>0</v>
      </c>
      <c r="Q17" s="4">
        <f>IFERROR(INDEX(ТЕХ_Списки!$R$2:$R$71,MATCH($A17,ТЕХ_Списки!$D$2:$D$71,0)),0)</f>
        <v>0</v>
      </c>
      <c r="R17" s="4">
        <f>IFERROR(INDEX(ТЕХ_Списки!$S$2:$S$71,MATCH($A17,ТЕХ_Списки!$D$2:$D$71,0)),0)</f>
        <v>0</v>
      </c>
      <c r="S17" s="4">
        <f>IFERROR(INDEX(ТЕХ_Списки!$T$2:$T$71,MATCH($A17,ТЕХ_Списки!$D$2:$D$71,0)),0)</f>
        <v>0</v>
      </c>
      <c r="T17" s="4">
        <f>IFERROR(INDEX(ТЕХ_Списки!$U$2:$U$71,MATCH($A17,ТЕХ_Списки!$D$2:$D$71,0)),0)</f>
        <v>0</v>
      </c>
      <c r="U17" s="4">
        <f>IFERROR(INDEX(ТЕХ_Списки!$V$2:$V$71,MATCH($A17,ТЕХ_Списки!$D$2:$D$71,0)),0)</f>
        <v>0</v>
      </c>
      <c r="V17" s="4">
        <f>IFERROR(INDEX(ТЕХ_Списки!$W$2:$W$71,MATCH($A17,ТЕХ_Списки!$D$2:$D$71,0)),0)</f>
        <v>0</v>
      </c>
      <c r="W17" s="4">
        <f>IFERROR(INDEX(ТЕХ_Списки!$X$2:$X$71,MATCH($A17,ТЕХ_Списки!$D$2:$D$71,0)),0)</f>
        <v>0</v>
      </c>
      <c r="X17" s="4">
        <f>IFERROR(INDEX(ТЕХ_Списки!$Y$2:$Y$71,MATCH($A17,ТЕХ_Списки!$D$2:$D$71,0)),0)</f>
        <v>0</v>
      </c>
      <c r="Y17" s="4">
        <f>IFERROR(INDEX(ТЕХ_Списки!$Z$2:$Z$71,MATCH($A17,ТЕХ_Списки!$D$2:$D$71,0)),0)</f>
        <v>0</v>
      </c>
      <c r="Z17" s="4">
        <f>IFERROR(INDEX(ТЕХ_Списки!$AA$2:$AA$71,MATCH($A17,ТЕХ_Списки!$D$2:$D$71,0)),0)</f>
        <v>0</v>
      </c>
      <c r="AA17" s="4">
        <f>IFERROR(INDEX(ТЕХ_Списки!$AB$2:$AB$71,MATCH($A17,ТЕХ_Списки!$D$2:$D$71,0)),0)</f>
        <v>0</v>
      </c>
      <c r="AB17" s="4">
        <f>IFERROR(INDEX(ТЕХ_Списки!$AC$2:$AC$71,MATCH($A17,ТЕХ_Списки!$D$2:$D$71,0)),0)</f>
        <v>0</v>
      </c>
      <c r="AC17" s="4">
        <f>IFERROR(INDEX(ТЕХ_Списки!$AD$2:$AD$71,MATCH($A17,ТЕХ_Списки!$D$2:$D$71,0)),0)</f>
        <v>0</v>
      </c>
      <c r="AD17" s="4">
        <f>IFERROR(INDEX(ТЕХ_Списки!$AE$2:$AE$71,MATCH($A17,ТЕХ_Списки!$D$2:$D$71,0)),0)</f>
        <v>0</v>
      </c>
      <c r="AE17" s="4">
        <f>IFERROR(INDEX(ТЕХ_Списки!$AF$2:$AF$71,MATCH($A17,ТЕХ_Списки!$D$2:$D$71,0)),0)</f>
        <v>0</v>
      </c>
      <c r="AF17" s="4">
        <f>IFERROR(INDEX(ТЕХ_Списки!$AG$2:$AG$71,MATCH($A17,ТЕХ_Списки!$D$2:$D$71,0)),0)</f>
        <v>0</v>
      </c>
      <c r="AG17" s="4">
        <f>IFERROR(INDEX(ТЕХ_Списки!$AH$2:$AH$71,MATCH($A17,ТЕХ_Списки!$D$2:$D$71,0)),0)</f>
        <v>0</v>
      </c>
      <c r="AH17" s="4">
        <f>IFERROR(INDEX(ТЕХ_Списки!$AI$2:$AI$71,MATCH($A17,ТЕХ_Списки!$D$2:$D$71,0)),0)</f>
        <v>0</v>
      </c>
      <c r="AI17" s="4">
        <f>IFERROR(INDEX(ТЕХ_Списки!$AJ$2:$AJ$71,MATCH($A17,ТЕХ_Списки!$D$2:$D$71,0)),0)</f>
        <v>0</v>
      </c>
      <c r="AJ17" s="4">
        <f>IFERROR(INDEX(ТЕХ_Списки!$AK$2:$AK$71,MATCH($A17,ТЕХ_Списки!$D$2:$D$71,0)),0)</f>
        <v>0</v>
      </c>
      <c r="AK17" s="4">
        <f>IFERROR(INDEX(ТЕХ_Списки!$AL$2:$AL$71,MATCH($A17,ТЕХ_Списки!$D$2:$D$71,0)),0)</f>
        <v>0</v>
      </c>
      <c r="AL17" s="4">
        <f>IFERROR(INDEX(ТЕХ_Списки!$AM$2:$AM$71,MATCH($A17,ТЕХ_Списки!$D$2:$D$71,0)),0)</f>
        <v>0</v>
      </c>
      <c r="AM17" s="4">
        <f>IFERROR(INDEX(ТЕХ_Списки!$AN$2:$AN$71,MATCH($A17,ТЕХ_Списки!$D$2:$D$71,0)),0)</f>
        <v>0</v>
      </c>
      <c r="AN17" s="4">
        <f>IFERROR(INDEX(ТЕХ_Списки!$AO$2:$AO$71,MATCH($A17,ТЕХ_Списки!$D$2:$D$71,0)),0)</f>
        <v>0</v>
      </c>
      <c r="AO17" s="4">
        <f>IFERROR(INDEX(ТЕХ_Списки!$AP$2:$AP$71,MATCH($A17,ТЕХ_Списки!$D$2:$D$71,0)),0)</f>
        <v>0</v>
      </c>
      <c r="AP17" s="4">
        <f>IFERROR(INDEX(ТЕХ_Списки!$AQ$2:$AQ$71,MATCH($A17,ТЕХ_Списки!$D$2:$D$71,0)),0)</f>
        <v>0</v>
      </c>
      <c r="AQ17" s="4">
        <f>IFERROR(INDEX(ТЕХ_Списки!$AR$2:$AR$71,MATCH($A17,ТЕХ_Списки!$D$2:$D$71,0)),0)</f>
        <v>0</v>
      </c>
      <c r="AR17" s="4">
        <f>IFERROR(INDEX(ТЕХ_Списки!$AS$2:$AS$71,MATCH($A17,ТЕХ_Списки!$D$2:$D$71,0)),0)</f>
        <v>0</v>
      </c>
      <c r="AS17" s="4">
        <f>IFERROR(INDEX(ТЕХ_Списки!$AT$2:$AT$71,MATCH($A17,ТЕХ_Списки!$D$2:$D$71,0)),0)</f>
        <v>0</v>
      </c>
      <c r="AT17" s="4">
        <f>IFERROR(INDEX(ТЕХ_Списки!$AU$2:$AU$71,MATCH($A17,ТЕХ_Списки!$D$2:$D$71,0)),0)</f>
        <v>0</v>
      </c>
      <c r="AU17" s="4">
        <f>IFERROR(INDEX(ТЕХ_Списки!$AV$2:$AV$71,MATCH($A17,ТЕХ_Списки!$D$2:$D$71,0)),0)</f>
        <v>0</v>
      </c>
      <c r="AV17" s="4">
        <f>IFERROR(INDEX(ТЕХ_Списки!$AW$2:$AW$71,MATCH($A17,ТЕХ_Списки!$D$2:$D$71,0)),0)</f>
        <v>0</v>
      </c>
    </row>
    <row r="18" spans="1:48">
      <c r="A18" s="4" t="str">
        <f>IF(OR('РЕЙД-КОНСТРУКТОР'!C22="",'РЕЙД-КОНСТРУКТОР'!D22=""),"",'РЕЙД-КОНСТРУКТОР'!C22&amp;"§"&amp;'РЕЙД-КОНСТРУКТОР'!D22)</f>
        <v/>
      </c>
      <c r="B18" s="4">
        <f>IF(A18="",0,IF('РЕЙД-КОНСТРУКТОР'!F22="",1,'РЕЙД-КОНСТРУКТОР'!F22))</f>
        <v>0</v>
      </c>
      <c r="C18" s="4" t="str">
        <f>'РЕЙД-КОНСТРУКТОР'!E22</f>
        <v/>
      </c>
      <c r="D18" s="4">
        <f>IFERROR(INDEX(ТЕХ_Списки!$E$2:$E$71,MATCH($A18,ТЕХ_Списки!$D$2:$D$71,0)),0)</f>
        <v>0</v>
      </c>
      <c r="E18" s="4">
        <f>IFERROR(INDEX(ТЕХ_Списки!$F$2:$F$71,MATCH($A18,ТЕХ_Списки!$D$2:$D$71,0)),0)</f>
        <v>0</v>
      </c>
      <c r="F18" s="4">
        <f>IFERROR(INDEX(ТЕХ_Списки!$G$2:$G$71,MATCH($A18,ТЕХ_Списки!$D$2:$D$71,0)),0)</f>
        <v>0</v>
      </c>
      <c r="G18" s="4">
        <f>IFERROR(INDEX(ТЕХ_Списки!$H$2:$H$71,MATCH($A18,ТЕХ_Списки!$D$2:$D$71,0)),0)</f>
        <v>0</v>
      </c>
      <c r="H18" s="4">
        <f>IFERROR(INDEX(ТЕХ_Списки!$I$2:$I$71,MATCH($A18,ТЕХ_Списки!$D$2:$D$71,0)),0)</f>
        <v>0</v>
      </c>
      <c r="I18" s="4">
        <f>IFERROR(INDEX(ТЕХ_Списки!$J$2:$J$71,MATCH($A18,ТЕХ_Списки!$D$2:$D$71,0)),0)</f>
        <v>0</v>
      </c>
      <c r="J18" s="4">
        <f>IFERROR(INDEX(ТЕХ_Списки!$K$2:$K$71,MATCH($A18,ТЕХ_Списки!$D$2:$D$71,0)),0)</f>
        <v>0</v>
      </c>
      <c r="K18" s="4">
        <f>IFERROR(INDEX(ТЕХ_Списки!$L$2:$L$71,MATCH($A18,ТЕХ_Списки!$D$2:$D$71,0)),0)</f>
        <v>0</v>
      </c>
      <c r="L18" s="4">
        <f>IFERROR(INDEX(ТЕХ_Списки!$M$2:$M$71,MATCH($A18,ТЕХ_Списки!$D$2:$D$71,0)),0)</f>
        <v>0</v>
      </c>
      <c r="M18" s="4">
        <f>IFERROR(INDEX(ТЕХ_Списки!$N$2:$N$71,MATCH($A18,ТЕХ_Списки!$D$2:$D$71,0)),0)</f>
        <v>0</v>
      </c>
      <c r="N18" s="4">
        <f>IFERROR(INDEX(ТЕХ_Списки!$O$2:$O$71,MATCH($A18,ТЕХ_Списки!$D$2:$D$71,0)),0)</f>
        <v>0</v>
      </c>
      <c r="O18" s="4">
        <f>IFERROR(INDEX(ТЕХ_Списки!$P$2:$P$71,MATCH($A18,ТЕХ_Списки!$D$2:$D$71,0)),0)</f>
        <v>0</v>
      </c>
      <c r="P18" s="4">
        <f>IFERROR(INDEX(ТЕХ_Списки!$Q$2:$Q$71,MATCH($A18,ТЕХ_Списки!$D$2:$D$71,0)),0)</f>
        <v>0</v>
      </c>
      <c r="Q18" s="4">
        <f>IFERROR(INDEX(ТЕХ_Списки!$R$2:$R$71,MATCH($A18,ТЕХ_Списки!$D$2:$D$71,0)),0)</f>
        <v>0</v>
      </c>
      <c r="R18" s="4">
        <f>IFERROR(INDEX(ТЕХ_Списки!$S$2:$S$71,MATCH($A18,ТЕХ_Списки!$D$2:$D$71,0)),0)</f>
        <v>0</v>
      </c>
      <c r="S18" s="4">
        <f>IFERROR(INDEX(ТЕХ_Списки!$T$2:$T$71,MATCH($A18,ТЕХ_Списки!$D$2:$D$71,0)),0)</f>
        <v>0</v>
      </c>
      <c r="T18" s="4">
        <f>IFERROR(INDEX(ТЕХ_Списки!$U$2:$U$71,MATCH($A18,ТЕХ_Списки!$D$2:$D$71,0)),0)</f>
        <v>0</v>
      </c>
      <c r="U18" s="4">
        <f>IFERROR(INDEX(ТЕХ_Списки!$V$2:$V$71,MATCH($A18,ТЕХ_Списки!$D$2:$D$71,0)),0)</f>
        <v>0</v>
      </c>
      <c r="V18" s="4">
        <f>IFERROR(INDEX(ТЕХ_Списки!$W$2:$W$71,MATCH($A18,ТЕХ_Списки!$D$2:$D$71,0)),0)</f>
        <v>0</v>
      </c>
      <c r="W18" s="4">
        <f>IFERROR(INDEX(ТЕХ_Списки!$X$2:$X$71,MATCH($A18,ТЕХ_Списки!$D$2:$D$71,0)),0)</f>
        <v>0</v>
      </c>
      <c r="X18" s="4">
        <f>IFERROR(INDEX(ТЕХ_Списки!$Y$2:$Y$71,MATCH($A18,ТЕХ_Списки!$D$2:$D$71,0)),0)</f>
        <v>0</v>
      </c>
      <c r="Y18" s="4">
        <f>IFERROR(INDEX(ТЕХ_Списки!$Z$2:$Z$71,MATCH($A18,ТЕХ_Списки!$D$2:$D$71,0)),0)</f>
        <v>0</v>
      </c>
      <c r="Z18" s="4">
        <f>IFERROR(INDEX(ТЕХ_Списки!$AA$2:$AA$71,MATCH($A18,ТЕХ_Списки!$D$2:$D$71,0)),0)</f>
        <v>0</v>
      </c>
      <c r="AA18" s="4">
        <f>IFERROR(INDEX(ТЕХ_Списки!$AB$2:$AB$71,MATCH($A18,ТЕХ_Списки!$D$2:$D$71,0)),0)</f>
        <v>0</v>
      </c>
      <c r="AB18" s="4">
        <f>IFERROR(INDEX(ТЕХ_Списки!$AC$2:$AC$71,MATCH($A18,ТЕХ_Списки!$D$2:$D$71,0)),0)</f>
        <v>0</v>
      </c>
      <c r="AC18" s="4">
        <f>IFERROR(INDEX(ТЕХ_Списки!$AD$2:$AD$71,MATCH($A18,ТЕХ_Списки!$D$2:$D$71,0)),0)</f>
        <v>0</v>
      </c>
      <c r="AD18" s="4">
        <f>IFERROR(INDEX(ТЕХ_Списки!$AE$2:$AE$71,MATCH($A18,ТЕХ_Списки!$D$2:$D$71,0)),0)</f>
        <v>0</v>
      </c>
      <c r="AE18" s="4">
        <f>IFERROR(INDEX(ТЕХ_Списки!$AF$2:$AF$71,MATCH($A18,ТЕХ_Списки!$D$2:$D$71,0)),0)</f>
        <v>0</v>
      </c>
      <c r="AF18" s="4">
        <f>IFERROR(INDEX(ТЕХ_Списки!$AG$2:$AG$71,MATCH($A18,ТЕХ_Списки!$D$2:$D$71,0)),0)</f>
        <v>0</v>
      </c>
      <c r="AG18" s="4">
        <f>IFERROR(INDEX(ТЕХ_Списки!$AH$2:$AH$71,MATCH($A18,ТЕХ_Списки!$D$2:$D$71,0)),0)</f>
        <v>0</v>
      </c>
      <c r="AH18" s="4">
        <f>IFERROR(INDEX(ТЕХ_Списки!$AI$2:$AI$71,MATCH($A18,ТЕХ_Списки!$D$2:$D$71,0)),0)</f>
        <v>0</v>
      </c>
      <c r="AI18" s="4">
        <f>IFERROR(INDEX(ТЕХ_Списки!$AJ$2:$AJ$71,MATCH($A18,ТЕХ_Списки!$D$2:$D$71,0)),0)</f>
        <v>0</v>
      </c>
      <c r="AJ18" s="4">
        <f>IFERROR(INDEX(ТЕХ_Списки!$AK$2:$AK$71,MATCH($A18,ТЕХ_Списки!$D$2:$D$71,0)),0)</f>
        <v>0</v>
      </c>
      <c r="AK18" s="4">
        <f>IFERROR(INDEX(ТЕХ_Списки!$AL$2:$AL$71,MATCH($A18,ТЕХ_Списки!$D$2:$D$71,0)),0)</f>
        <v>0</v>
      </c>
      <c r="AL18" s="4">
        <f>IFERROR(INDEX(ТЕХ_Списки!$AM$2:$AM$71,MATCH($A18,ТЕХ_Списки!$D$2:$D$71,0)),0)</f>
        <v>0</v>
      </c>
      <c r="AM18" s="4">
        <f>IFERROR(INDEX(ТЕХ_Списки!$AN$2:$AN$71,MATCH($A18,ТЕХ_Списки!$D$2:$D$71,0)),0)</f>
        <v>0</v>
      </c>
      <c r="AN18" s="4">
        <f>IFERROR(INDEX(ТЕХ_Списки!$AO$2:$AO$71,MATCH($A18,ТЕХ_Списки!$D$2:$D$71,0)),0)</f>
        <v>0</v>
      </c>
      <c r="AO18" s="4">
        <f>IFERROR(INDEX(ТЕХ_Списки!$AP$2:$AP$71,MATCH($A18,ТЕХ_Списки!$D$2:$D$71,0)),0)</f>
        <v>0</v>
      </c>
      <c r="AP18" s="4">
        <f>IFERROR(INDEX(ТЕХ_Списки!$AQ$2:$AQ$71,MATCH($A18,ТЕХ_Списки!$D$2:$D$71,0)),0)</f>
        <v>0</v>
      </c>
      <c r="AQ18" s="4">
        <f>IFERROR(INDEX(ТЕХ_Списки!$AR$2:$AR$71,MATCH($A18,ТЕХ_Списки!$D$2:$D$71,0)),0)</f>
        <v>0</v>
      </c>
      <c r="AR18" s="4">
        <f>IFERROR(INDEX(ТЕХ_Списки!$AS$2:$AS$71,MATCH($A18,ТЕХ_Списки!$D$2:$D$71,0)),0)</f>
        <v>0</v>
      </c>
      <c r="AS18" s="4">
        <f>IFERROR(INDEX(ТЕХ_Списки!$AT$2:$AT$71,MATCH($A18,ТЕХ_Списки!$D$2:$D$71,0)),0)</f>
        <v>0</v>
      </c>
      <c r="AT18" s="4">
        <f>IFERROR(INDEX(ТЕХ_Списки!$AU$2:$AU$71,MATCH($A18,ТЕХ_Списки!$D$2:$D$71,0)),0)</f>
        <v>0</v>
      </c>
      <c r="AU18" s="4">
        <f>IFERROR(INDEX(ТЕХ_Списки!$AV$2:$AV$71,MATCH($A18,ТЕХ_Списки!$D$2:$D$71,0)),0)</f>
        <v>0</v>
      </c>
      <c r="AV18" s="4">
        <f>IFERROR(INDEX(ТЕХ_Списки!$AW$2:$AW$71,MATCH($A18,ТЕХ_Списки!$D$2:$D$71,0)),0)</f>
        <v>0</v>
      </c>
    </row>
    <row r="19" spans="1:48">
      <c r="A19" s="4" t="str">
        <f>IF(OR('РЕЙД-КОНСТРУКТОР'!C23="",'РЕЙД-КОНСТРУКТОР'!D23=""),"",'РЕЙД-КОНСТРУКТОР'!C23&amp;"§"&amp;'РЕЙД-КОНСТРУКТОР'!D23)</f>
        <v/>
      </c>
      <c r="B19" s="4">
        <f>IF(A19="",0,IF('РЕЙД-КОНСТРУКТОР'!F23="",1,'РЕЙД-КОНСТРУКТОР'!F23))</f>
        <v>0</v>
      </c>
      <c r="C19" s="4" t="str">
        <f>'РЕЙД-КОНСТРУКТОР'!E23</f>
        <v/>
      </c>
      <c r="D19" s="4">
        <f>IFERROR(INDEX(ТЕХ_Списки!$E$2:$E$71,MATCH($A19,ТЕХ_Списки!$D$2:$D$71,0)),0)</f>
        <v>0</v>
      </c>
      <c r="E19" s="4">
        <f>IFERROR(INDEX(ТЕХ_Списки!$F$2:$F$71,MATCH($A19,ТЕХ_Списки!$D$2:$D$71,0)),0)</f>
        <v>0</v>
      </c>
      <c r="F19" s="4">
        <f>IFERROR(INDEX(ТЕХ_Списки!$G$2:$G$71,MATCH($A19,ТЕХ_Списки!$D$2:$D$71,0)),0)</f>
        <v>0</v>
      </c>
      <c r="G19" s="4">
        <f>IFERROR(INDEX(ТЕХ_Списки!$H$2:$H$71,MATCH($A19,ТЕХ_Списки!$D$2:$D$71,0)),0)</f>
        <v>0</v>
      </c>
      <c r="H19" s="4">
        <f>IFERROR(INDEX(ТЕХ_Списки!$I$2:$I$71,MATCH($A19,ТЕХ_Списки!$D$2:$D$71,0)),0)</f>
        <v>0</v>
      </c>
      <c r="I19" s="4">
        <f>IFERROR(INDEX(ТЕХ_Списки!$J$2:$J$71,MATCH($A19,ТЕХ_Списки!$D$2:$D$71,0)),0)</f>
        <v>0</v>
      </c>
      <c r="J19" s="4">
        <f>IFERROR(INDEX(ТЕХ_Списки!$K$2:$K$71,MATCH($A19,ТЕХ_Списки!$D$2:$D$71,0)),0)</f>
        <v>0</v>
      </c>
      <c r="K19" s="4">
        <f>IFERROR(INDEX(ТЕХ_Списки!$L$2:$L$71,MATCH($A19,ТЕХ_Списки!$D$2:$D$71,0)),0)</f>
        <v>0</v>
      </c>
      <c r="L19" s="4">
        <f>IFERROR(INDEX(ТЕХ_Списки!$M$2:$M$71,MATCH($A19,ТЕХ_Списки!$D$2:$D$71,0)),0)</f>
        <v>0</v>
      </c>
      <c r="M19" s="4">
        <f>IFERROR(INDEX(ТЕХ_Списки!$N$2:$N$71,MATCH($A19,ТЕХ_Списки!$D$2:$D$71,0)),0)</f>
        <v>0</v>
      </c>
      <c r="N19" s="4">
        <f>IFERROR(INDEX(ТЕХ_Списки!$O$2:$O$71,MATCH($A19,ТЕХ_Списки!$D$2:$D$71,0)),0)</f>
        <v>0</v>
      </c>
      <c r="O19" s="4">
        <f>IFERROR(INDEX(ТЕХ_Списки!$P$2:$P$71,MATCH($A19,ТЕХ_Списки!$D$2:$D$71,0)),0)</f>
        <v>0</v>
      </c>
      <c r="P19" s="4">
        <f>IFERROR(INDEX(ТЕХ_Списки!$Q$2:$Q$71,MATCH($A19,ТЕХ_Списки!$D$2:$D$71,0)),0)</f>
        <v>0</v>
      </c>
      <c r="Q19" s="4">
        <f>IFERROR(INDEX(ТЕХ_Списки!$R$2:$R$71,MATCH($A19,ТЕХ_Списки!$D$2:$D$71,0)),0)</f>
        <v>0</v>
      </c>
      <c r="R19" s="4">
        <f>IFERROR(INDEX(ТЕХ_Списки!$S$2:$S$71,MATCH($A19,ТЕХ_Списки!$D$2:$D$71,0)),0)</f>
        <v>0</v>
      </c>
      <c r="S19" s="4">
        <f>IFERROR(INDEX(ТЕХ_Списки!$T$2:$T$71,MATCH($A19,ТЕХ_Списки!$D$2:$D$71,0)),0)</f>
        <v>0</v>
      </c>
      <c r="T19" s="4">
        <f>IFERROR(INDEX(ТЕХ_Списки!$U$2:$U$71,MATCH($A19,ТЕХ_Списки!$D$2:$D$71,0)),0)</f>
        <v>0</v>
      </c>
      <c r="U19" s="4">
        <f>IFERROR(INDEX(ТЕХ_Списки!$V$2:$V$71,MATCH($A19,ТЕХ_Списки!$D$2:$D$71,0)),0)</f>
        <v>0</v>
      </c>
      <c r="V19" s="4">
        <f>IFERROR(INDEX(ТЕХ_Списки!$W$2:$W$71,MATCH($A19,ТЕХ_Списки!$D$2:$D$71,0)),0)</f>
        <v>0</v>
      </c>
      <c r="W19" s="4">
        <f>IFERROR(INDEX(ТЕХ_Списки!$X$2:$X$71,MATCH($A19,ТЕХ_Списки!$D$2:$D$71,0)),0)</f>
        <v>0</v>
      </c>
      <c r="X19" s="4">
        <f>IFERROR(INDEX(ТЕХ_Списки!$Y$2:$Y$71,MATCH($A19,ТЕХ_Списки!$D$2:$D$71,0)),0)</f>
        <v>0</v>
      </c>
      <c r="Y19" s="4">
        <f>IFERROR(INDEX(ТЕХ_Списки!$Z$2:$Z$71,MATCH($A19,ТЕХ_Списки!$D$2:$D$71,0)),0)</f>
        <v>0</v>
      </c>
      <c r="Z19" s="4">
        <f>IFERROR(INDEX(ТЕХ_Списки!$AA$2:$AA$71,MATCH($A19,ТЕХ_Списки!$D$2:$D$71,0)),0)</f>
        <v>0</v>
      </c>
      <c r="AA19" s="4">
        <f>IFERROR(INDEX(ТЕХ_Списки!$AB$2:$AB$71,MATCH($A19,ТЕХ_Списки!$D$2:$D$71,0)),0)</f>
        <v>0</v>
      </c>
      <c r="AB19" s="4">
        <f>IFERROR(INDEX(ТЕХ_Списки!$AC$2:$AC$71,MATCH($A19,ТЕХ_Списки!$D$2:$D$71,0)),0)</f>
        <v>0</v>
      </c>
      <c r="AC19" s="4">
        <f>IFERROR(INDEX(ТЕХ_Списки!$AD$2:$AD$71,MATCH($A19,ТЕХ_Списки!$D$2:$D$71,0)),0)</f>
        <v>0</v>
      </c>
      <c r="AD19" s="4">
        <f>IFERROR(INDEX(ТЕХ_Списки!$AE$2:$AE$71,MATCH($A19,ТЕХ_Списки!$D$2:$D$71,0)),0)</f>
        <v>0</v>
      </c>
      <c r="AE19" s="4">
        <f>IFERROR(INDEX(ТЕХ_Списки!$AF$2:$AF$71,MATCH($A19,ТЕХ_Списки!$D$2:$D$71,0)),0)</f>
        <v>0</v>
      </c>
      <c r="AF19" s="4">
        <f>IFERROR(INDEX(ТЕХ_Списки!$AG$2:$AG$71,MATCH($A19,ТЕХ_Списки!$D$2:$D$71,0)),0)</f>
        <v>0</v>
      </c>
      <c r="AG19" s="4">
        <f>IFERROR(INDEX(ТЕХ_Списки!$AH$2:$AH$71,MATCH($A19,ТЕХ_Списки!$D$2:$D$71,0)),0)</f>
        <v>0</v>
      </c>
      <c r="AH19" s="4">
        <f>IFERROR(INDEX(ТЕХ_Списки!$AI$2:$AI$71,MATCH($A19,ТЕХ_Списки!$D$2:$D$71,0)),0)</f>
        <v>0</v>
      </c>
      <c r="AI19" s="4">
        <f>IFERROR(INDEX(ТЕХ_Списки!$AJ$2:$AJ$71,MATCH($A19,ТЕХ_Списки!$D$2:$D$71,0)),0)</f>
        <v>0</v>
      </c>
      <c r="AJ19" s="4">
        <f>IFERROR(INDEX(ТЕХ_Списки!$AK$2:$AK$71,MATCH($A19,ТЕХ_Списки!$D$2:$D$71,0)),0)</f>
        <v>0</v>
      </c>
      <c r="AK19" s="4">
        <f>IFERROR(INDEX(ТЕХ_Списки!$AL$2:$AL$71,MATCH($A19,ТЕХ_Списки!$D$2:$D$71,0)),0)</f>
        <v>0</v>
      </c>
      <c r="AL19" s="4">
        <f>IFERROR(INDEX(ТЕХ_Списки!$AM$2:$AM$71,MATCH($A19,ТЕХ_Списки!$D$2:$D$71,0)),0)</f>
        <v>0</v>
      </c>
      <c r="AM19" s="4">
        <f>IFERROR(INDEX(ТЕХ_Списки!$AN$2:$AN$71,MATCH($A19,ТЕХ_Списки!$D$2:$D$71,0)),0)</f>
        <v>0</v>
      </c>
      <c r="AN19" s="4">
        <f>IFERROR(INDEX(ТЕХ_Списки!$AO$2:$AO$71,MATCH($A19,ТЕХ_Списки!$D$2:$D$71,0)),0)</f>
        <v>0</v>
      </c>
      <c r="AO19" s="4">
        <f>IFERROR(INDEX(ТЕХ_Списки!$AP$2:$AP$71,MATCH($A19,ТЕХ_Списки!$D$2:$D$71,0)),0)</f>
        <v>0</v>
      </c>
      <c r="AP19" s="4">
        <f>IFERROR(INDEX(ТЕХ_Списки!$AQ$2:$AQ$71,MATCH($A19,ТЕХ_Списки!$D$2:$D$71,0)),0)</f>
        <v>0</v>
      </c>
      <c r="AQ19" s="4">
        <f>IFERROR(INDEX(ТЕХ_Списки!$AR$2:$AR$71,MATCH($A19,ТЕХ_Списки!$D$2:$D$71,0)),0)</f>
        <v>0</v>
      </c>
      <c r="AR19" s="4">
        <f>IFERROR(INDEX(ТЕХ_Списки!$AS$2:$AS$71,MATCH($A19,ТЕХ_Списки!$D$2:$D$71,0)),0)</f>
        <v>0</v>
      </c>
      <c r="AS19" s="4">
        <f>IFERROR(INDEX(ТЕХ_Списки!$AT$2:$AT$71,MATCH($A19,ТЕХ_Списки!$D$2:$D$71,0)),0)</f>
        <v>0</v>
      </c>
      <c r="AT19" s="4">
        <f>IFERROR(INDEX(ТЕХ_Списки!$AU$2:$AU$71,MATCH($A19,ТЕХ_Списки!$D$2:$D$71,0)),0)</f>
        <v>0</v>
      </c>
      <c r="AU19" s="4">
        <f>IFERROR(INDEX(ТЕХ_Списки!$AV$2:$AV$71,MATCH($A19,ТЕХ_Списки!$D$2:$D$71,0)),0)</f>
        <v>0</v>
      </c>
      <c r="AV19" s="4">
        <f>IFERROR(INDEX(ТЕХ_Списки!$AW$2:$AW$71,MATCH($A19,ТЕХ_Списки!$D$2:$D$71,0)),0)</f>
        <v>0</v>
      </c>
    </row>
    <row r="20" spans="1:48">
      <c r="A20" s="4" t="str">
        <f>IF(OR('РЕЙД-КОНСТРУКТОР'!C24="",'РЕЙД-КОНСТРУКТОР'!D24=""),"",'РЕЙД-КОНСТРУКТОР'!C24&amp;"§"&amp;'РЕЙД-КОНСТРУКТОР'!D24)</f>
        <v/>
      </c>
      <c r="B20" s="4">
        <f>IF(A20="",0,IF('РЕЙД-КОНСТРУКТОР'!F24="",1,'РЕЙД-КОНСТРУКТОР'!F24))</f>
        <v>0</v>
      </c>
      <c r="C20" s="4" t="str">
        <f>'РЕЙД-КОНСТРУКТОР'!E24</f>
        <v/>
      </c>
      <c r="D20" s="4">
        <f>IFERROR(INDEX(ТЕХ_Списки!$E$2:$E$71,MATCH($A20,ТЕХ_Списки!$D$2:$D$71,0)),0)</f>
        <v>0</v>
      </c>
      <c r="E20" s="4">
        <f>IFERROR(INDEX(ТЕХ_Списки!$F$2:$F$71,MATCH($A20,ТЕХ_Списки!$D$2:$D$71,0)),0)</f>
        <v>0</v>
      </c>
      <c r="F20" s="4">
        <f>IFERROR(INDEX(ТЕХ_Списки!$G$2:$G$71,MATCH($A20,ТЕХ_Списки!$D$2:$D$71,0)),0)</f>
        <v>0</v>
      </c>
      <c r="G20" s="4">
        <f>IFERROR(INDEX(ТЕХ_Списки!$H$2:$H$71,MATCH($A20,ТЕХ_Списки!$D$2:$D$71,0)),0)</f>
        <v>0</v>
      </c>
      <c r="H20" s="4">
        <f>IFERROR(INDEX(ТЕХ_Списки!$I$2:$I$71,MATCH($A20,ТЕХ_Списки!$D$2:$D$71,0)),0)</f>
        <v>0</v>
      </c>
      <c r="I20" s="4">
        <f>IFERROR(INDEX(ТЕХ_Списки!$J$2:$J$71,MATCH($A20,ТЕХ_Списки!$D$2:$D$71,0)),0)</f>
        <v>0</v>
      </c>
      <c r="J20" s="4">
        <f>IFERROR(INDEX(ТЕХ_Списки!$K$2:$K$71,MATCH($A20,ТЕХ_Списки!$D$2:$D$71,0)),0)</f>
        <v>0</v>
      </c>
      <c r="K20" s="4">
        <f>IFERROR(INDEX(ТЕХ_Списки!$L$2:$L$71,MATCH($A20,ТЕХ_Списки!$D$2:$D$71,0)),0)</f>
        <v>0</v>
      </c>
      <c r="L20" s="4">
        <f>IFERROR(INDEX(ТЕХ_Списки!$M$2:$M$71,MATCH($A20,ТЕХ_Списки!$D$2:$D$71,0)),0)</f>
        <v>0</v>
      </c>
      <c r="M20" s="4">
        <f>IFERROR(INDEX(ТЕХ_Списки!$N$2:$N$71,MATCH($A20,ТЕХ_Списки!$D$2:$D$71,0)),0)</f>
        <v>0</v>
      </c>
      <c r="N20" s="4">
        <f>IFERROR(INDEX(ТЕХ_Списки!$O$2:$O$71,MATCH($A20,ТЕХ_Списки!$D$2:$D$71,0)),0)</f>
        <v>0</v>
      </c>
      <c r="O20" s="4">
        <f>IFERROR(INDEX(ТЕХ_Списки!$P$2:$P$71,MATCH($A20,ТЕХ_Списки!$D$2:$D$71,0)),0)</f>
        <v>0</v>
      </c>
      <c r="P20" s="4">
        <f>IFERROR(INDEX(ТЕХ_Списки!$Q$2:$Q$71,MATCH($A20,ТЕХ_Списки!$D$2:$D$71,0)),0)</f>
        <v>0</v>
      </c>
      <c r="Q20" s="4">
        <f>IFERROR(INDEX(ТЕХ_Списки!$R$2:$R$71,MATCH($A20,ТЕХ_Списки!$D$2:$D$71,0)),0)</f>
        <v>0</v>
      </c>
      <c r="R20" s="4">
        <f>IFERROR(INDEX(ТЕХ_Списки!$S$2:$S$71,MATCH($A20,ТЕХ_Списки!$D$2:$D$71,0)),0)</f>
        <v>0</v>
      </c>
      <c r="S20" s="4">
        <f>IFERROR(INDEX(ТЕХ_Списки!$T$2:$T$71,MATCH($A20,ТЕХ_Списки!$D$2:$D$71,0)),0)</f>
        <v>0</v>
      </c>
      <c r="T20" s="4">
        <f>IFERROR(INDEX(ТЕХ_Списки!$U$2:$U$71,MATCH($A20,ТЕХ_Списки!$D$2:$D$71,0)),0)</f>
        <v>0</v>
      </c>
      <c r="U20" s="4">
        <f>IFERROR(INDEX(ТЕХ_Списки!$V$2:$V$71,MATCH($A20,ТЕХ_Списки!$D$2:$D$71,0)),0)</f>
        <v>0</v>
      </c>
      <c r="V20" s="4">
        <f>IFERROR(INDEX(ТЕХ_Списки!$W$2:$W$71,MATCH($A20,ТЕХ_Списки!$D$2:$D$71,0)),0)</f>
        <v>0</v>
      </c>
      <c r="W20" s="4">
        <f>IFERROR(INDEX(ТЕХ_Списки!$X$2:$X$71,MATCH($A20,ТЕХ_Списки!$D$2:$D$71,0)),0)</f>
        <v>0</v>
      </c>
      <c r="X20" s="4">
        <f>IFERROR(INDEX(ТЕХ_Списки!$Y$2:$Y$71,MATCH($A20,ТЕХ_Списки!$D$2:$D$71,0)),0)</f>
        <v>0</v>
      </c>
      <c r="Y20" s="4">
        <f>IFERROR(INDEX(ТЕХ_Списки!$Z$2:$Z$71,MATCH($A20,ТЕХ_Списки!$D$2:$D$71,0)),0)</f>
        <v>0</v>
      </c>
      <c r="Z20" s="4">
        <f>IFERROR(INDEX(ТЕХ_Списки!$AA$2:$AA$71,MATCH($A20,ТЕХ_Списки!$D$2:$D$71,0)),0)</f>
        <v>0</v>
      </c>
      <c r="AA20" s="4">
        <f>IFERROR(INDEX(ТЕХ_Списки!$AB$2:$AB$71,MATCH($A20,ТЕХ_Списки!$D$2:$D$71,0)),0)</f>
        <v>0</v>
      </c>
      <c r="AB20" s="4">
        <f>IFERROR(INDEX(ТЕХ_Списки!$AC$2:$AC$71,MATCH($A20,ТЕХ_Списки!$D$2:$D$71,0)),0)</f>
        <v>0</v>
      </c>
      <c r="AC20" s="4">
        <f>IFERROR(INDEX(ТЕХ_Списки!$AD$2:$AD$71,MATCH($A20,ТЕХ_Списки!$D$2:$D$71,0)),0)</f>
        <v>0</v>
      </c>
      <c r="AD20" s="4">
        <f>IFERROR(INDEX(ТЕХ_Списки!$AE$2:$AE$71,MATCH($A20,ТЕХ_Списки!$D$2:$D$71,0)),0)</f>
        <v>0</v>
      </c>
      <c r="AE20" s="4">
        <f>IFERROR(INDEX(ТЕХ_Списки!$AF$2:$AF$71,MATCH($A20,ТЕХ_Списки!$D$2:$D$71,0)),0)</f>
        <v>0</v>
      </c>
      <c r="AF20" s="4">
        <f>IFERROR(INDEX(ТЕХ_Списки!$AG$2:$AG$71,MATCH($A20,ТЕХ_Списки!$D$2:$D$71,0)),0)</f>
        <v>0</v>
      </c>
      <c r="AG20" s="4">
        <f>IFERROR(INDEX(ТЕХ_Списки!$AH$2:$AH$71,MATCH($A20,ТЕХ_Списки!$D$2:$D$71,0)),0)</f>
        <v>0</v>
      </c>
      <c r="AH20" s="4">
        <f>IFERROR(INDEX(ТЕХ_Списки!$AI$2:$AI$71,MATCH($A20,ТЕХ_Списки!$D$2:$D$71,0)),0)</f>
        <v>0</v>
      </c>
      <c r="AI20" s="4">
        <f>IFERROR(INDEX(ТЕХ_Списки!$AJ$2:$AJ$71,MATCH($A20,ТЕХ_Списки!$D$2:$D$71,0)),0)</f>
        <v>0</v>
      </c>
      <c r="AJ20" s="4">
        <f>IFERROR(INDEX(ТЕХ_Списки!$AK$2:$AK$71,MATCH($A20,ТЕХ_Списки!$D$2:$D$71,0)),0)</f>
        <v>0</v>
      </c>
      <c r="AK20" s="4">
        <f>IFERROR(INDEX(ТЕХ_Списки!$AL$2:$AL$71,MATCH($A20,ТЕХ_Списки!$D$2:$D$71,0)),0)</f>
        <v>0</v>
      </c>
      <c r="AL20" s="4">
        <f>IFERROR(INDEX(ТЕХ_Списки!$AM$2:$AM$71,MATCH($A20,ТЕХ_Списки!$D$2:$D$71,0)),0)</f>
        <v>0</v>
      </c>
      <c r="AM20" s="4">
        <f>IFERROR(INDEX(ТЕХ_Списки!$AN$2:$AN$71,MATCH($A20,ТЕХ_Списки!$D$2:$D$71,0)),0)</f>
        <v>0</v>
      </c>
      <c r="AN20" s="4">
        <f>IFERROR(INDEX(ТЕХ_Списки!$AO$2:$AO$71,MATCH($A20,ТЕХ_Списки!$D$2:$D$71,0)),0)</f>
        <v>0</v>
      </c>
      <c r="AO20" s="4">
        <f>IFERROR(INDEX(ТЕХ_Списки!$AP$2:$AP$71,MATCH($A20,ТЕХ_Списки!$D$2:$D$71,0)),0)</f>
        <v>0</v>
      </c>
      <c r="AP20" s="4">
        <f>IFERROR(INDEX(ТЕХ_Списки!$AQ$2:$AQ$71,MATCH($A20,ТЕХ_Списки!$D$2:$D$71,0)),0)</f>
        <v>0</v>
      </c>
      <c r="AQ20" s="4">
        <f>IFERROR(INDEX(ТЕХ_Списки!$AR$2:$AR$71,MATCH($A20,ТЕХ_Списки!$D$2:$D$71,0)),0)</f>
        <v>0</v>
      </c>
      <c r="AR20" s="4">
        <f>IFERROR(INDEX(ТЕХ_Списки!$AS$2:$AS$71,MATCH($A20,ТЕХ_Списки!$D$2:$D$71,0)),0)</f>
        <v>0</v>
      </c>
      <c r="AS20" s="4">
        <f>IFERROR(INDEX(ТЕХ_Списки!$AT$2:$AT$71,MATCH($A20,ТЕХ_Списки!$D$2:$D$71,0)),0)</f>
        <v>0</v>
      </c>
      <c r="AT20" s="4">
        <f>IFERROR(INDEX(ТЕХ_Списки!$AU$2:$AU$71,MATCH($A20,ТЕХ_Списки!$D$2:$D$71,0)),0)</f>
        <v>0</v>
      </c>
      <c r="AU20" s="4">
        <f>IFERROR(INDEX(ТЕХ_Списки!$AV$2:$AV$71,MATCH($A20,ТЕХ_Списки!$D$2:$D$71,0)),0)</f>
        <v>0</v>
      </c>
      <c r="AV20" s="4">
        <f>IFERROR(INDEX(ТЕХ_Списки!$AW$2:$AW$71,MATCH($A20,ТЕХ_Списки!$D$2:$D$71,0)),0)</f>
        <v>0</v>
      </c>
    </row>
    <row r="21" spans="1:48">
      <c r="A21" s="4" t="str">
        <f>IF(OR('РЕЙД-КОНСТРУКТОР'!C25="",'РЕЙД-КОНСТРУКТОР'!D25=""),"",'РЕЙД-КОНСТРУКТОР'!C25&amp;"§"&amp;'РЕЙД-КОНСТРУКТОР'!D25)</f>
        <v/>
      </c>
      <c r="B21" s="4">
        <f>IF(A21="",0,IF('РЕЙД-КОНСТРУКТОР'!F25="",1,'РЕЙД-КОНСТРУКТОР'!F25))</f>
        <v>0</v>
      </c>
      <c r="C21" s="4" t="str">
        <f>'РЕЙД-КОНСТРУКТОР'!E25</f>
        <v/>
      </c>
      <c r="D21" s="4">
        <f>IFERROR(INDEX(ТЕХ_Списки!$E$2:$E$71,MATCH($A21,ТЕХ_Списки!$D$2:$D$71,0)),0)</f>
        <v>0</v>
      </c>
      <c r="E21" s="4">
        <f>IFERROR(INDEX(ТЕХ_Списки!$F$2:$F$71,MATCH($A21,ТЕХ_Списки!$D$2:$D$71,0)),0)</f>
        <v>0</v>
      </c>
      <c r="F21" s="4">
        <f>IFERROR(INDEX(ТЕХ_Списки!$G$2:$G$71,MATCH($A21,ТЕХ_Списки!$D$2:$D$71,0)),0)</f>
        <v>0</v>
      </c>
      <c r="G21" s="4">
        <f>IFERROR(INDEX(ТЕХ_Списки!$H$2:$H$71,MATCH($A21,ТЕХ_Списки!$D$2:$D$71,0)),0)</f>
        <v>0</v>
      </c>
      <c r="H21" s="4">
        <f>IFERROR(INDEX(ТЕХ_Списки!$I$2:$I$71,MATCH($A21,ТЕХ_Списки!$D$2:$D$71,0)),0)</f>
        <v>0</v>
      </c>
      <c r="I21" s="4">
        <f>IFERROR(INDEX(ТЕХ_Списки!$J$2:$J$71,MATCH($A21,ТЕХ_Списки!$D$2:$D$71,0)),0)</f>
        <v>0</v>
      </c>
      <c r="J21" s="4">
        <f>IFERROR(INDEX(ТЕХ_Списки!$K$2:$K$71,MATCH($A21,ТЕХ_Списки!$D$2:$D$71,0)),0)</f>
        <v>0</v>
      </c>
      <c r="K21" s="4">
        <f>IFERROR(INDEX(ТЕХ_Списки!$L$2:$L$71,MATCH($A21,ТЕХ_Списки!$D$2:$D$71,0)),0)</f>
        <v>0</v>
      </c>
      <c r="L21" s="4">
        <f>IFERROR(INDEX(ТЕХ_Списки!$M$2:$M$71,MATCH($A21,ТЕХ_Списки!$D$2:$D$71,0)),0)</f>
        <v>0</v>
      </c>
      <c r="M21" s="4">
        <f>IFERROR(INDEX(ТЕХ_Списки!$N$2:$N$71,MATCH($A21,ТЕХ_Списки!$D$2:$D$71,0)),0)</f>
        <v>0</v>
      </c>
      <c r="N21" s="4">
        <f>IFERROR(INDEX(ТЕХ_Списки!$O$2:$O$71,MATCH($A21,ТЕХ_Списки!$D$2:$D$71,0)),0)</f>
        <v>0</v>
      </c>
      <c r="O21" s="4">
        <f>IFERROR(INDEX(ТЕХ_Списки!$P$2:$P$71,MATCH($A21,ТЕХ_Списки!$D$2:$D$71,0)),0)</f>
        <v>0</v>
      </c>
      <c r="P21" s="4">
        <f>IFERROR(INDEX(ТЕХ_Списки!$Q$2:$Q$71,MATCH($A21,ТЕХ_Списки!$D$2:$D$71,0)),0)</f>
        <v>0</v>
      </c>
      <c r="Q21" s="4">
        <f>IFERROR(INDEX(ТЕХ_Списки!$R$2:$R$71,MATCH($A21,ТЕХ_Списки!$D$2:$D$71,0)),0)</f>
        <v>0</v>
      </c>
      <c r="R21" s="4">
        <f>IFERROR(INDEX(ТЕХ_Списки!$S$2:$S$71,MATCH($A21,ТЕХ_Списки!$D$2:$D$71,0)),0)</f>
        <v>0</v>
      </c>
      <c r="S21" s="4">
        <f>IFERROR(INDEX(ТЕХ_Списки!$T$2:$T$71,MATCH($A21,ТЕХ_Списки!$D$2:$D$71,0)),0)</f>
        <v>0</v>
      </c>
      <c r="T21" s="4">
        <f>IFERROR(INDEX(ТЕХ_Списки!$U$2:$U$71,MATCH($A21,ТЕХ_Списки!$D$2:$D$71,0)),0)</f>
        <v>0</v>
      </c>
      <c r="U21" s="4">
        <f>IFERROR(INDEX(ТЕХ_Списки!$V$2:$V$71,MATCH($A21,ТЕХ_Списки!$D$2:$D$71,0)),0)</f>
        <v>0</v>
      </c>
      <c r="V21" s="4">
        <f>IFERROR(INDEX(ТЕХ_Списки!$W$2:$W$71,MATCH($A21,ТЕХ_Списки!$D$2:$D$71,0)),0)</f>
        <v>0</v>
      </c>
      <c r="W21" s="4">
        <f>IFERROR(INDEX(ТЕХ_Списки!$X$2:$X$71,MATCH($A21,ТЕХ_Списки!$D$2:$D$71,0)),0)</f>
        <v>0</v>
      </c>
      <c r="X21" s="4">
        <f>IFERROR(INDEX(ТЕХ_Списки!$Y$2:$Y$71,MATCH($A21,ТЕХ_Списки!$D$2:$D$71,0)),0)</f>
        <v>0</v>
      </c>
      <c r="Y21" s="4">
        <f>IFERROR(INDEX(ТЕХ_Списки!$Z$2:$Z$71,MATCH($A21,ТЕХ_Списки!$D$2:$D$71,0)),0)</f>
        <v>0</v>
      </c>
      <c r="Z21" s="4">
        <f>IFERROR(INDEX(ТЕХ_Списки!$AA$2:$AA$71,MATCH($A21,ТЕХ_Списки!$D$2:$D$71,0)),0)</f>
        <v>0</v>
      </c>
      <c r="AA21" s="4">
        <f>IFERROR(INDEX(ТЕХ_Списки!$AB$2:$AB$71,MATCH($A21,ТЕХ_Списки!$D$2:$D$71,0)),0)</f>
        <v>0</v>
      </c>
      <c r="AB21" s="4">
        <f>IFERROR(INDEX(ТЕХ_Списки!$AC$2:$AC$71,MATCH($A21,ТЕХ_Списки!$D$2:$D$71,0)),0)</f>
        <v>0</v>
      </c>
      <c r="AC21" s="4">
        <f>IFERROR(INDEX(ТЕХ_Списки!$AD$2:$AD$71,MATCH($A21,ТЕХ_Списки!$D$2:$D$71,0)),0)</f>
        <v>0</v>
      </c>
      <c r="AD21" s="4">
        <f>IFERROR(INDEX(ТЕХ_Списки!$AE$2:$AE$71,MATCH($A21,ТЕХ_Списки!$D$2:$D$71,0)),0)</f>
        <v>0</v>
      </c>
      <c r="AE21" s="4">
        <f>IFERROR(INDEX(ТЕХ_Списки!$AF$2:$AF$71,MATCH($A21,ТЕХ_Списки!$D$2:$D$71,0)),0)</f>
        <v>0</v>
      </c>
      <c r="AF21" s="4">
        <f>IFERROR(INDEX(ТЕХ_Списки!$AG$2:$AG$71,MATCH($A21,ТЕХ_Списки!$D$2:$D$71,0)),0)</f>
        <v>0</v>
      </c>
      <c r="AG21" s="4">
        <f>IFERROR(INDEX(ТЕХ_Списки!$AH$2:$AH$71,MATCH($A21,ТЕХ_Списки!$D$2:$D$71,0)),0)</f>
        <v>0</v>
      </c>
      <c r="AH21" s="4">
        <f>IFERROR(INDEX(ТЕХ_Списки!$AI$2:$AI$71,MATCH($A21,ТЕХ_Списки!$D$2:$D$71,0)),0)</f>
        <v>0</v>
      </c>
      <c r="AI21" s="4">
        <f>IFERROR(INDEX(ТЕХ_Списки!$AJ$2:$AJ$71,MATCH($A21,ТЕХ_Списки!$D$2:$D$71,0)),0)</f>
        <v>0</v>
      </c>
      <c r="AJ21" s="4">
        <f>IFERROR(INDEX(ТЕХ_Списки!$AK$2:$AK$71,MATCH($A21,ТЕХ_Списки!$D$2:$D$71,0)),0)</f>
        <v>0</v>
      </c>
      <c r="AK21" s="4">
        <f>IFERROR(INDEX(ТЕХ_Списки!$AL$2:$AL$71,MATCH($A21,ТЕХ_Списки!$D$2:$D$71,0)),0)</f>
        <v>0</v>
      </c>
      <c r="AL21" s="4">
        <f>IFERROR(INDEX(ТЕХ_Списки!$AM$2:$AM$71,MATCH($A21,ТЕХ_Списки!$D$2:$D$71,0)),0)</f>
        <v>0</v>
      </c>
      <c r="AM21" s="4">
        <f>IFERROR(INDEX(ТЕХ_Списки!$AN$2:$AN$71,MATCH($A21,ТЕХ_Списки!$D$2:$D$71,0)),0)</f>
        <v>0</v>
      </c>
      <c r="AN21" s="4">
        <f>IFERROR(INDEX(ТЕХ_Списки!$AO$2:$AO$71,MATCH($A21,ТЕХ_Списки!$D$2:$D$71,0)),0)</f>
        <v>0</v>
      </c>
      <c r="AO21" s="4">
        <f>IFERROR(INDEX(ТЕХ_Списки!$AP$2:$AP$71,MATCH($A21,ТЕХ_Списки!$D$2:$D$71,0)),0)</f>
        <v>0</v>
      </c>
      <c r="AP21" s="4">
        <f>IFERROR(INDEX(ТЕХ_Списки!$AQ$2:$AQ$71,MATCH($A21,ТЕХ_Списки!$D$2:$D$71,0)),0)</f>
        <v>0</v>
      </c>
      <c r="AQ21" s="4">
        <f>IFERROR(INDEX(ТЕХ_Списки!$AR$2:$AR$71,MATCH($A21,ТЕХ_Списки!$D$2:$D$71,0)),0)</f>
        <v>0</v>
      </c>
      <c r="AR21" s="4">
        <f>IFERROR(INDEX(ТЕХ_Списки!$AS$2:$AS$71,MATCH($A21,ТЕХ_Списки!$D$2:$D$71,0)),0)</f>
        <v>0</v>
      </c>
      <c r="AS21" s="4">
        <f>IFERROR(INDEX(ТЕХ_Списки!$AT$2:$AT$71,MATCH($A21,ТЕХ_Списки!$D$2:$D$71,0)),0)</f>
        <v>0</v>
      </c>
      <c r="AT21" s="4">
        <f>IFERROR(INDEX(ТЕХ_Списки!$AU$2:$AU$71,MATCH($A21,ТЕХ_Списки!$D$2:$D$71,0)),0)</f>
        <v>0</v>
      </c>
      <c r="AU21" s="4">
        <f>IFERROR(INDEX(ТЕХ_Списки!$AV$2:$AV$71,MATCH($A21,ТЕХ_Списки!$D$2:$D$71,0)),0)</f>
        <v>0</v>
      </c>
      <c r="AV21" s="4">
        <f>IFERROR(INDEX(ТЕХ_Списки!$AW$2:$AW$71,MATCH($A21,ТЕХ_Списки!$D$2:$D$71,0)),0)</f>
        <v>0</v>
      </c>
    </row>
    <row r="22" spans="1:48">
      <c r="A22" s="4" t="str">
        <f>IF(OR('РЕЙД-КОНСТРУКТОР'!C26="",'РЕЙД-КОНСТРУКТОР'!D26=""),"",'РЕЙД-КОНСТРУКТОР'!C26&amp;"§"&amp;'РЕЙД-КОНСТРУКТОР'!D26)</f>
        <v/>
      </c>
      <c r="B22" s="4">
        <f>IF(A22="",0,IF('РЕЙД-КОНСТРУКТОР'!F26="",1,'РЕЙД-КОНСТРУКТОР'!F26))</f>
        <v>0</v>
      </c>
      <c r="C22" s="4" t="str">
        <f>'РЕЙД-КОНСТРУКТОР'!E26</f>
        <v/>
      </c>
      <c r="D22" s="4">
        <f>IFERROR(INDEX(ТЕХ_Списки!$E$2:$E$71,MATCH($A22,ТЕХ_Списки!$D$2:$D$71,0)),0)</f>
        <v>0</v>
      </c>
      <c r="E22" s="4">
        <f>IFERROR(INDEX(ТЕХ_Списки!$F$2:$F$71,MATCH($A22,ТЕХ_Списки!$D$2:$D$71,0)),0)</f>
        <v>0</v>
      </c>
      <c r="F22" s="4">
        <f>IFERROR(INDEX(ТЕХ_Списки!$G$2:$G$71,MATCH($A22,ТЕХ_Списки!$D$2:$D$71,0)),0)</f>
        <v>0</v>
      </c>
      <c r="G22" s="4">
        <f>IFERROR(INDEX(ТЕХ_Списки!$H$2:$H$71,MATCH($A22,ТЕХ_Списки!$D$2:$D$71,0)),0)</f>
        <v>0</v>
      </c>
      <c r="H22" s="4">
        <f>IFERROR(INDEX(ТЕХ_Списки!$I$2:$I$71,MATCH($A22,ТЕХ_Списки!$D$2:$D$71,0)),0)</f>
        <v>0</v>
      </c>
      <c r="I22" s="4">
        <f>IFERROR(INDEX(ТЕХ_Списки!$J$2:$J$71,MATCH($A22,ТЕХ_Списки!$D$2:$D$71,0)),0)</f>
        <v>0</v>
      </c>
      <c r="J22" s="4">
        <f>IFERROR(INDEX(ТЕХ_Списки!$K$2:$K$71,MATCH($A22,ТЕХ_Списки!$D$2:$D$71,0)),0)</f>
        <v>0</v>
      </c>
      <c r="K22" s="4">
        <f>IFERROR(INDEX(ТЕХ_Списки!$L$2:$L$71,MATCH($A22,ТЕХ_Списки!$D$2:$D$71,0)),0)</f>
        <v>0</v>
      </c>
      <c r="L22" s="4">
        <f>IFERROR(INDEX(ТЕХ_Списки!$M$2:$M$71,MATCH($A22,ТЕХ_Списки!$D$2:$D$71,0)),0)</f>
        <v>0</v>
      </c>
      <c r="M22" s="4">
        <f>IFERROR(INDEX(ТЕХ_Списки!$N$2:$N$71,MATCH($A22,ТЕХ_Списки!$D$2:$D$71,0)),0)</f>
        <v>0</v>
      </c>
      <c r="N22" s="4">
        <f>IFERROR(INDEX(ТЕХ_Списки!$O$2:$O$71,MATCH($A22,ТЕХ_Списки!$D$2:$D$71,0)),0)</f>
        <v>0</v>
      </c>
      <c r="O22" s="4">
        <f>IFERROR(INDEX(ТЕХ_Списки!$P$2:$P$71,MATCH($A22,ТЕХ_Списки!$D$2:$D$71,0)),0)</f>
        <v>0</v>
      </c>
      <c r="P22" s="4">
        <f>IFERROR(INDEX(ТЕХ_Списки!$Q$2:$Q$71,MATCH($A22,ТЕХ_Списки!$D$2:$D$71,0)),0)</f>
        <v>0</v>
      </c>
      <c r="Q22" s="4">
        <f>IFERROR(INDEX(ТЕХ_Списки!$R$2:$R$71,MATCH($A22,ТЕХ_Списки!$D$2:$D$71,0)),0)</f>
        <v>0</v>
      </c>
      <c r="R22" s="4">
        <f>IFERROR(INDEX(ТЕХ_Списки!$S$2:$S$71,MATCH($A22,ТЕХ_Списки!$D$2:$D$71,0)),0)</f>
        <v>0</v>
      </c>
      <c r="S22" s="4">
        <f>IFERROR(INDEX(ТЕХ_Списки!$T$2:$T$71,MATCH($A22,ТЕХ_Списки!$D$2:$D$71,0)),0)</f>
        <v>0</v>
      </c>
      <c r="T22" s="4">
        <f>IFERROR(INDEX(ТЕХ_Списки!$U$2:$U$71,MATCH($A22,ТЕХ_Списки!$D$2:$D$71,0)),0)</f>
        <v>0</v>
      </c>
      <c r="U22" s="4">
        <f>IFERROR(INDEX(ТЕХ_Списки!$V$2:$V$71,MATCH($A22,ТЕХ_Списки!$D$2:$D$71,0)),0)</f>
        <v>0</v>
      </c>
      <c r="V22" s="4">
        <f>IFERROR(INDEX(ТЕХ_Списки!$W$2:$W$71,MATCH($A22,ТЕХ_Списки!$D$2:$D$71,0)),0)</f>
        <v>0</v>
      </c>
      <c r="W22" s="4">
        <f>IFERROR(INDEX(ТЕХ_Списки!$X$2:$X$71,MATCH($A22,ТЕХ_Списки!$D$2:$D$71,0)),0)</f>
        <v>0</v>
      </c>
      <c r="X22" s="4">
        <f>IFERROR(INDEX(ТЕХ_Списки!$Y$2:$Y$71,MATCH($A22,ТЕХ_Списки!$D$2:$D$71,0)),0)</f>
        <v>0</v>
      </c>
      <c r="Y22" s="4">
        <f>IFERROR(INDEX(ТЕХ_Списки!$Z$2:$Z$71,MATCH($A22,ТЕХ_Списки!$D$2:$D$71,0)),0)</f>
        <v>0</v>
      </c>
      <c r="Z22" s="4">
        <f>IFERROR(INDEX(ТЕХ_Списки!$AA$2:$AA$71,MATCH($A22,ТЕХ_Списки!$D$2:$D$71,0)),0)</f>
        <v>0</v>
      </c>
      <c r="AA22" s="4">
        <f>IFERROR(INDEX(ТЕХ_Списки!$AB$2:$AB$71,MATCH($A22,ТЕХ_Списки!$D$2:$D$71,0)),0)</f>
        <v>0</v>
      </c>
      <c r="AB22" s="4">
        <f>IFERROR(INDEX(ТЕХ_Списки!$AC$2:$AC$71,MATCH($A22,ТЕХ_Списки!$D$2:$D$71,0)),0)</f>
        <v>0</v>
      </c>
      <c r="AC22" s="4">
        <f>IFERROR(INDEX(ТЕХ_Списки!$AD$2:$AD$71,MATCH($A22,ТЕХ_Списки!$D$2:$D$71,0)),0)</f>
        <v>0</v>
      </c>
      <c r="AD22" s="4">
        <f>IFERROR(INDEX(ТЕХ_Списки!$AE$2:$AE$71,MATCH($A22,ТЕХ_Списки!$D$2:$D$71,0)),0)</f>
        <v>0</v>
      </c>
      <c r="AE22" s="4">
        <f>IFERROR(INDEX(ТЕХ_Списки!$AF$2:$AF$71,MATCH($A22,ТЕХ_Списки!$D$2:$D$71,0)),0)</f>
        <v>0</v>
      </c>
      <c r="AF22" s="4">
        <f>IFERROR(INDEX(ТЕХ_Списки!$AG$2:$AG$71,MATCH($A22,ТЕХ_Списки!$D$2:$D$71,0)),0)</f>
        <v>0</v>
      </c>
      <c r="AG22" s="4">
        <f>IFERROR(INDEX(ТЕХ_Списки!$AH$2:$AH$71,MATCH($A22,ТЕХ_Списки!$D$2:$D$71,0)),0)</f>
        <v>0</v>
      </c>
      <c r="AH22" s="4">
        <f>IFERROR(INDEX(ТЕХ_Списки!$AI$2:$AI$71,MATCH($A22,ТЕХ_Списки!$D$2:$D$71,0)),0)</f>
        <v>0</v>
      </c>
      <c r="AI22" s="4">
        <f>IFERROR(INDEX(ТЕХ_Списки!$AJ$2:$AJ$71,MATCH($A22,ТЕХ_Списки!$D$2:$D$71,0)),0)</f>
        <v>0</v>
      </c>
      <c r="AJ22" s="4">
        <f>IFERROR(INDEX(ТЕХ_Списки!$AK$2:$AK$71,MATCH($A22,ТЕХ_Списки!$D$2:$D$71,0)),0)</f>
        <v>0</v>
      </c>
      <c r="AK22" s="4">
        <f>IFERROR(INDEX(ТЕХ_Списки!$AL$2:$AL$71,MATCH($A22,ТЕХ_Списки!$D$2:$D$71,0)),0)</f>
        <v>0</v>
      </c>
      <c r="AL22" s="4">
        <f>IFERROR(INDEX(ТЕХ_Списки!$AM$2:$AM$71,MATCH($A22,ТЕХ_Списки!$D$2:$D$71,0)),0)</f>
        <v>0</v>
      </c>
      <c r="AM22" s="4">
        <f>IFERROR(INDEX(ТЕХ_Списки!$AN$2:$AN$71,MATCH($A22,ТЕХ_Списки!$D$2:$D$71,0)),0)</f>
        <v>0</v>
      </c>
      <c r="AN22" s="4">
        <f>IFERROR(INDEX(ТЕХ_Списки!$AO$2:$AO$71,MATCH($A22,ТЕХ_Списки!$D$2:$D$71,0)),0)</f>
        <v>0</v>
      </c>
      <c r="AO22" s="4">
        <f>IFERROR(INDEX(ТЕХ_Списки!$AP$2:$AP$71,MATCH($A22,ТЕХ_Списки!$D$2:$D$71,0)),0)</f>
        <v>0</v>
      </c>
      <c r="AP22" s="4">
        <f>IFERROR(INDEX(ТЕХ_Списки!$AQ$2:$AQ$71,MATCH($A22,ТЕХ_Списки!$D$2:$D$71,0)),0)</f>
        <v>0</v>
      </c>
      <c r="AQ22" s="4">
        <f>IFERROR(INDEX(ТЕХ_Списки!$AR$2:$AR$71,MATCH($A22,ТЕХ_Списки!$D$2:$D$71,0)),0)</f>
        <v>0</v>
      </c>
      <c r="AR22" s="4">
        <f>IFERROR(INDEX(ТЕХ_Списки!$AS$2:$AS$71,MATCH($A22,ТЕХ_Списки!$D$2:$D$71,0)),0)</f>
        <v>0</v>
      </c>
      <c r="AS22" s="4">
        <f>IFERROR(INDEX(ТЕХ_Списки!$AT$2:$AT$71,MATCH($A22,ТЕХ_Списки!$D$2:$D$71,0)),0)</f>
        <v>0</v>
      </c>
      <c r="AT22" s="4">
        <f>IFERROR(INDEX(ТЕХ_Списки!$AU$2:$AU$71,MATCH($A22,ТЕХ_Списки!$D$2:$D$71,0)),0)</f>
        <v>0</v>
      </c>
      <c r="AU22" s="4">
        <f>IFERROR(INDEX(ТЕХ_Списки!$AV$2:$AV$71,MATCH($A22,ТЕХ_Списки!$D$2:$D$71,0)),0)</f>
        <v>0</v>
      </c>
      <c r="AV22" s="4">
        <f>IFERROR(INDEX(ТЕХ_Списки!$AW$2:$AW$71,MATCH($A22,ТЕХ_Списки!$D$2:$D$71,0)),0)</f>
        <v>0</v>
      </c>
    </row>
    <row r="23" spans="1:48">
      <c r="A23" s="4" t="str">
        <f>IF(OR('РЕЙД-КОНСТРУКТОР'!C27="",'РЕЙД-КОНСТРУКТОР'!D27=""),"",'РЕЙД-КОНСТРУКТОР'!C27&amp;"§"&amp;'РЕЙД-КОНСТРУКТОР'!D27)</f>
        <v/>
      </c>
      <c r="B23" s="4">
        <f>IF(A23="",0,IF('РЕЙД-КОНСТРУКТОР'!F27="",1,'РЕЙД-КОНСТРУКТОР'!F27))</f>
        <v>0</v>
      </c>
      <c r="C23" s="4" t="str">
        <f>'РЕЙД-КОНСТРУКТОР'!E27</f>
        <v/>
      </c>
      <c r="D23" s="4">
        <f>IFERROR(INDEX(ТЕХ_Списки!$E$2:$E$71,MATCH($A23,ТЕХ_Списки!$D$2:$D$71,0)),0)</f>
        <v>0</v>
      </c>
      <c r="E23" s="4">
        <f>IFERROR(INDEX(ТЕХ_Списки!$F$2:$F$71,MATCH($A23,ТЕХ_Списки!$D$2:$D$71,0)),0)</f>
        <v>0</v>
      </c>
      <c r="F23" s="4">
        <f>IFERROR(INDEX(ТЕХ_Списки!$G$2:$G$71,MATCH($A23,ТЕХ_Списки!$D$2:$D$71,0)),0)</f>
        <v>0</v>
      </c>
      <c r="G23" s="4">
        <f>IFERROR(INDEX(ТЕХ_Списки!$H$2:$H$71,MATCH($A23,ТЕХ_Списки!$D$2:$D$71,0)),0)</f>
        <v>0</v>
      </c>
      <c r="H23" s="4">
        <f>IFERROR(INDEX(ТЕХ_Списки!$I$2:$I$71,MATCH($A23,ТЕХ_Списки!$D$2:$D$71,0)),0)</f>
        <v>0</v>
      </c>
      <c r="I23" s="4">
        <f>IFERROR(INDEX(ТЕХ_Списки!$J$2:$J$71,MATCH($A23,ТЕХ_Списки!$D$2:$D$71,0)),0)</f>
        <v>0</v>
      </c>
      <c r="J23" s="4">
        <f>IFERROR(INDEX(ТЕХ_Списки!$K$2:$K$71,MATCH($A23,ТЕХ_Списки!$D$2:$D$71,0)),0)</f>
        <v>0</v>
      </c>
      <c r="K23" s="4">
        <f>IFERROR(INDEX(ТЕХ_Списки!$L$2:$L$71,MATCH($A23,ТЕХ_Списки!$D$2:$D$71,0)),0)</f>
        <v>0</v>
      </c>
      <c r="L23" s="4">
        <f>IFERROR(INDEX(ТЕХ_Списки!$M$2:$M$71,MATCH($A23,ТЕХ_Списки!$D$2:$D$71,0)),0)</f>
        <v>0</v>
      </c>
      <c r="M23" s="4">
        <f>IFERROR(INDEX(ТЕХ_Списки!$N$2:$N$71,MATCH($A23,ТЕХ_Списки!$D$2:$D$71,0)),0)</f>
        <v>0</v>
      </c>
      <c r="N23" s="4">
        <f>IFERROR(INDEX(ТЕХ_Списки!$O$2:$O$71,MATCH($A23,ТЕХ_Списки!$D$2:$D$71,0)),0)</f>
        <v>0</v>
      </c>
      <c r="O23" s="4">
        <f>IFERROR(INDEX(ТЕХ_Списки!$P$2:$P$71,MATCH($A23,ТЕХ_Списки!$D$2:$D$71,0)),0)</f>
        <v>0</v>
      </c>
      <c r="P23" s="4">
        <f>IFERROR(INDEX(ТЕХ_Списки!$Q$2:$Q$71,MATCH($A23,ТЕХ_Списки!$D$2:$D$71,0)),0)</f>
        <v>0</v>
      </c>
      <c r="Q23" s="4">
        <f>IFERROR(INDEX(ТЕХ_Списки!$R$2:$R$71,MATCH($A23,ТЕХ_Списки!$D$2:$D$71,0)),0)</f>
        <v>0</v>
      </c>
      <c r="R23" s="4">
        <f>IFERROR(INDEX(ТЕХ_Списки!$S$2:$S$71,MATCH($A23,ТЕХ_Списки!$D$2:$D$71,0)),0)</f>
        <v>0</v>
      </c>
      <c r="S23" s="4">
        <f>IFERROR(INDEX(ТЕХ_Списки!$T$2:$T$71,MATCH($A23,ТЕХ_Списки!$D$2:$D$71,0)),0)</f>
        <v>0</v>
      </c>
      <c r="T23" s="4">
        <f>IFERROR(INDEX(ТЕХ_Списки!$U$2:$U$71,MATCH($A23,ТЕХ_Списки!$D$2:$D$71,0)),0)</f>
        <v>0</v>
      </c>
      <c r="U23" s="4">
        <f>IFERROR(INDEX(ТЕХ_Списки!$V$2:$V$71,MATCH($A23,ТЕХ_Списки!$D$2:$D$71,0)),0)</f>
        <v>0</v>
      </c>
      <c r="V23" s="4">
        <f>IFERROR(INDEX(ТЕХ_Списки!$W$2:$W$71,MATCH($A23,ТЕХ_Списки!$D$2:$D$71,0)),0)</f>
        <v>0</v>
      </c>
      <c r="W23" s="4">
        <f>IFERROR(INDEX(ТЕХ_Списки!$X$2:$X$71,MATCH($A23,ТЕХ_Списки!$D$2:$D$71,0)),0)</f>
        <v>0</v>
      </c>
      <c r="X23" s="4">
        <f>IFERROR(INDEX(ТЕХ_Списки!$Y$2:$Y$71,MATCH($A23,ТЕХ_Списки!$D$2:$D$71,0)),0)</f>
        <v>0</v>
      </c>
      <c r="Y23" s="4">
        <f>IFERROR(INDEX(ТЕХ_Списки!$Z$2:$Z$71,MATCH($A23,ТЕХ_Списки!$D$2:$D$71,0)),0)</f>
        <v>0</v>
      </c>
      <c r="Z23" s="4">
        <f>IFERROR(INDEX(ТЕХ_Списки!$AA$2:$AA$71,MATCH($A23,ТЕХ_Списки!$D$2:$D$71,0)),0)</f>
        <v>0</v>
      </c>
      <c r="AA23" s="4">
        <f>IFERROR(INDEX(ТЕХ_Списки!$AB$2:$AB$71,MATCH($A23,ТЕХ_Списки!$D$2:$D$71,0)),0)</f>
        <v>0</v>
      </c>
      <c r="AB23" s="4">
        <f>IFERROR(INDEX(ТЕХ_Списки!$AC$2:$AC$71,MATCH($A23,ТЕХ_Списки!$D$2:$D$71,0)),0)</f>
        <v>0</v>
      </c>
      <c r="AC23" s="4">
        <f>IFERROR(INDEX(ТЕХ_Списки!$AD$2:$AD$71,MATCH($A23,ТЕХ_Списки!$D$2:$D$71,0)),0)</f>
        <v>0</v>
      </c>
      <c r="AD23" s="4">
        <f>IFERROR(INDEX(ТЕХ_Списки!$AE$2:$AE$71,MATCH($A23,ТЕХ_Списки!$D$2:$D$71,0)),0)</f>
        <v>0</v>
      </c>
      <c r="AE23" s="4">
        <f>IFERROR(INDEX(ТЕХ_Списки!$AF$2:$AF$71,MATCH($A23,ТЕХ_Списки!$D$2:$D$71,0)),0)</f>
        <v>0</v>
      </c>
      <c r="AF23" s="4">
        <f>IFERROR(INDEX(ТЕХ_Списки!$AG$2:$AG$71,MATCH($A23,ТЕХ_Списки!$D$2:$D$71,0)),0)</f>
        <v>0</v>
      </c>
      <c r="AG23" s="4">
        <f>IFERROR(INDEX(ТЕХ_Списки!$AH$2:$AH$71,MATCH($A23,ТЕХ_Списки!$D$2:$D$71,0)),0)</f>
        <v>0</v>
      </c>
      <c r="AH23" s="4">
        <f>IFERROR(INDEX(ТЕХ_Списки!$AI$2:$AI$71,MATCH($A23,ТЕХ_Списки!$D$2:$D$71,0)),0)</f>
        <v>0</v>
      </c>
      <c r="AI23" s="4">
        <f>IFERROR(INDEX(ТЕХ_Списки!$AJ$2:$AJ$71,MATCH($A23,ТЕХ_Списки!$D$2:$D$71,0)),0)</f>
        <v>0</v>
      </c>
      <c r="AJ23" s="4">
        <f>IFERROR(INDEX(ТЕХ_Списки!$AK$2:$AK$71,MATCH($A23,ТЕХ_Списки!$D$2:$D$71,0)),0)</f>
        <v>0</v>
      </c>
      <c r="AK23" s="4">
        <f>IFERROR(INDEX(ТЕХ_Списки!$AL$2:$AL$71,MATCH($A23,ТЕХ_Списки!$D$2:$D$71,0)),0)</f>
        <v>0</v>
      </c>
      <c r="AL23" s="4">
        <f>IFERROR(INDEX(ТЕХ_Списки!$AM$2:$AM$71,MATCH($A23,ТЕХ_Списки!$D$2:$D$71,0)),0)</f>
        <v>0</v>
      </c>
      <c r="AM23" s="4">
        <f>IFERROR(INDEX(ТЕХ_Списки!$AN$2:$AN$71,MATCH($A23,ТЕХ_Списки!$D$2:$D$71,0)),0)</f>
        <v>0</v>
      </c>
      <c r="AN23" s="4">
        <f>IFERROR(INDEX(ТЕХ_Списки!$AO$2:$AO$71,MATCH($A23,ТЕХ_Списки!$D$2:$D$71,0)),0)</f>
        <v>0</v>
      </c>
      <c r="AO23" s="4">
        <f>IFERROR(INDEX(ТЕХ_Списки!$AP$2:$AP$71,MATCH($A23,ТЕХ_Списки!$D$2:$D$71,0)),0)</f>
        <v>0</v>
      </c>
      <c r="AP23" s="4">
        <f>IFERROR(INDEX(ТЕХ_Списки!$AQ$2:$AQ$71,MATCH($A23,ТЕХ_Списки!$D$2:$D$71,0)),0)</f>
        <v>0</v>
      </c>
      <c r="AQ23" s="4">
        <f>IFERROR(INDEX(ТЕХ_Списки!$AR$2:$AR$71,MATCH($A23,ТЕХ_Списки!$D$2:$D$71,0)),0)</f>
        <v>0</v>
      </c>
      <c r="AR23" s="4">
        <f>IFERROR(INDEX(ТЕХ_Списки!$AS$2:$AS$71,MATCH($A23,ТЕХ_Списки!$D$2:$D$71,0)),0)</f>
        <v>0</v>
      </c>
      <c r="AS23" s="4">
        <f>IFERROR(INDEX(ТЕХ_Списки!$AT$2:$AT$71,MATCH($A23,ТЕХ_Списки!$D$2:$D$71,0)),0)</f>
        <v>0</v>
      </c>
      <c r="AT23" s="4">
        <f>IFERROR(INDEX(ТЕХ_Списки!$AU$2:$AU$71,MATCH($A23,ТЕХ_Списки!$D$2:$D$71,0)),0)</f>
        <v>0</v>
      </c>
      <c r="AU23" s="4">
        <f>IFERROR(INDEX(ТЕХ_Списки!$AV$2:$AV$71,MATCH($A23,ТЕХ_Списки!$D$2:$D$71,0)),0)</f>
        <v>0</v>
      </c>
      <c r="AV23" s="4">
        <f>IFERROR(INDEX(ТЕХ_Списки!$AW$2:$AW$71,MATCH($A23,ТЕХ_Списки!$D$2:$D$71,0)),0)</f>
        <v>0</v>
      </c>
    </row>
    <row r="24" spans="1:48">
      <c r="A24" s="4" t="str">
        <f>IF(OR('РЕЙД-КОНСТРУКТОР'!C28="",'РЕЙД-КОНСТРУКТОР'!D28=""),"",'РЕЙД-КОНСТРУКТОР'!C28&amp;"§"&amp;'РЕЙД-КОНСТРУКТОР'!D28)</f>
        <v/>
      </c>
      <c r="B24" s="4">
        <f>IF(A24="",0,IF('РЕЙД-КОНСТРУКТОР'!F28="",1,'РЕЙД-КОНСТРУКТОР'!F28))</f>
        <v>0</v>
      </c>
      <c r="C24" s="4" t="str">
        <f>'РЕЙД-КОНСТРУКТОР'!E28</f>
        <v/>
      </c>
      <c r="D24" s="4">
        <f>IFERROR(INDEX(ТЕХ_Списки!$E$2:$E$71,MATCH($A24,ТЕХ_Списки!$D$2:$D$71,0)),0)</f>
        <v>0</v>
      </c>
      <c r="E24" s="4">
        <f>IFERROR(INDEX(ТЕХ_Списки!$F$2:$F$71,MATCH($A24,ТЕХ_Списки!$D$2:$D$71,0)),0)</f>
        <v>0</v>
      </c>
      <c r="F24" s="4">
        <f>IFERROR(INDEX(ТЕХ_Списки!$G$2:$G$71,MATCH($A24,ТЕХ_Списки!$D$2:$D$71,0)),0)</f>
        <v>0</v>
      </c>
      <c r="G24" s="4">
        <f>IFERROR(INDEX(ТЕХ_Списки!$H$2:$H$71,MATCH($A24,ТЕХ_Списки!$D$2:$D$71,0)),0)</f>
        <v>0</v>
      </c>
      <c r="H24" s="4">
        <f>IFERROR(INDEX(ТЕХ_Списки!$I$2:$I$71,MATCH($A24,ТЕХ_Списки!$D$2:$D$71,0)),0)</f>
        <v>0</v>
      </c>
      <c r="I24" s="4">
        <f>IFERROR(INDEX(ТЕХ_Списки!$J$2:$J$71,MATCH($A24,ТЕХ_Списки!$D$2:$D$71,0)),0)</f>
        <v>0</v>
      </c>
      <c r="J24" s="4">
        <f>IFERROR(INDEX(ТЕХ_Списки!$K$2:$K$71,MATCH($A24,ТЕХ_Списки!$D$2:$D$71,0)),0)</f>
        <v>0</v>
      </c>
      <c r="K24" s="4">
        <f>IFERROR(INDEX(ТЕХ_Списки!$L$2:$L$71,MATCH($A24,ТЕХ_Списки!$D$2:$D$71,0)),0)</f>
        <v>0</v>
      </c>
      <c r="L24" s="4">
        <f>IFERROR(INDEX(ТЕХ_Списки!$M$2:$M$71,MATCH($A24,ТЕХ_Списки!$D$2:$D$71,0)),0)</f>
        <v>0</v>
      </c>
      <c r="M24" s="4">
        <f>IFERROR(INDEX(ТЕХ_Списки!$N$2:$N$71,MATCH($A24,ТЕХ_Списки!$D$2:$D$71,0)),0)</f>
        <v>0</v>
      </c>
      <c r="N24" s="4">
        <f>IFERROR(INDEX(ТЕХ_Списки!$O$2:$O$71,MATCH($A24,ТЕХ_Списки!$D$2:$D$71,0)),0)</f>
        <v>0</v>
      </c>
      <c r="O24" s="4">
        <f>IFERROR(INDEX(ТЕХ_Списки!$P$2:$P$71,MATCH($A24,ТЕХ_Списки!$D$2:$D$71,0)),0)</f>
        <v>0</v>
      </c>
      <c r="P24" s="4">
        <f>IFERROR(INDEX(ТЕХ_Списки!$Q$2:$Q$71,MATCH($A24,ТЕХ_Списки!$D$2:$D$71,0)),0)</f>
        <v>0</v>
      </c>
      <c r="Q24" s="4">
        <f>IFERROR(INDEX(ТЕХ_Списки!$R$2:$R$71,MATCH($A24,ТЕХ_Списки!$D$2:$D$71,0)),0)</f>
        <v>0</v>
      </c>
      <c r="R24" s="4">
        <f>IFERROR(INDEX(ТЕХ_Списки!$S$2:$S$71,MATCH($A24,ТЕХ_Списки!$D$2:$D$71,0)),0)</f>
        <v>0</v>
      </c>
      <c r="S24" s="4">
        <f>IFERROR(INDEX(ТЕХ_Списки!$T$2:$T$71,MATCH($A24,ТЕХ_Списки!$D$2:$D$71,0)),0)</f>
        <v>0</v>
      </c>
      <c r="T24" s="4">
        <f>IFERROR(INDEX(ТЕХ_Списки!$U$2:$U$71,MATCH($A24,ТЕХ_Списки!$D$2:$D$71,0)),0)</f>
        <v>0</v>
      </c>
      <c r="U24" s="4">
        <f>IFERROR(INDEX(ТЕХ_Списки!$V$2:$V$71,MATCH($A24,ТЕХ_Списки!$D$2:$D$71,0)),0)</f>
        <v>0</v>
      </c>
      <c r="V24" s="4">
        <f>IFERROR(INDEX(ТЕХ_Списки!$W$2:$W$71,MATCH($A24,ТЕХ_Списки!$D$2:$D$71,0)),0)</f>
        <v>0</v>
      </c>
      <c r="W24" s="4">
        <f>IFERROR(INDEX(ТЕХ_Списки!$X$2:$X$71,MATCH($A24,ТЕХ_Списки!$D$2:$D$71,0)),0)</f>
        <v>0</v>
      </c>
      <c r="X24" s="4">
        <f>IFERROR(INDEX(ТЕХ_Списки!$Y$2:$Y$71,MATCH($A24,ТЕХ_Списки!$D$2:$D$71,0)),0)</f>
        <v>0</v>
      </c>
      <c r="Y24" s="4">
        <f>IFERROR(INDEX(ТЕХ_Списки!$Z$2:$Z$71,MATCH($A24,ТЕХ_Списки!$D$2:$D$71,0)),0)</f>
        <v>0</v>
      </c>
      <c r="Z24" s="4">
        <f>IFERROR(INDEX(ТЕХ_Списки!$AA$2:$AA$71,MATCH($A24,ТЕХ_Списки!$D$2:$D$71,0)),0)</f>
        <v>0</v>
      </c>
      <c r="AA24" s="4">
        <f>IFERROR(INDEX(ТЕХ_Списки!$AB$2:$AB$71,MATCH($A24,ТЕХ_Списки!$D$2:$D$71,0)),0)</f>
        <v>0</v>
      </c>
      <c r="AB24" s="4">
        <f>IFERROR(INDEX(ТЕХ_Списки!$AC$2:$AC$71,MATCH($A24,ТЕХ_Списки!$D$2:$D$71,0)),0)</f>
        <v>0</v>
      </c>
      <c r="AC24" s="4">
        <f>IFERROR(INDEX(ТЕХ_Списки!$AD$2:$AD$71,MATCH($A24,ТЕХ_Списки!$D$2:$D$71,0)),0)</f>
        <v>0</v>
      </c>
      <c r="AD24" s="4">
        <f>IFERROR(INDEX(ТЕХ_Списки!$AE$2:$AE$71,MATCH($A24,ТЕХ_Списки!$D$2:$D$71,0)),0)</f>
        <v>0</v>
      </c>
      <c r="AE24" s="4">
        <f>IFERROR(INDEX(ТЕХ_Списки!$AF$2:$AF$71,MATCH($A24,ТЕХ_Списки!$D$2:$D$71,0)),0)</f>
        <v>0</v>
      </c>
      <c r="AF24" s="4">
        <f>IFERROR(INDEX(ТЕХ_Списки!$AG$2:$AG$71,MATCH($A24,ТЕХ_Списки!$D$2:$D$71,0)),0)</f>
        <v>0</v>
      </c>
      <c r="AG24" s="4">
        <f>IFERROR(INDEX(ТЕХ_Списки!$AH$2:$AH$71,MATCH($A24,ТЕХ_Списки!$D$2:$D$71,0)),0)</f>
        <v>0</v>
      </c>
      <c r="AH24" s="4">
        <f>IFERROR(INDEX(ТЕХ_Списки!$AI$2:$AI$71,MATCH($A24,ТЕХ_Списки!$D$2:$D$71,0)),0)</f>
        <v>0</v>
      </c>
      <c r="AI24" s="4">
        <f>IFERROR(INDEX(ТЕХ_Списки!$AJ$2:$AJ$71,MATCH($A24,ТЕХ_Списки!$D$2:$D$71,0)),0)</f>
        <v>0</v>
      </c>
      <c r="AJ24" s="4">
        <f>IFERROR(INDEX(ТЕХ_Списки!$AK$2:$AK$71,MATCH($A24,ТЕХ_Списки!$D$2:$D$71,0)),0)</f>
        <v>0</v>
      </c>
      <c r="AK24" s="4">
        <f>IFERROR(INDEX(ТЕХ_Списки!$AL$2:$AL$71,MATCH($A24,ТЕХ_Списки!$D$2:$D$71,0)),0)</f>
        <v>0</v>
      </c>
      <c r="AL24" s="4">
        <f>IFERROR(INDEX(ТЕХ_Списки!$AM$2:$AM$71,MATCH($A24,ТЕХ_Списки!$D$2:$D$71,0)),0)</f>
        <v>0</v>
      </c>
      <c r="AM24" s="4">
        <f>IFERROR(INDEX(ТЕХ_Списки!$AN$2:$AN$71,MATCH($A24,ТЕХ_Списки!$D$2:$D$71,0)),0)</f>
        <v>0</v>
      </c>
      <c r="AN24" s="4">
        <f>IFERROR(INDEX(ТЕХ_Списки!$AO$2:$AO$71,MATCH($A24,ТЕХ_Списки!$D$2:$D$71,0)),0)</f>
        <v>0</v>
      </c>
      <c r="AO24" s="4">
        <f>IFERROR(INDEX(ТЕХ_Списки!$AP$2:$AP$71,MATCH($A24,ТЕХ_Списки!$D$2:$D$71,0)),0)</f>
        <v>0</v>
      </c>
      <c r="AP24" s="4">
        <f>IFERROR(INDEX(ТЕХ_Списки!$AQ$2:$AQ$71,MATCH($A24,ТЕХ_Списки!$D$2:$D$71,0)),0)</f>
        <v>0</v>
      </c>
      <c r="AQ24" s="4">
        <f>IFERROR(INDEX(ТЕХ_Списки!$AR$2:$AR$71,MATCH($A24,ТЕХ_Списки!$D$2:$D$71,0)),0)</f>
        <v>0</v>
      </c>
      <c r="AR24" s="4">
        <f>IFERROR(INDEX(ТЕХ_Списки!$AS$2:$AS$71,MATCH($A24,ТЕХ_Списки!$D$2:$D$71,0)),0)</f>
        <v>0</v>
      </c>
      <c r="AS24" s="4">
        <f>IFERROR(INDEX(ТЕХ_Списки!$AT$2:$AT$71,MATCH($A24,ТЕХ_Списки!$D$2:$D$71,0)),0)</f>
        <v>0</v>
      </c>
      <c r="AT24" s="4">
        <f>IFERROR(INDEX(ТЕХ_Списки!$AU$2:$AU$71,MATCH($A24,ТЕХ_Списки!$D$2:$D$71,0)),0)</f>
        <v>0</v>
      </c>
      <c r="AU24" s="4">
        <f>IFERROR(INDEX(ТЕХ_Списки!$AV$2:$AV$71,MATCH($A24,ТЕХ_Списки!$D$2:$D$71,0)),0)</f>
        <v>0</v>
      </c>
      <c r="AV24" s="4">
        <f>IFERROR(INDEX(ТЕХ_Списки!$AW$2:$AW$71,MATCH($A24,ТЕХ_Списки!$D$2:$D$71,0)),0)</f>
        <v>0</v>
      </c>
    </row>
    <row r="25" spans="1:48">
      <c r="A25" s="4" t="str">
        <f>IF(OR('РЕЙД-КОНСТРУКТОР'!C29="",'РЕЙД-КОНСТРУКТОР'!D29=""),"",'РЕЙД-КОНСТРУКТОР'!C29&amp;"§"&amp;'РЕЙД-КОНСТРУКТОР'!D29)</f>
        <v/>
      </c>
      <c r="B25" s="4">
        <f>IF(A25="",0,IF('РЕЙД-КОНСТРУКТОР'!F29="",1,'РЕЙД-КОНСТРУКТОР'!F29))</f>
        <v>0</v>
      </c>
      <c r="C25" s="4" t="str">
        <f>'РЕЙД-КОНСТРУКТОР'!E29</f>
        <v/>
      </c>
      <c r="D25" s="4">
        <f>IFERROR(INDEX(ТЕХ_Списки!$E$2:$E$71,MATCH($A25,ТЕХ_Списки!$D$2:$D$71,0)),0)</f>
        <v>0</v>
      </c>
      <c r="E25" s="4">
        <f>IFERROR(INDEX(ТЕХ_Списки!$F$2:$F$71,MATCH($A25,ТЕХ_Списки!$D$2:$D$71,0)),0)</f>
        <v>0</v>
      </c>
      <c r="F25" s="4">
        <f>IFERROR(INDEX(ТЕХ_Списки!$G$2:$G$71,MATCH($A25,ТЕХ_Списки!$D$2:$D$71,0)),0)</f>
        <v>0</v>
      </c>
      <c r="G25" s="4">
        <f>IFERROR(INDEX(ТЕХ_Списки!$H$2:$H$71,MATCH($A25,ТЕХ_Списки!$D$2:$D$71,0)),0)</f>
        <v>0</v>
      </c>
      <c r="H25" s="4">
        <f>IFERROR(INDEX(ТЕХ_Списки!$I$2:$I$71,MATCH($A25,ТЕХ_Списки!$D$2:$D$71,0)),0)</f>
        <v>0</v>
      </c>
      <c r="I25" s="4">
        <f>IFERROR(INDEX(ТЕХ_Списки!$J$2:$J$71,MATCH($A25,ТЕХ_Списки!$D$2:$D$71,0)),0)</f>
        <v>0</v>
      </c>
      <c r="J25" s="4">
        <f>IFERROR(INDEX(ТЕХ_Списки!$K$2:$K$71,MATCH($A25,ТЕХ_Списки!$D$2:$D$71,0)),0)</f>
        <v>0</v>
      </c>
      <c r="K25" s="4">
        <f>IFERROR(INDEX(ТЕХ_Списки!$L$2:$L$71,MATCH($A25,ТЕХ_Списки!$D$2:$D$71,0)),0)</f>
        <v>0</v>
      </c>
      <c r="L25" s="4">
        <f>IFERROR(INDEX(ТЕХ_Списки!$M$2:$M$71,MATCH($A25,ТЕХ_Списки!$D$2:$D$71,0)),0)</f>
        <v>0</v>
      </c>
      <c r="M25" s="4">
        <f>IFERROR(INDEX(ТЕХ_Списки!$N$2:$N$71,MATCH($A25,ТЕХ_Списки!$D$2:$D$71,0)),0)</f>
        <v>0</v>
      </c>
      <c r="N25" s="4">
        <f>IFERROR(INDEX(ТЕХ_Списки!$O$2:$O$71,MATCH($A25,ТЕХ_Списки!$D$2:$D$71,0)),0)</f>
        <v>0</v>
      </c>
      <c r="O25" s="4">
        <f>IFERROR(INDEX(ТЕХ_Списки!$P$2:$P$71,MATCH($A25,ТЕХ_Списки!$D$2:$D$71,0)),0)</f>
        <v>0</v>
      </c>
      <c r="P25" s="4">
        <f>IFERROR(INDEX(ТЕХ_Списки!$Q$2:$Q$71,MATCH($A25,ТЕХ_Списки!$D$2:$D$71,0)),0)</f>
        <v>0</v>
      </c>
      <c r="Q25" s="4">
        <f>IFERROR(INDEX(ТЕХ_Списки!$R$2:$R$71,MATCH($A25,ТЕХ_Списки!$D$2:$D$71,0)),0)</f>
        <v>0</v>
      </c>
      <c r="R25" s="4">
        <f>IFERROR(INDEX(ТЕХ_Списки!$S$2:$S$71,MATCH($A25,ТЕХ_Списки!$D$2:$D$71,0)),0)</f>
        <v>0</v>
      </c>
      <c r="S25" s="4">
        <f>IFERROR(INDEX(ТЕХ_Списки!$T$2:$T$71,MATCH($A25,ТЕХ_Списки!$D$2:$D$71,0)),0)</f>
        <v>0</v>
      </c>
      <c r="T25" s="4">
        <f>IFERROR(INDEX(ТЕХ_Списки!$U$2:$U$71,MATCH($A25,ТЕХ_Списки!$D$2:$D$71,0)),0)</f>
        <v>0</v>
      </c>
      <c r="U25" s="4">
        <f>IFERROR(INDEX(ТЕХ_Списки!$V$2:$V$71,MATCH($A25,ТЕХ_Списки!$D$2:$D$71,0)),0)</f>
        <v>0</v>
      </c>
      <c r="V25" s="4">
        <f>IFERROR(INDEX(ТЕХ_Списки!$W$2:$W$71,MATCH($A25,ТЕХ_Списки!$D$2:$D$71,0)),0)</f>
        <v>0</v>
      </c>
      <c r="W25" s="4">
        <f>IFERROR(INDEX(ТЕХ_Списки!$X$2:$X$71,MATCH($A25,ТЕХ_Списки!$D$2:$D$71,0)),0)</f>
        <v>0</v>
      </c>
      <c r="X25" s="4">
        <f>IFERROR(INDEX(ТЕХ_Списки!$Y$2:$Y$71,MATCH($A25,ТЕХ_Списки!$D$2:$D$71,0)),0)</f>
        <v>0</v>
      </c>
      <c r="Y25" s="4">
        <f>IFERROR(INDEX(ТЕХ_Списки!$Z$2:$Z$71,MATCH($A25,ТЕХ_Списки!$D$2:$D$71,0)),0)</f>
        <v>0</v>
      </c>
      <c r="Z25" s="4">
        <f>IFERROR(INDEX(ТЕХ_Списки!$AA$2:$AA$71,MATCH($A25,ТЕХ_Списки!$D$2:$D$71,0)),0)</f>
        <v>0</v>
      </c>
      <c r="AA25" s="4">
        <f>IFERROR(INDEX(ТЕХ_Списки!$AB$2:$AB$71,MATCH($A25,ТЕХ_Списки!$D$2:$D$71,0)),0)</f>
        <v>0</v>
      </c>
      <c r="AB25" s="4">
        <f>IFERROR(INDEX(ТЕХ_Списки!$AC$2:$AC$71,MATCH($A25,ТЕХ_Списки!$D$2:$D$71,0)),0)</f>
        <v>0</v>
      </c>
      <c r="AC25" s="4">
        <f>IFERROR(INDEX(ТЕХ_Списки!$AD$2:$AD$71,MATCH($A25,ТЕХ_Списки!$D$2:$D$71,0)),0)</f>
        <v>0</v>
      </c>
      <c r="AD25" s="4">
        <f>IFERROR(INDEX(ТЕХ_Списки!$AE$2:$AE$71,MATCH($A25,ТЕХ_Списки!$D$2:$D$71,0)),0)</f>
        <v>0</v>
      </c>
      <c r="AE25" s="4">
        <f>IFERROR(INDEX(ТЕХ_Списки!$AF$2:$AF$71,MATCH($A25,ТЕХ_Списки!$D$2:$D$71,0)),0)</f>
        <v>0</v>
      </c>
      <c r="AF25" s="4">
        <f>IFERROR(INDEX(ТЕХ_Списки!$AG$2:$AG$71,MATCH($A25,ТЕХ_Списки!$D$2:$D$71,0)),0)</f>
        <v>0</v>
      </c>
      <c r="AG25" s="4">
        <f>IFERROR(INDEX(ТЕХ_Списки!$AH$2:$AH$71,MATCH($A25,ТЕХ_Списки!$D$2:$D$71,0)),0)</f>
        <v>0</v>
      </c>
      <c r="AH25" s="4">
        <f>IFERROR(INDEX(ТЕХ_Списки!$AI$2:$AI$71,MATCH($A25,ТЕХ_Списки!$D$2:$D$71,0)),0)</f>
        <v>0</v>
      </c>
      <c r="AI25" s="4">
        <f>IFERROR(INDEX(ТЕХ_Списки!$AJ$2:$AJ$71,MATCH($A25,ТЕХ_Списки!$D$2:$D$71,0)),0)</f>
        <v>0</v>
      </c>
      <c r="AJ25" s="4">
        <f>IFERROR(INDEX(ТЕХ_Списки!$AK$2:$AK$71,MATCH($A25,ТЕХ_Списки!$D$2:$D$71,0)),0)</f>
        <v>0</v>
      </c>
      <c r="AK25" s="4">
        <f>IFERROR(INDEX(ТЕХ_Списки!$AL$2:$AL$71,MATCH($A25,ТЕХ_Списки!$D$2:$D$71,0)),0)</f>
        <v>0</v>
      </c>
      <c r="AL25" s="4">
        <f>IFERROR(INDEX(ТЕХ_Списки!$AM$2:$AM$71,MATCH($A25,ТЕХ_Списки!$D$2:$D$71,0)),0)</f>
        <v>0</v>
      </c>
      <c r="AM25" s="4">
        <f>IFERROR(INDEX(ТЕХ_Списки!$AN$2:$AN$71,MATCH($A25,ТЕХ_Списки!$D$2:$D$71,0)),0)</f>
        <v>0</v>
      </c>
      <c r="AN25" s="4">
        <f>IFERROR(INDEX(ТЕХ_Списки!$AO$2:$AO$71,MATCH($A25,ТЕХ_Списки!$D$2:$D$71,0)),0)</f>
        <v>0</v>
      </c>
      <c r="AO25" s="4">
        <f>IFERROR(INDEX(ТЕХ_Списки!$AP$2:$AP$71,MATCH($A25,ТЕХ_Списки!$D$2:$D$71,0)),0)</f>
        <v>0</v>
      </c>
      <c r="AP25" s="4">
        <f>IFERROR(INDEX(ТЕХ_Списки!$AQ$2:$AQ$71,MATCH($A25,ТЕХ_Списки!$D$2:$D$71,0)),0)</f>
        <v>0</v>
      </c>
      <c r="AQ25" s="4">
        <f>IFERROR(INDEX(ТЕХ_Списки!$AR$2:$AR$71,MATCH($A25,ТЕХ_Списки!$D$2:$D$71,0)),0)</f>
        <v>0</v>
      </c>
      <c r="AR25" s="4">
        <f>IFERROR(INDEX(ТЕХ_Списки!$AS$2:$AS$71,MATCH($A25,ТЕХ_Списки!$D$2:$D$71,0)),0)</f>
        <v>0</v>
      </c>
      <c r="AS25" s="4">
        <f>IFERROR(INDEX(ТЕХ_Списки!$AT$2:$AT$71,MATCH($A25,ТЕХ_Списки!$D$2:$D$71,0)),0)</f>
        <v>0</v>
      </c>
      <c r="AT25" s="4">
        <f>IFERROR(INDEX(ТЕХ_Списки!$AU$2:$AU$71,MATCH($A25,ТЕХ_Списки!$D$2:$D$71,0)),0)</f>
        <v>0</v>
      </c>
      <c r="AU25" s="4">
        <f>IFERROR(INDEX(ТЕХ_Списки!$AV$2:$AV$71,MATCH($A25,ТЕХ_Списки!$D$2:$D$71,0)),0)</f>
        <v>0</v>
      </c>
      <c r="AV25" s="4">
        <f>IFERROR(INDEX(ТЕХ_Списки!$AW$2:$AW$71,MATCH($A25,ТЕХ_Списки!$D$2:$D$71,0)),0)</f>
        <v>0</v>
      </c>
    </row>
    <row r="26" spans="1:48">
      <c r="A26" s="4" t="str">
        <f>IF(OR('РЕЙД-КОНСТРУКТОР'!C30="",'РЕЙД-КОНСТРУКТОР'!D30=""),"",'РЕЙД-КОНСТРУКТОР'!C30&amp;"§"&amp;'РЕЙД-КОНСТРУКТОР'!D30)</f>
        <v/>
      </c>
      <c r="B26" s="4">
        <f>IF(A26="",0,IF('РЕЙД-КОНСТРУКТОР'!F30="",1,'РЕЙД-КОНСТРУКТОР'!F30))</f>
        <v>0</v>
      </c>
      <c r="C26" s="4" t="str">
        <f>'РЕЙД-КОНСТРУКТОР'!E30</f>
        <v/>
      </c>
      <c r="D26" s="4">
        <f>IFERROR(INDEX(ТЕХ_Списки!$E$2:$E$71,MATCH($A26,ТЕХ_Списки!$D$2:$D$71,0)),0)</f>
        <v>0</v>
      </c>
      <c r="E26" s="4">
        <f>IFERROR(INDEX(ТЕХ_Списки!$F$2:$F$71,MATCH($A26,ТЕХ_Списки!$D$2:$D$71,0)),0)</f>
        <v>0</v>
      </c>
      <c r="F26" s="4">
        <f>IFERROR(INDEX(ТЕХ_Списки!$G$2:$G$71,MATCH($A26,ТЕХ_Списки!$D$2:$D$71,0)),0)</f>
        <v>0</v>
      </c>
      <c r="G26" s="4">
        <f>IFERROR(INDEX(ТЕХ_Списки!$H$2:$H$71,MATCH($A26,ТЕХ_Списки!$D$2:$D$71,0)),0)</f>
        <v>0</v>
      </c>
      <c r="H26" s="4">
        <f>IFERROR(INDEX(ТЕХ_Списки!$I$2:$I$71,MATCH($A26,ТЕХ_Списки!$D$2:$D$71,0)),0)</f>
        <v>0</v>
      </c>
      <c r="I26" s="4">
        <f>IFERROR(INDEX(ТЕХ_Списки!$J$2:$J$71,MATCH($A26,ТЕХ_Списки!$D$2:$D$71,0)),0)</f>
        <v>0</v>
      </c>
      <c r="J26" s="4">
        <f>IFERROR(INDEX(ТЕХ_Списки!$K$2:$K$71,MATCH($A26,ТЕХ_Списки!$D$2:$D$71,0)),0)</f>
        <v>0</v>
      </c>
      <c r="K26" s="4">
        <f>IFERROR(INDEX(ТЕХ_Списки!$L$2:$L$71,MATCH($A26,ТЕХ_Списки!$D$2:$D$71,0)),0)</f>
        <v>0</v>
      </c>
      <c r="L26" s="4">
        <f>IFERROR(INDEX(ТЕХ_Списки!$M$2:$M$71,MATCH($A26,ТЕХ_Списки!$D$2:$D$71,0)),0)</f>
        <v>0</v>
      </c>
      <c r="M26" s="4">
        <f>IFERROR(INDEX(ТЕХ_Списки!$N$2:$N$71,MATCH($A26,ТЕХ_Списки!$D$2:$D$71,0)),0)</f>
        <v>0</v>
      </c>
      <c r="N26" s="4">
        <f>IFERROR(INDEX(ТЕХ_Списки!$O$2:$O$71,MATCH($A26,ТЕХ_Списки!$D$2:$D$71,0)),0)</f>
        <v>0</v>
      </c>
      <c r="O26" s="4">
        <f>IFERROR(INDEX(ТЕХ_Списки!$P$2:$P$71,MATCH($A26,ТЕХ_Списки!$D$2:$D$71,0)),0)</f>
        <v>0</v>
      </c>
      <c r="P26" s="4">
        <f>IFERROR(INDEX(ТЕХ_Списки!$Q$2:$Q$71,MATCH($A26,ТЕХ_Списки!$D$2:$D$71,0)),0)</f>
        <v>0</v>
      </c>
      <c r="Q26" s="4">
        <f>IFERROR(INDEX(ТЕХ_Списки!$R$2:$R$71,MATCH($A26,ТЕХ_Списки!$D$2:$D$71,0)),0)</f>
        <v>0</v>
      </c>
      <c r="R26" s="4">
        <f>IFERROR(INDEX(ТЕХ_Списки!$S$2:$S$71,MATCH($A26,ТЕХ_Списки!$D$2:$D$71,0)),0)</f>
        <v>0</v>
      </c>
      <c r="S26" s="4">
        <f>IFERROR(INDEX(ТЕХ_Списки!$T$2:$T$71,MATCH($A26,ТЕХ_Списки!$D$2:$D$71,0)),0)</f>
        <v>0</v>
      </c>
      <c r="T26" s="4">
        <f>IFERROR(INDEX(ТЕХ_Списки!$U$2:$U$71,MATCH($A26,ТЕХ_Списки!$D$2:$D$71,0)),0)</f>
        <v>0</v>
      </c>
      <c r="U26" s="4">
        <f>IFERROR(INDEX(ТЕХ_Списки!$V$2:$V$71,MATCH($A26,ТЕХ_Списки!$D$2:$D$71,0)),0)</f>
        <v>0</v>
      </c>
      <c r="V26" s="4">
        <f>IFERROR(INDEX(ТЕХ_Списки!$W$2:$W$71,MATCH($A26,ТЕХ_Списки!$D$2:$D$71,0)),0)</f>
        <v>0</v>
      </c>
      <c r="W26" s="4">
        <f>IFERROR(INDEX(ТЕХ_Списки!$X$2:$X$71,MATCH($A26,ТЕХ_Списки!$D$2:$D$71,0)),0)</f>
        <v>0</v>
      </c>
      <c r="X26" s="4">
        <f>IFERROR(INDEX(ТЕХ_Списки!$Y$2:$Y$71,MATCH($A26,ТЕХ_Списки!$D$2:$D$71,0)),0)</f>
        <v>0</v>
      </c>
      <c r="Y26" s="4">
        <f>IFERROR(INDEX(ТЕХ_Списки!$Z$2:$Z$71,MATCH($A26,ТЕХ_Списки!$D$2:$D$71,0)),0)</f>
        <v>0</v>
      </c>
      <c r="Z26" s="4">
        <f>IFERROR(INDEX(ТЕХ_Списки!$AA$2:$AA$71,MATCH($A26,ТЕХ_Списки!$D$2:$D$71,0)),0)</f>
        <v>0</v>
      </c>
      <c r="AA26" s="4">
        <f>IFERROR(INDEX(ТЕХ_Списки!$AB$2:$AB$71,MATCH($A26,ТЕХ_Списки!$D$2:$D$71,0)),0)</f>
        <v>0</v>
      </c>
      <c r="AB26" s="4">
        <f>IFERROR(INDEX(ТЕХ_Списки!$AC$2:$AC$71,MATCH($A26,ТЕХ_Списки!$D$2:$D$71,0)),0)</f>
        <v>0</v>
      </c>
      <c r="AC26" s="4">
        <f>IFERROR(INDEX(ТЕХ_Списки!$AD$2:$AD$71,MATCH($A26,ТЕХ_Списки!$D$2:$D$71,0)),0)</f>
        <v>0</v>
      </c>
      <c r="AD26" s="4">
        <f>IFERROR(INDEX(ТЕХ_Списки!$AE$2:$AE$71,MATCH($A26,ТЕХ_Списки!$D$2:$D$71,0)),0)</f>
        <v>0</v>
      </c>
      <c r="AE26" s="4">
        <f>IFERROR(INDEX(ТЕХ_Списки!$AF$2:$AF$71,MATCH($A26,ТЕХ_Списки!$D$2:$D$71,0)),0)</f>
        <v>0</v>
      </c>
      <c r="AF26" s="4">
        <f>IFERROR(INDEX(ТЕХ_Списки!$AG$2:$AG$71,MATCH($A26,ТЕХ_Списки!$D$2:$D$71,0)),0)</f>
        <v>0</v>
      </c>
      <c r="AG26" s="4">
        <f>IFERROR(INDEX(ТЕХ_Списки!$AH$2:$AH$71,MATCH($A26,ТЕХ_Списки!$D$2:$D$71,0)),0)</f>
        <v>0</v>
      </c>
      <c r="AH26" s="4">
        <f>IFERROR(INDEX(ТЕХ_Списки!$AI$2:$AI$71,MATCH($A26,ТЕХ_Списки!$D$2:$D$71,0)),0)</f>
        <v>0</v>
      </c>
      <c r="AI26" s="4">
        <f>IFERROR(INDEX(ТЕХ_Списки!$AJ$2:$AJ$71,MATCH($A26,ТЕХ_Списки!$D$2:$D$71,0)),0)</f>
        <v>0</v>
      </c>
      <c r="AJ26" s="4">
        <f>IFERROR(INDEX(ТЕХ_Списки!$AK$2:$AK$71,MATCH($A26,ТЕХ_Списки!$D$2:$D$71,0)),0)</f>
        <v>0</v>
      </c>
      <c r="AK26" s="4">
        <f>IFERROR(INDEX(ТЕХ_Списки!$AL$2:$AL$71,MATCH($A26,ТЕХ_Списки!$D$2:$D$71,0)),0)</f>
        <v>0</v>
      </c>
      <c r="AL26" s="4">
        <f>IFERROR(INDEX(ТЕХ_Списки!$AM$2:$AM$71,MATCH($A26,ТЕХ_Списки!$D$2:$D$71,0)),0)</f>
        <v>0</v>
      </c>
      <c r="AM26" s="4">
        <f>IFERROR(INDEX(ТЕХ_Списки!$AN$2:$AN$71,MATCH($A26,ТЕХ_Списки!$D$2:$D$71,0)),0)</f>
        <v>0</v>
      </c>
      <c r="AN26" s="4">
        <f>IFERROR(INDEX(ТЕХ_Списки!$AO$2:$AO$71,MATCH($A26,ТЕХ_Списки!$D$2:$D$71,0)),0)</f>
        <v>0</v>
      </c>
      <c r="AO26" s="4">
        <f>IFERROR(INDEX(ТЕХ_Списки!$AP$2:$AP$71,MATCH($A26,ТЕХ_Списки!$D$2:$D$71,0)),0)</f>
        <v>0</v>
      </c>
      <c r="AP26" s="4">
        <f>IFERROR(INDEX(ТЕХ_Списки!$AQ$2:$AQ$71,MATCH($A26,ТЕХ_Списки!$D$2:$D$71,0)),0)</f>
        <v>0</v>
      </c>
      <c r="AQ26" s="4">
        <f>IFERROR(INDEX(ТЕХ_Списки!$AR$2:$AR$71,MATCH($A26,ТЕХ_Списки!$D$2:$D$71,0)),0)</f>
        <v>0</v>
      </c>
      <c r="AR26" s="4">
        <f>IFERROR(INDEX(ТЕХ_Списки!$AS$2:$AS$71,MATCH($A26,ТЕХ_Списки!$D$2:$D$71,0)),0)</f>
        <v>0</v>
      </c>
      <c r="AS26" s="4">
        <f>IFERROR(INDEX(ТЕХ_Списки!$AT$2:$AT$71,MATCH($A26,ТЕХ_Списки!$D$2:$D$71,0)),0)</f>
        <v>0</v>
      </c>
      <c r="AT26" s="4">
        <f>IFERROR(INDEX(ТЕХ_Списки!$AU$2:$AU$71,MATCH($A26,ТЕХ_Списки!$D$2:$D$71,0)),0)</f>
        <v>0</v>
      </c>
      <c r="AU26" s="4">
        <f>IFERROR(INDEX(ТЕХ_Списки!$AV$2:$AV$71,MATCH($A26,ТЕХ_Списки!$D$2:$D$71,0)),0)</f>
        <v>0</v>
      </c>
      <c r="AV26" s="4">
        <f>IFERROR(INDEX(ТЕХ_Списки!$AW$2:$AW$71,MATCH($A26,ТЕХ_Списки!$D$2:$D$71,0)),0)</f>
        <v>0</v>
      </c>
    </row>
    <row r="27" spans="1:4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>
      <c r="A43" s="4" t="s">
        <v>710</v>
      </c>
      <c r="B43" s="4"/>
      <c r="C43" s="4"/>
      <c r="D43" s="4">
        <f t="shared" ref="D43:AV43" si="0">SUMPRODUCT(D$2:D$26,$B$2:$B$26)</f>
        <v>0</v>
      </c>
      <c r="E43" s="4">
        <f t="shared" si="0"/>
        <v>0</v>
      </c>
      <c r="F43" s="4">
        <f t="shared" si="0"/>
        <v>0</v>
      </c>
      <c r="G43" s="4">
        <f t="shared" si="0"/>
        <v>0</v>
      </c>
      <c r="H43" s="4">
        <f t="shared" si="0"/>
        <v>0</v>
      </c>
      <c r="I43" s="4">
        <f t="shared" si="0"/>
        <v>0</v>
      </c>
      <c r="J43" s="4">
        <f t="shared" si="0"/>
        <v>0</v>
      </c>
      <c r="K43" s="4">
        <f t="shared" si="0"/>
        <v>0</v>
      </c>
      <c r="L43" s="4">
        <f t="shared" si="0"/>
        <v>0</v>
      </c>
      <c r="M43" s="4">
        <f t="shared" si="0"/>
        <v>0</v>
      </c>
      <c r="N43" s="4">
        <f t="shared" si="0"/>
        <v>0</v>
      </c>
      <c r="O43" s="4">
        <f t="shared" si="0"/>
        <v>0</v>
      </c>
      <c r="P43" s="4">
        <f t="shared" si="0"/>
        <v>0</v>
      </c>
      <c r="Q43" s="4">
        <f t="shared" si="0"/>
        <v>0</v>
      </c>
      <c r="R43" s="4">
        <f t="shared" si="0"/>
        <v>0</v>
      </c>
      <c r="S43" s="4">
        <f t="shared" si="0"/>
        <v>0</v>
      </c>
      <c r="T43" s="4">
        <f t="shared" si="0"/>
        <v>0</v>
      </c>
      <c r="U43" s="4">
        <f t="shared" si="0"/>
        <v>0</v>
      </c>
      <c r="V43" s="4">
        <f t="shared" si="0"/>
        <v>0</v>
      </c>
      <c r="W43" s="4">
        <f t="shared" si="0"/>
        <v>0</v>
      </c>
      <c r="X43" s="4">
        <f t="shared" si="0"/>
        <v>0</v>
      </c>
      <c r="Y43" s="4">
        <f t="shared" si="0"/>
        <v>0</v>
      </c>
      <c r="Z43" s="4">
        <f t="shared" si="0"/>
        <v>0</v>
      </c>
      <c r="AA43" s="4">
        <f t="shared" si="0"/>
        <v>0</v>
      </c>
      <c r="AB43" s="4">
        <f t="shared" si="0"/>
        <v>0</v>
      </c>
      <c r="AC43" s="4">
        <f t="shared" si="0"/>
        <v>0</v>
      </c>
      <c r="AD43" s="4">
        <f t="shared" si="0"/>
        <v>0</v>
      </c>
      <c r="AE43" s="4">
        <f t="shared" si="0"/>
        <v>0</v>
      </c>
      <c r="AF43" s="4">
        <f t="shared" si="0"/>
        <v>0</v>
      </c>
      <c r="AG43" s="4">
        <f t="shared" si="0"/>
        <v>0</v>
      </c>
      <c r="AH43" s="4">
        <f t="shared" si="0"/>
        <v>0</v>
      </c>
      <c r="AI43" s="4">
        <f t="shared" si="0"/>
        <v>0</v>
      </c>
      <c r="AJ43" s="4">
        <f t="shared" si="0"/>
        <v>0</v>
      </c>
      <c r="AK43" s="4">
        <f t="shared" si="0"/>
        <v>0</v>
      </c>
      <c r="AL43" s="4">
        <f t="shared" si="0"/>
        <v>0</v>
      </c>
      <c r="AM43" s="4">
        <f t="shared" si="0"/>
        <v>0</v>
      </c>
      <c r="AN43" s="4">
        <f t="shared" si="0"/>
        <v>0</v>
      </c>
      <c r="AO43" s="4">
        <f t="shared" si="0"/>
        <v>0</v>
      </c>
      <c r="AP43" s="4">
        <f t="shared" si="0"/>
        <v>0</v>
      </c>
      <c r="AQ43" s="4">
        <f t="shared" si="0"/>
        <v>0</v>
      </c>
      <c r="AR43" s="4">
        <f t="shared" si="0"/>
        <v>0</v>
      </c>
      <c r="AS43" s="4">
        <f t="shared" si="0"/>
        <v>0</v>
      </c>
      <c r="AT43" s="4">
        <f t="shared" si="0"/>
        <v>0</v>
      </c>
      <c r="AU43" s="4">
        <f t="shared" si="0"/>
        <v>0</v>
      </c>
      <c r="AV43" s="4">
        <f t="shared" si="0"/>
        <v>0</v>
      </c>
    </row>
    <row r="44" spans="1:48">
      <c r="A44" s="4" t="s">
        <v>711</v>
      </c>
      <c r="B44" s="4"/>
      <c r="C44" s="4"/>
      <c r="D44" s="4">
        <f t="shared" ref="D44:AV44" si="1">--(D43=0)</f>
        <v>1</v>
      </c>
      <c r="E44" s="4">
        <f t="shared" si="1"/>
        <v>1</v>
      </c>
      <c r="F44" s="4">
        <f t="shared" si="1"/>
        <v>1</v>
      </c>
      <c r="G44" s="4">
        <f t="shared" si="1"/>
        <v>1</v>
      </c>
      <c r="H44" s="4">
        <f t="shared" si="1"/>
        <v>1</v>
      </c>
      <c r="I44" s="4">
        <f t="shared" si="1"/>
        <v>1</v>
      </c>
      <c r="J44" s="4">
        <f t="shared" si="1"/>
        <v>1</v>
      </c>
      <c r="K44" s="4">
        <f t="shared" si="1"/>
        <v>1</v>
      </c>
      <c r="L44" s="4">
        <f t="shared" si="1"/>
        <v>1</v>
      </c>
      <c r="M44" s="4">
        <f t="shared" si="1"/>
        <v>1</v>
      </c>
      <c r="N44" s="4">
        <f t="shared" si="1"/>
        <v>1</v>
      </c>
      <c r="O44" s="4">
        <f t="shared" si="1"/>
        <v>1</v>
      </c>
      <c r="P44" s="4">
        <f t="shared" si="1"/>
        <v>1</v>
      </c>
      <c r="Q44" s="4">
        <f t="shared" si="1"/>
        <v>1</v>
      </c>
      <c r="R44" s="4">
        <f t="shared" si="1"/>
        <v>1</v>
      </c>
      <c r="S44" s="4">
        <f t="shared" si="1"/>
        <v>1</v>
      </c>
      <c r="T44" s="4">
        <f t="shared" si="1"/>
        <v>1</v>
      </c>
      <c r="U44" s="4">
        <f t="shared" si="1"/>
        <v>1</v>
      </c>
      <c r="V44" s="4">
        <f t="shared" si="1"/>
        <v>1</v>
      </c>
      <c r="W44" s="4">
        <f t="shared" si="1"/>
        <v>1</v>
      </c>
      <c r="X44" s="4">
        <f t="shared" si="1"/>
        <v>1</v>
      </c>
      <c r="Y44" s="4">
        <f t="shared" si="1"/>
        <v>1</v>
      </c>
      <c r="Z44" s="4">
        <f t="shared" si="1"/>
        <v>1</v>
      </c>
      <c r="AA44" s="4">
        <f t="shared" si="1"/>
        <v>1</v>
      </c>
      <c r="AB44" s="4">
        <f t="shared" si="1"/>
        <v>1</v>
      </c>
      <c r="AC44" s="4">
        <f t="shared" si="1"/>
        <v>1</v>
      </c>
      <c r="AD44" s="4">
        <f t="shared" si="1"/>
        <v>1</v>
      </c>
      <c r="AE44" s="4">
        <f t="shared" si="1"/>
        <v>1</v>
      </c>
      <c r="AF44" s="4">
        <f t="shared" si="1"/>
        <v>1</v>
      </c>
      <c r="AG44" s="4">
        <f t="shared" si="1"/>
        <v>1</v>
      </c>
      <c r="AH44" s="4">
        <f t="shared" si="1"/>
        <v>1</v>
      </c>
      <c r="AI44" s="4">
        <f t="shared" si="1"/>
        <v>1</v>
      </c>
      <c r="AJ44" s="4">
        <f t="shared" si="1"/>
        <v>1</v>
      </c>
      <c r="AK44" s="4">
        <f t="shared" si="1"/>
        <v>1</v>
      </c>
      <c r="AL44" s="4">
        <f t="shared" si="1"/>
        <v>1</v>
      </c>
      <c r="AM44" s="4">
        <f t="shared" si="1"/>
        <v>1</v>
      </c>
      <c r="AN44" s="4">
        <f t="shared" si="1"/>
        <v>1</v>
      </c>
      <c r="AO44" s="4">
        <f t="shared" si="1"/>
        <v>1</v>
      </c>
      <c r="AP44" s="4">
        <f t="shared" si="1"/>
        <v>1</v>
      </c>
      <c r="AQ44" s="4">
        <f t="shared" si="1"/>
        <v>1</v>
      </c>
      <c r="AR44" s="4">
        <f t="shared" si="1"/>
        <v>1</v>
      </c>
      <c r="AS44" s="4">
        <f t="shared" si="1"/>
        <v>1</v>
      </c>
      <c r="AT44" s="4">
        <f t="shared" si="1"/>
        <v>1</v>
      </c>
      <c r="AU44" s="4">
        <f t="shared" si="1"/>
        <v>1</v>
      </c>
      <c r="AV44" s="4">
        <f t="shared" si="1"/>
        <v>1</v>
      </c>
    </row>
    <row r="45" spans="1:48">
      <c r="A45" s="4" t="s">
        <v>712</v>
      </c>
      <c r="B45" s="4"/>
      <c r="C45" s="4"/>
      <c r="D45" s="4">
        <f>'РЕЙД-КОНСТРУКТОР'!N6</f>
        <v>3</v>
      </c>
      <c r="E45" s="4">
        <f>'РЕЙД-КОНСТРУКТОР'!N7</f>
        <v>2</v>
      </c>
      <c r="F45" s="4">
        <f>'РЕЙД-КОНСТРУКТОР'!N8</f>
        <v>2</v>
      </c>
      <c r="G45" s="4">
        <f>'РЕЙД-КОНСТРУКТОР'!N9</f>
        <v>2</v>
      </c>
      <c r="H45" s="4">
        <f>'РЕЙД-КОНСТРУКТОР'!N10</f>
        <v>2</v>
      </c>
      <c r="I45" s="4">
        <f>'РЕЙД-КОНСТРУКТОР'!N11</f>
        <v>2</v>
      </c>
      <c r="J45" s="4">
        <f>'РЕЙД-КОНСТРУКТОР'!N12</f>
        <v>3</v>
      </c>
      <c r="K45" s="4">
        <f>'РЕЙД-КОНСТРУКТОР'!N13</f>
        <v>3</v>
      </c>
      <c r="L45" s="4">
        <f>'РЕЙД-КОНСТРУКТОР'!N14</f>
        <v>2</v>
      </c>
      <c r="M45" s="4">
        <f>'РЕЙД-КОНСТРУКТОР'!N15</f>
        <v>2</v>
      </c>
      <c r="N45" s="4">
        <f>'РЕЙД-КОНСТРУКТОР'!N16</f>
        <v>2</v>
      </c>
      <c r="O45" s="4">
        <f>'РЕЙД-КОНСТРУКТОР'!N17</f>
        <v>3</v>
      </c>
      <c r="P45" s="4">
        <f>'РЕЙД-КОНСТРУКТОР'!N18</f>
        <v>2</v>
      </c>
      <c r="Q45" s="4">
        <f>'РЕЙД-КОНСТРУКТОР'!N19</f>
        <v>3</v>
      </c>
      <c r="R45" s="4">
        <f>'РЕЙД-КОНСТРУКТОР'!N20</f>
        <v>1</v>
      </c>
      <c r="S45" s="4">
        <f>'РЕЙД-КОНСТРУКТОР'!N21</f>
        <v>3</v>
      </c>
      <c r="T45" s="4">
        <f>'РЕЙД-КОНСТРУКТОР'!N22</f>
        <v>3</v>
      </c>
      <c r="U45" s="4">
        <f>'РЕЙД-КОНСТРУКТОР'!N23</f>
        <v>1</v>
      </c>
      <c r="V45" s="4">
        <f>'РЕЙД-КОНСТРУКТОР'!N24</f>
        <v>1</v>
      </c>
      <c r="W45" s="4">
        <f>'РЕЙД-КОНСТРУКТОР'!N25</f>
        <v>1</v>
      </c>
      <c r="X45" s="4">
        <f>'РЕЙД-КОНСТРУКТОР'!N26</f>
        <v>1</v>
      </c>
      <c r="Y45" s="4">
        <f>'РЕЙД-КОНСТРУКТОР'!N27</f>
        <v>1</v>
      </c>
      <c r="Z45" s="4">
        <f>'РЕЙД-КОНСТРУКТОР'!N28</f>
        <v>1</v>
      </c>
      <c r="AA45" s="4">
        <f>'РЕЙД-КОНСТРУКТОР'!N29</f>
        <v>1</v>
      </c>
      <c r="AB45" s="4">
        <f>'РЕЙД-КОНСТРУКТОР'!N30</f>
        <v>3</v>
      </c>
      <c r="AC45" s="4">
        <f>'РЕЙД-КОНСТРУКТОР'!N31</f>
        <v>1</v>
      </c>
      <c r="AD45" s="4">
        <f>'РЕЙД-КОНСТРУКТОР'!N32</f>
        <v>1</v>
      </c>
      <c r="AE45" s="4">
        <f>'РЕЙД-КОНСТРУКТОР'!N33</f>
        <v>1</v>
      </c>
      <c r="AF45" s="4">
        <f>'РЕЙД-КОНСТРУКТОР'!N34</f>
        <v>1</v>
      </c>
      <c r="AG45" s="4">
        <f>'РЕЙД-КОНСТРУКТОР'!N35</f>
        <v>3</v>
      </c>
      <c r="AH45" s="4">
        <f>'РЕЙД-КОНСТРУКТОР'!N36</f>
        <v>3</v>
      </c>
      <c r="AI45" s="4">
        <f>'РЕЙД-КОНСТРУКТОР'!N37</f>
        <v>3</v>
      </c>
      <c r="AJ45" s="4">
        <f>'РЕЙД-КОНСТРУКТОР'!N38</f>
        <v>3</v>
      </c>
      <c r="AK45" s="4">
        <f>'РЕЙД-КОНСТРУКТОР'!N39</f>
        <v>1</v>
      </c>
      <c r="AL45" s="4">
        <f>'РЕЙД-КОНСТРУКТОР'!N40</f>
        <v>3</v>
      </c>
      <c r="AM45" s="4">
        <f>'РЕЙД-КОНСТРУКТОР'!N41</f>
        <v>3</v>
      </c>
      <c r="AN45" s="4">
        <f>'РЕЙД-КОНСТРУКТОР'!N42</f>
        <v>3</v>
      </c>
      <c r="AO45" s="4">
        <f>'РЕЙД-КОНСТРУКТОР'!N43</f>
        <v>3</v>
      </c>
      <c r="AP45" s="4">
        <f>'РЕЙД-КОНСТРУКТОР'!N44</f>
        <v>3</v>
      </c>
      <c r="AQ45" s="4">
        <f>'РЕЙД-КОНСТРУКТОР'!N45</f>
        <v>3</v>
      </c>
      <c r="AR45" s="4">
        <f>'РЕЙД-КОНСТРУКТОР'!N46</f>
        <v>3</v>
      </c>
      <c r="AS45" s="4">
        <f>'РЕЙД-КОНСТРУКТОР'!N47</f>
        <v>1</v>
      </c>
      <c r="AT45" s="4">
        <f>'РЕЙД-КОНСТРУКТОР'!N48</f>
        <v>1</v>
      </c>
      <c r="AU45" s="4">
        <f>'РЕЙД-КОНСТРУКТОР'!N49</f>
        <v>1</v>
      </c>
      <c r="AV45" s="4">
        <f>'РЕЙД-КОНСТРУКТОР'!N50</f>
        <v>3</v>
      </c>
    </row>
    <row r="46" spans="1:4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36">
      <c r="A49" s="3" t="s">
        <v>23</v>
      </c>
      <c r="B49" s="3" t="s">
        <v>579</v>
      </c>
      <c r="C49" s="3" t="s">
        <v>25</v>
      </c>
      <c r="D49" s="3" t="s">
        <v>630</v>
      </c>
      <c r="E49" s="3" t="s">
        <v>713</v>
      </c>
      <c r="F49" s="3" t="s">
        <v>115</v>
      </c>
      <c r="G49" s="3" t="s">
        <v>116</v>
      </c>
      <c r="H49" s="3" t="s">
        <v>714</v>
      </c>
      <c r="I49" s="3" t="s">
        <v>715</v>
      </c>
      <c r="J49" s="3" t="s">
        <v>716</v>
      </c>
      <c r="K49" s="3" t="s">
        <v>717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>
      <c r="A50" s="4" t="s">
        <v>130</v>
      </c>
      <c r="B50" s="4" t="s">
        <v>131</v>
      </c>
      <c r="C50" s="4" t="s">
        <v>84</v>
      </c>
      <c r="D50" s="4" t="s">
        <v>634</v>
      </c>
      <c r="E50" s="4">
        <f t="shared" ref="E50:E81" si="2">COUNTIF($A$2:$A$26,D50)</f>
        <v>0</v>
      </c>
      <c r="F50" s="4">
        <f>SUMPRODUCT(ТЕХ_Списки!E2:AW2,$D$44:$AV$44)</f>
        <v>7</v>
      </c>
      <c r="G50" s="4">
        <f>SUMPRODUCT(ТЕХ_Списки!E2:AW2,$D$44:$AV$44,$D$45:$AV$45)</f>
        <v>16</v>
      </c>
      <c r="H50" s="4">
        <f>IF(OR('РЕЙД-КОНСТРУКТОР'!$C$3="Любая",'РЕЙД-КОНСТРУКТОР'!$C$3=C50),1,0)</f>
        <v>1</v>
      </c>
      <c r="I50" s="4">
        <f t="shared" ref="I50:I81" si="3">IF(OR(E50&gt;0,H50=0,F50=0),-1,G50*100+F50)</f>
        <v>1607</v>
      </c>
      <c r="J50" s="4" t="e">
        <f ca="1">IF(I50&lt;0,"",_xludf.RANK.EQ(I50,$I$50:$I$119,0)+COUNTIF($I$50:I50,I50)-1)</f>
        <v>#NAME?</v>
      </c>
      <c r="K50" s="4" t="e">
        <f ca="1">IF(F50=0,"—",_xludf.TEXTJOIN(", ",TRUE,IF(AND(ТЕХ_Списки!E2=1,$D$44=1),ТЕХ_Списки!E$1,""),IF(AND(ТЕХ_Списки!F2=1,$E$44=1),ТЕХ_Списки!F$1,""),IF(AND(ТЕХ_Списки!G2=1,$F$44=1),ТЕХ_Списки!G$1,""),IF(AND(ТЕХ_Списки!H2=1,$G$44=1),ТЕХ_Списки!H$1,""),IF(AND(ТЕХ_Списки!I2=1,$H$44=1),ТЕХ_Списки!I$1,""),IF(AND(ТЕХ_Списки!J2=1,$I$44=1),ТЕХ_Списки!J$1,""),IF(AND(ТЕХ_Списки!K2=1,$J$44=1),ТЕХ_Списки!K$1,""),IF(AND(ТЕХ_Списки!L2=1,$K$44=1),ТЕХ_Списки!L$1,""),IF(AND(ТЕХ_Списки!M2=1,$L$44=1),ТЕХ_Списки!M$1,""),IF(AND(ТЕХ_Списки!N2=1,$M$44=1),ТЕХ_Списки!N$1,""),IF(AND(ТЕХ_Списки!O2=1,$N$44=1),ТЕХ_Списки!O$1,""),IF(AND(ТЕХ_Списки!P2=1,$O$44=1),ТЕХ_Списки!P$1,""),IF(AND(ТЕХ_Списки!Q2=1,$P$44=1),ТЕХ_Списки!Q$1,""),IF(AND(ТЕХ_Списки!R2=1,$Q$44=1),ТЕХ_Списки!R$1,""),IF(AND(ТЕХ_Списки!S2=1,$R$44=1),ТЕХ_Списки!S$1,""),IF(AND(ТЕХ_Списки!T2=1,$S$44=1),ТЕХ_Списки!T$1,""),IF(AND(ТЕХ_Списки!U2=1,$T$44=1),ТЕХ_Списки!U$1,""),IF(AND(ТЕХ_Списки!V2=1,$U$44=1),ТЕХ_Списки!V$1,""),IF(AND(ТЕХ_Списки!W2=1,$V$44=1),ТЕХ_Списки!W$1,""),IF(AND(ТЕХ_Списки!X2=1,$W$44=1),ТЕХ_Списки!X$1,""),IF(AND(ТЕХ_Списки!Y2=1,$X$44=1),ТЕХ_Списки!Y$1,""),IF(AND(ТЕХ_Списки!Z2=1,$Y$44=1),ТЕХ_Списки!Z$1,""),IF(AND(ТЕХ_Списки!AA2=1,$Z$44=1),ТЕХ_Списки!AA$1,""),IF(AND(ТЕХ_Списки!AB2=1,$AA$44=1),ТЕХ_Списки!AB$1,""),IF(AND(ТЕХ_Списки!AC2=1,$AB$44=1),ТЕХ_Списки!AC$1,""),IF(AND(ТЕХ_Списки!AD2=1,$AC$44=1),ТЕХ_Списки!AD$1,""),IF(AND(ТЕХ_Списки!AE2=1,$AD$44=1),ТЕХ_Списки!AE$1,""),IF(AND(ТЕХ_Списки!AF2=1,$AE$44=1),ТЕХ_Списки!AF$1,""),IF(AND(ТЕХ_Списки!AG2=1,$AF$44=1),ТЕХ_Списки!AG$1,""),IF(AND(ТЕХ_Списки!AH2=1,$AG$44=1),ТЕХ_Списки!AH$1,""),IF(AND(ТЕХ_Списки!AI2=1,$AH$44=1),ТЕХ_Списки!AI$1,""),IF(AND(ТЕХ_Списки!AJ2=1,$AI$44=1),ТЕХ_Списки!AJ$1,""),IF(AND(ТЕХ_Списки!AK2=1,$AJ$44=1),ТЕХ_Списки!AK$1,""),IF(AND(ТЕХ_Списки!AL2=1,$AK$44=1),ТЕХ_Списки!AL$1,""),IF(AND(ТЕХ_Списки!AM2=1,$AL$44=1),ТЕХ_Списки!AM$1,""),IF(AND(ТЕХ_Списки!AN2=1,$AM$44=1),ТЕХ_Списки!AN$1,""),IF(AND(ТЕХ_Списки!AO2=1,$AN$44=1),ТЕХ_Списки!AO$1,""),IF(AND(ТЕХ_Списки!AP2=1,$AO$44=1),ТЕХ_Списки!AP$1,""),IF(AND(ТЕХ_Списки!AQ2=1,$AP$44=1),ТЕХ_Списки!AQ$1,""),IF(AND(ТЕХ_Списки!AR2=1,$AQ$44=1),ТЕХ_Списки!AR$1,""),IF(AND(ТЕХ_Списки!AS2=1,$AR$44=1),ТЕХ_Списки!AS$1,""),IF(AND(ТЕХ_Списки!AT2=1,$AS$44=1),ТЕХ_Списки!AT$1,""),IF(AND(ТЕХ_Списки!AU2=1,$AT$44=1),ТЕХ_Списки!AU$1,""),IF(AND(ТЕХ_Списки!AV2=1,$AU$44=1),ТЕХ_Списки!AV$1,""),IF(AND(ТЕХ_Списки!AW2=1,$AV$44=1),ТЕХ_Списки!AW$1,"")))</f>
        <v>#NAME?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>
      <c r="A51" s="4" t="s">
        <v>130</v>
      </c>
      <c r="B51" s="4" t="s">
        <v>134</v>
      </c>
      <c r="C51" s="4" t="s">
        <v>135</v>
      </c>
      <c r="D51" s="4" t="s">
        <v>636</v>
      </c>
      <c r="E51" s="4">
        <f t="shared" si="2"/>
        <v>0</v>
      </c>
      <c r="F51" s="4">
        <f>SUMPRODUCT(ТЕХ_Списки!E3:AW3,$D$44:$AV$44)</f>
        <v>8</v>
      </c>
      <c r="G51" s="4">
        <f>SUMPRODUCT(ТЕХ_Списки!E3:AW3,$D$44:$AV$44,$D$45:$AV$45)</f>
        <v>17</v>
      </c>
      <c r="H51" s="4">
        <f>IF(OR('РЕЙД-КОНСТРУКТОР'!$C$3="Любая",'РЕЙД-КОНСТРУКТОР'!$C$3=C51),1,0)</f>
        <v>1</v>
      </c>
      <c r="I51" s="4">
        <f t="shared" si="3"/>
        <v>1708</v>
      </c>
      <c r="J51" s="4" t="e">
        <f ca="1">IF(I51&lt;0,"",_xludf.RANK.EQ(I51,$I$50:$I$119,0)+COUNTIF($I$50:I51,I51)-1)</f>
        <v>#NAME?</v>
      </c>
      <c r="K51" s="4" t="e">
        <f ca="1">IF(F51=0,"—",_xludf.TEXTJOIN(", ",TRUE,IF(AND(ТЕХ_Списки!E3=1,$D$44=1),ТЕХ_Списки!E$1,""),IF(AND(ТЕХ_Списки!F3=1,$E$44=1),ТЕХ_Списки!F$1,""),IF(AND(ТЕХ_Списки!G3=1,$F$44=1),ТЕХ_Списки!G$1,""),IF(AND(ТЕХ_Списки!H3=1,$G$44=1),ТЕХ_Списки!H$1,""),IF(AND(ТЕХ_Списки!I3=1,$H$44=1),ТЕХ_Списки!I$1,""),IF(AND(ТЕХ_Списки!J3=1,$I$44=1),ТЕХ_Списки!J$1,""),IF(AND(ТЕХ_Списки!K3=1,$J$44=1),ТЕХ_Списки!K$1,""),IF(AND(ТЕХ_Списки!L3=1,$K$44=1),ТЕХ_Списки!L$1,""),IF(AND(ТЕХ_Списки!M3=1,$L$44=1),ТЕХ_Списки!M$1,""),IF(AND(ТЕХ_Списки!N3=1,$M$44=1),ТЕХ_Списки!N$1,""),IF(AND(ТЕХ_Списки!O3=1,$N$44=1),ТЕХ_Списки!O$1,""),IF(AND(ТЕХ_Списки!P3=1,$O$44=1),ТЕХ_Списки!P$1,""),IF(AND(ТЕХ_Списки!Q3=1,$P$44=1),ТЕХ_Списки!Q$1,""),IF(AND(ТЕХ_Списки!R3=1,$Q$44=1),ТЕХ_Списки!R$1,""),IF(AND(ТЕХ_Списки!S3=1,$R$44=1),ТЕХ_Списки!S$1,""),IF(AND(ТЕХ_Списки!T3=1,$S$44=1),ТЕХ_Списки!T$1,""),IF(AND(ТЕХ_Списки!U3=1,$T$44=1),ТЕХ_Списки!U$1,""),IF(AND(ТЕХ_Списки!V3=1,$U$44=1),ТЕХ_Списки!V$1,""),IF(AND(ТЕХ_Списки!W3=1,$V$44=1),ТЕХ_Списки!W$1,""),IF(AND(ТЕХ_Списки!X3=1,$W$44=1),ТЕХ_Списки!X$1,""),IF(AND(ТЕХ_Списки!Y3=1,$X$44=1),ТЕХ_Списки!Y$1,""),IF(AND(ТЕХ_Списки!Z3=1,$Y$44=1),ТЕХ_Списки!Z$1,""),IF(AND(ТЕХ_Списки!AA3=1,$Z$44=1),ТЕХ_Списки!AA$1,""),IF(AND(ТЕХ_Списки!AB3=1,$AA$44=1),ТЕХ_Списки!AB$1,""),IF(AND(ТЕХ_Списки!AC3=1,$AB$44=1),ТЕХ_Списки!AC$1,""),IF(AND(ТЕХ_Списки!AD3=1,$AC$44=1),ТЕХ_Списки!AD$1,""),IF(AND(ТЕХ_Списки!AE3=1,$AD$44=1),ТЕХ_Списки!AE$1,""),IF(AND(ТЕХ_Списки!AF3=1,$AE$44=1),ТЕХ_Списки!AF$1,""),IF(AND(ТЕХ_Списки!AG3=1,$AF$44=1),ТЕХ_Списки!AG$1,""),IF(AND(ТЕХ_Списки!AH3=1,$AG$44=1),ТЕХ_Списки!AH$1,""),IF(AND(ТЕХ_Списки!AI3=1,$AH$44=1),ТЕХ_Списки!AI$1,""),IF(AND(ТЕХ_Списки!AJ3=1,$AI$44=1),ТЕХ_Списки!AJ$1,""),IF(AND(ТЕХ_Списки!AK3=1,$AJ$44=1),ТЕХ_Списки!AK$1,""),IF(AND(ТЕХ_Списки!AL3=1,$AK$44=1),ТЕХ_Списки!AL$1,""),IF(AND(ТЕХ_Списки!AM3=1,$AL$44=1),ТЕХ_Списки!AM$1,""),IF(AND(ТЕХ_Списки!AN3=1,$AM$44=1),ТЕХ_Списки!AN$1,""),IF(AND(ТЕХ_Списки!AO3=1,$AN$44=1),ТЕХ_Списки!AO$1,""),IF(AND(ТЕХ_Списки!AP3=1,$AO$44=1),ТЕХ_Списки!AP$1,""),IF(AND(ТЕХ_Списки!AQ3=1,$AP$44=1),ТЕХ_Списки!AQ$1,""),IF(AND(ТЕХ_Списки!AR3=1,$AQ$44=1),ТЕХ_Списки!AR$1,""),IF(AND(ТЕХ_Списки!AS3=1,$AR$44=1),ТЕХ_Списки!AS$1,""),IF(AND(ТЕХ_Списки!AT3=1,$AS$44=1),ТЕХ_Списки!AT$1,""),IF(AND(ТЕХ_Списки!AU3=1,$AT$44=1),ТЕХ_Списки!AU$1,""),IF(AND(ТЕХ_Списки!AV3=1,$AU$44=1),ТЕХ_Списки!AV$1,""),IF(AND(ТЕХ_Списки!AW3=1,$AV$44=1),ТЕХ_Списки!AW$1,"")))</f>
        <v>#NAME?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>
      <c r="A52" s="4" t="s">
        <v>130</v>
      </c>
      <c r="B52" s="4" t="s">
        <v>138</v>
      </c>
      <c r="C52" s="4" t="s">
        <v>139</v>
      </c>
      <c r="D52" s="4" t="s">
        <v>637</v>
      </c>
      <c r="E52" s="4">
        <f t="shared" si="2"/>
        <v>0</v>
      </c>
      <c r="F52" s="4">
        <f>SUMPRODUCT(ТЕХ_Списки!E4:AW4,$D$44:$AV$44)</f>
        <v>8</v>
      </c>
      <c r="G52" s="4">
        <f>SUMPRODUCT(ТЕХ_Списки!E4:AW4,$D$44:$AV$44,$D$45:$AV$45)</f>
        <v>15</v>
      </c>
      <c r="H52" s="4">
        <f>IF(OR('РЕЙД-КОНСТРУКТОР'!$C$3="Любая",'РЕЙД-КОНСТРУКТОР'!$C$3=C52),1,0)</f>
        <v>1</v>
      </c>
      <c r="I52" s="4">
        <f t="shared" si="3"/>
        <v>1508</v>
      </c>
      <c r="J52" s="4" t="e">
        <f ca="1">IF(I52&lt;0,"",_xludf.RANK.EQ(I52,$I$50:$I$119,0)+COUNTIF($I$50:I52,I52)-1)</f>
        <v>#NAME?</v>
      </c>
      <c r="K52" s="4" t="e">
        <f ca="1">IF(F52=0,"—",_xludf.TEXTJOIN(", ",TRUE,IF(AND(ТЕХ_Списки!E4=1,$D$44=1),ТЕХ_Списки!E$1,""),IF(AND(ТЕХ_Списки!F4=1,$E$44=1),ТЕХ_Списки!F$1,""),IF(AND(ТЕХ_Списки!G4=1,$F$44=1),ТЕХ_Списки!G$1,""),IF(AND(ТЕХ_Списки!H4=1,$G$44=1),ТЕХ_Списки!H$1,""),IF(AND(ТЕХ_Списки!I4=1,$H$44=1),ТЕХ_Списки!I$1,""),IF(AND(ТЕХ_Списки!J4=1,$I$44=1),ТЕХ_Списки!J$1,""),IF(AND(ТЕХ_Списки!K4=1,$J$44=1),ТЕХ_Списки!K$1,""),IF(AND(ТЕХ_Списки!L4=1,$K$44=1),ТЕХ_Списки!L$1,""),IF(AND(ТЕХ_Списки!M4=1,$L$44=1),ТЕХ_Списки!M$1,""),IF(AND(ТЕХ_Списки!N4=1,$M$44=1),ТЕХ_Списки!N$1,""),IF(AND(ТЕХ_Списки!O4=1,$N$44=1),ТЕХ_Списки!O$1,""),IF(AND(ТЕХ_Списки!P4=1,$O$44=1),ТЕХ_Списки!P$1,""),IF(AND(ТЕХ_Списки!Q4=1,$P$44=1),ТЕХ_Списки!Q$1,""),IF(AND(ТЕХ_Списки!R4=1,$Q$44=1),ТЕХ_Списки!R$1,""),IF(AND(ТЕХ_Списки!S4=1,$R$44=1),ТЕХ_Списки!S$1,""),IF(AND(ТЕХ_Списки!T4=1,$S$44=1),ТЕХ_Списки!T$1,""),IF(AND(ТЕХ_Списки!U4=1,$T$44=1),ТЕХ_Списки!U$1,""),IF(AND(ТЕХ_Списки!V4=1,$U$44=1),ТЕХ_Списки!V$1,""),IF(AND(ТЕХ_Списки!W4=1,$V$44=1),ТЕХ_Списки!W$1,""),IF(AND(ТЕХ_Списки!X4=1,$W$44=1),ТЕХ_Списки!X$1,""),IF(AND(ТЕХ_Списки!Y4=1,$X$44=1),ТЕХ_Списки!Y$1,""),IF(AND(ТЕХ_Списки!Z4=1,$Y$44=1),ТЕХ_Списки!Z$1,""),IF(AND(ТЕХ_Списки!AA4=1,$Z$44=1),ТЕХ_Списки!AA$1,""),IF(AND(ТЕХ_Списки!AB4=1,$AA$44=1),ТЕХ_Списки!AB$1,""),IF(AND(ТЕХ_Списки!AC4=1,$AB$44=1),ТЕХ_Списки!AC$1,""),IF(AND(ТЕХ_Списки!AD4=1,$AC$44=1),ТЕХ_Списки!AD$1,""),IF(AND(ТЕХ_Списки!AE4=1,$AD$44=1),ТЕХ_Списки!AE$1,""),IF(AND(ТЕХ_Списки!AF4=1,$AE$44=1),ТЕХ_Списки!AF$1,""),IF(AND(ТЕХ_Списки!AG4=1,$AF$44=1),ТЕХ_Списки!AG$1,""),IF(AND(ТЕХ_Списки!AH4=1,$AG$44=1),ТЕХ_Списки!AH$1,""),IF(AND(ТЕХ_Списки!AI4=1,$AH$44=1),ТЕХ_Списки!AI$1,""),IF(AND(ТЕХ_Списки!AJ4=1,$AI$44=1),ТЕХ_Списки!AJ$1,""),IF(AND(ТЕХ_Списки!AK4=1,$AJ$44=1),ТЕХ_Списки!AK$1,""),IF(AND(ТЕХ_Списки!AL4=1,$AK$44=1),ТЕХ_Списки!AL$1,""),IF(AND(ТЕХ_Списки!AM4=1,$AL$44=1),ТЕХ_Списки!AM$1,""),IF(AND(ТЕХ_Списки!AN4=1,$AM$44=1),ТЕХ_Списки!AN$1,""),IF(AND(ТЕХ_Списки!AO4=1,$AN$44=1),ТЕХ_Списки!AO$1,""),IF(AND(ТЕХ_Списки!AP4=1,$AO$44=1),ТЕХ_Списки!AP$1,""),IF(AND(ТЕХ_Списки!AQ4=1,$AP$44=1),ТЕХ_Списки!AQ$1,""),IF(AND(ТЕХ_Списки!AR4=1,$AQ$44=1),ТЕХ_Списки!AR$1,""),IF(AND(ТЕХ_Списки!AS4=1,$AR$44=1),ТЕХ_Списки!AS$1,""),IF(AND(ТЕХ_Списки!AT4=1,$AS$44=1),ТЕХ_Списки!AT$1,""),IF(AND(ТЕХ_Списки!AU4=1,$AT$44=1),ТЕХ_Списки!AU$1,""),IF(AND(ТЕХ_Списки!AV4=1,$AU$44=1),ТЕХ_Списки!AV$1,""),IF(AND(ТЕХ_Списки!AW4=1,$AV$44=1),ТЕХ_Списки!AW$1,"")))</f>
        <v>#NAME?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>
      <c r="A53" s="4" t="s">
        <v>142</v>
      </c>
      <c r="B53" s="4" t="s">
        <v>143</v>
      </c>
      <c r="C53" s="4" t="s">
        <v>139</v>
      </c>
      <c r="D53" s="4" t="s">
        <v>639</v>
      </c>
      <c r="E53" s="4">
        <f t="shared" si="2"/>
        <v>0</v>
      </c>
      <c r="F53" s="4">
        <f>SUMPRODUCT(ТЕХ_Списки!E5:AW5,$D$44:$AV$44)</f>
        <v>10</v>
      </c>
      <c r="G53" s="4">
        <f>SUMPRODUCT(ТЕХ_Списки!E5:AW5,$D$44:$AV$44,$D$45:$AV$45)</f>
        <v>21</v>
      </c>
      <c r="H53" s="4">
        <f>IF(OR('РЕЙД-КОНСТРУКТОР'!$C$3="Любая",'РЕЙД-КОНСТРУКТОР'!$C$3=C53),1,0)</f>
        <v>1</v>
      </c>
      <c r="I53" s="4">
        <f t="shared" si="3"/>
        <v>2110</v>
      </c>
      <c r="J53" s="4" t="e">
        <f ca="1">IF(I53&lt;0,"",_xludf.RANK.EQ(I53,$I$50:$I$119,0)+COUNTIF($I$50:I53,I53)-1)</f>
        <v>#NAME?</v>
      </c>
      <c r="K53" s="4" t="e">
        <f ca="1">IF(F53=0,"—",_xludf.TEXTJOIN(", ",TRUE,IF(AND(ТЕХ_Списки!E5=1,$D$44=1),ТЕХ_Списки!E$1,""),IF(AND(ТЕХ_Списки!F5=1,$E$44=1),ТЕХ_Списки!F$1,""),IF(AND(ТЕХ_Списки!G5=1,$F$44=1),ТЕХ_Списки!G$1,""),IF(AND(ТЕХ_Списки!H5=1,$G$44=1),ТЕХ_Списки!H$1,""),IF(AND(ТЕХ_Списки!I5=1,$H$44=1),ТЕХ_Списки!I$1,""),IF(AND(ТЕХ_Списки!J5=1,$I$44=1),ТЕХ_Списки!J$1,""),IF(AND(ТЕХ_Списки!K5=1,$J$44=1),ТЕХ_Списки!K$1,""),IF(AND(ТЕХ_Списки!L5=1,$K$44=1),ТЕХ_Списки!L$1,""),IF(AND(ТЕХ_Списки!M5=1,$L$44=1),ТЕХ_Списки!M$1,""),IF(AND(ТЕХ_Списки!N5=1,$M$44=1),ТЕХ_Списки!N$1,""),IF(AND(ТЕХ_Списки!O5=1,$N$44=1),ТЕХ_Списки!O$1,""),IF(AND(ТЕХ_Списки!P5=1,$O$44=1),ТЕХ_Списки!P$1,""),IF(AND(ТЕХ_Списки!Q5=1,$P$44=1),ТЕХ_Списки!Q$1,""),IF(AND(ТЕХ_Списки!R5=1,$Q$44=1),ТЕХ_Списки!R$1,""),IF(AND(ТЕХ_Списки!S5=1,$R$44=1),ТЕХ_Списки!S$1,""),IF(AND(ТЕХ_Списки!T5=1,$S$44=1),ТЕХ_Списки!T$1,""),IF(AND(ТЕХ_Списки!U5=1,$T$44=1),ТЕХ_Списки!U$1,""),IF(AND(ТЕХ_Списки!V5=1,$U$44=1),ТЕХ_Списки!V$1,""),IF(AND(ТЕХ_Списки!W5=1,$V$44=1),ТЕХ_Списки!W$1,""),IF(AND(ТЕХ_Списки!X5=1,$W$44=1),ТЕХ_Списки!X$1,""),IF(AND(ТЕХ_Списки!Y5=1,$X$44=1),ТЕХ_Списки!Y$1,""),IF(AND(ТЕХ_Списки!Z5=1,$Y$44=1),ТЕХ_Списки!Z$1,""),IF(AND(ТЕХ_Списки!AA5=1,$Z$44=1),ТЕХ_Списки!AA$1,""),IF(AND(ТЕХ_Списки!AB5=1,$AA$44=1),ТЕХ_Списки!AB$1,""),IF(AND(ТЕХ_Списки!AC5=1,$AB$44=1),ТЕХ_Списки!AC$1,""),IF(AND(ТЕХ_Списки!AD5=1,$AC$44=1),ТЕХ_Списки!AD$1,""),IF(AND(ТЕХ_Списки!AE5=1,$AD$44=1),ТЕХ_Списки!AE$1,""),IF(AND(ТЕХ_Списки!AF5=1,$AE$44=1),ТЕХ_Списки!AF$1,""),IF(AND(ТЕХ_Списки!AG5=1,$AF$44=1),ТЕХ_Списки!AG$1,""),IF(AND(ТЕХ_Списки!AH5=1,$AG$44=1),ТЕХ_Списки!AH$1,""),IF(AND(ТЕХ_Списки!AI5=1,$AH$44=1),ТЕХ_Списки!AI$1,""),IF(AND(ТЕХ_Списки!AJ5=1,$AI$44=1),ТЕХ_Списки!AJ$1,""),IF(AND(ТЕХ_Списки!AK5=1,$AJ$44=1),ТЕХ_Списки!AK$1,""),IF(AND(ТЕХ_Списки!AL5=1,$AK$44=1),ТЕХ_Списки!AL$1,""),IF(AND(ТЕХ_Списки!AM5=1,$AL$44=1),ТЕХ_Списки!AM$1,""),IF(AND(ТЕХ_Списки!AN5=1,$AM$44=1),ТЕХ_Списки!AN$1,""),IF(AND(ТЕХ_Списки!AO5=1,$AN$44=1),ТЕХ_Списки!AO$1,""),IF(AND(ТЕХ_Списки!AP5=1,$AO$44=1),ТЕХ_Списки!AP$1,""),IF(AND(ТЕХ_Списки!AQ5=1,$AP$44=1),ТЕХ_Списки!AQ$1,""),IF(AND(ТЕХ_Списки!AR5=1,$AQ$44=1),ТЕХ_Списки!AR$1,""),IF(AND(ТЕХ_Списки!AS5=1,$AR$44=1),ТЕХ_Списки!AS$1,""),IF(AND(ТЕХ_Списки!AT5=1,$AS$44=1),ТЕХ_Списки!AT$1,""),IF(AND(ТЕХ_Списки!AU5=1,$AT$44=1),ТЕХ_Списки!AU$1,""),IF(AND(ТЕХ_Списки!AV5=1,$AU$44=1),ТЕХ_Списки!AV$1,""),IF(AND(ТЕХ_Списки!AW5=1,$AV$44=1),ТЕХ_Списки!AW$1,"")))</f>
        <v>#NAME?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>
      <c r="A54" s="4" t="s">
        <v>142</v>
      </c>
      <c r="B54" s="4" t="s">
        <v>146</v>
      </c>
      <c r="C54" s="4" t="s">
        <v>139</v>
      </c>
      <c r="D54" s="4" t="s">
        <v>641</v>
      </c>
      <c r="E54" s="4">
        <f t="shared" si="2"/>
        <v>0</v>
      </c>
      <c r="F54" s="4">
        <f>SUMPRODUCT(ТЕХ_Списки!E6:AW6,$D$44:$AV$44)</f>
        <v>10</v>
      </c>
      <c r="G54" s="4">
        <f>SUMPRODUCT(ТЕХ_Списки!E6:AW6,$D$44:$AV$44,$D$45:$AV$45)</f>
        <v>21</v>
      </c>
      <c r="H54" s="4">
        <f>IF(OR('РЕЙД-КОНСТРУКТОР'!$C$3="Любая",'РЕЙД-КОНСТРУКТОР'!$C$3=C54),1,0)</f>
        <v>1</v>
      </c>
      <c r="I54" s="4">
        <f t="shared" si="3"/>
        <v>2110</v>
      </c>
      <c r="J54" s="4" t="e">
        <f ca="1">IF(I54&lt;0,"",_xludf.RANK.EQ(I54,$I$50:$I$119,0)+COUNTIF($I$50:I54,I54)-1)</f>
        <v>#NAME?</v>
      </c>
      <c r="K54" s="4" t="e">
        <f ca="1">IF(F54=0,"—",_xludf.TEXTJOIN(", ",TRUE,IF(AND(ТЕХ_Списки!E6=1,$D$44=1),ТЕХ_Списки!E$1,""),IF(AND(ТЕХ_Списки!F6=1,$E$44=1),ТЕХ_Списки!F$1,""),IF(AND(ТЕХ_Списки!G6=1,$F$44=1),ТЕХ_Списки!G$1,""),IF(AND(ТЕХ_Списки!H6=1,$G$44=1),ТЕХ_Списки!H$1,""),IF(AND(ТЕХ_Списки!I6=1,$H$44=1),ТЕХ_Списки!I$1,""),IF(AND(ТЕХ_Списки!J6=1,$I$44=1),ТЕХ_Списки!J$1,""),IF(AND(ТЕХ_Списки!K6=1,$J$44=1),ТЕХ_Списки!K$1,""),IF(AND(ТЕХ_Списки!L6=1,$K$44=1),ТЕХ_Списки!L$1,""),IF(AND(ТЕХ_Списки!M6=1,$L$44=1),ТЕХ_Списки!M$1,""),IF(AND(ТЕХ_Списки!N6=1,$M$44=1),ТЕХ_Списки!N$1,""),IF(AND(ТЕХ_Списки!O6=1,$N$44=1),ТЕХ_Списки!O$1,""),IF(AND(ТЕХ_Списки!P6=1,$O$44=1),ТЕХ_Списки!P$1,""),IF(AND(ТЕХ_Списки!Q6=1,$P$44=1),ТЕХ_Списки!Q$1,""),IF(AND(ТЕХ_Списки!R6=1,$Q$44=1),ТЕХ_Списки!R$1,""),IF(AND(ТЕХ_Списки!S6=1,$R$44=1),ТЕХ_Списки!S$1,""),IF(AND(ТЕХ_Списки!T6=1,$S$44=1),ТЕХ_Списки!T$1,""),IF(AND(ТЕХ_Списки!U6=1,$T$44=1),ТЕХ_Списки!U$1,""),IF(AND(ТЕХ_Списки!V6=1,$U$44=1),ТЕХ_Списки!V$1,""),IF(AND(ТЕХ_Списки!W6=1,$V$44=1),ТЕХ_Списки!W$1,""),IF(AND(ТЕХ_Списки!X6=1,$W$44=1),ТЕХ_Списки!X$1,""),IF(AND(ТЕХ_Списки!Y6=1,$X$44=1),ТЕХ_Списки!Y$1,""),IF(AND(ТЕХ_Списки!Z6=1,$Y$44=1),ТЕХ_Списки!Z$1,""),IF(AND(ТЕХ_Списки!AA6=1,$Z$44=1),ТЕХ_Списки!AA$1,""),IF(AND(ТЕХ_Списки!AB6=1,$AA$44=1),ТЕХ_Списки!AB$1,""),IF(AND(ТЕХ_Списки!AC6=1,$AB$44=1),ТЕХ_Списки!AC$1,""),IF(AND(ТЕХ_Списки!AD6=1,$AC$44=1),ТЕХ_Списки!AD$1,""),IF(AND(ТЕХ_Списки!AE6=1,$AD$44=1),ТЕХ_Списки!AE$1,""),IF(AND(ТЕХ_Списки!AF6=1,$AE$44=1),ТЕХ_Списки!AF$1,""),IF(AND(ТЕХ_Списки!AG6=1,$AF$44=1),ТЕХ_Списки!AG$1,""),IF(AND(ТЕХ_Списки!AH6=1,$AG$44=1),ТЕХ_Списки!AH$1,""),IF(AND(ТЕХ_Списки!AI6=1,$AH$44=1),ТЕХ_Списки!AI$1,""),IF(AND(ТЕХ_Списки!AJ6=1,$AI$44=1),ТЕХ_Списки!AJ$1,""),IF(AND(ТЕХ_Списки!AK6=1,$AJ$44=1),ТЕХ_Списки!AK$1,""),IF(AND(ТЕХ_Списки!AL6=1,$AK$44=1),ТЕХ_Списки!AL$1,""),IF(AND(ТЕХ_Списки!AM6=1,$AL$44=1),ТЕХ_Списки!AM$1,""),IF(AND(ТЕХ_Списки!AN6=1,$AM$44=1),ТЕХ_Списки!AN$1,""),IF(AND(ТЕХ_Списки!AO6=1,$AN$44=1),ТЕХ_Списки!AO$1,""),IF(AND(ТЕХ_Списки!AP6=1,$AO$44=1),ТЕХ_Списки!AP$1,""),IF(AND(ТЕХ_Списки!AQ6=1,$AP$44=1),ТЕХ_Списки!AQ$1,""),IF(AND(ТЕХ_Списки!AR6=1,$AQ$44=1),ТЕХ_Списки!AR$1,""),IF(AND(ТЕХ_Списки!AS6=1,$AR$44=1),ТЕХ_Списки!AS$1,""),IF(AND(ТЕХ_Списки!AT6=1,$AS$44=1),ТЕХ_Списки!AT$1,""),IF(AND(ТЕХ_Списки!AU6=1,$AT$44=1),ТЕХ_Списки!AU$1,""),IF(AND(ТЕХ_Списки!AV6=1,$AU$44=1),ТЕХ_Списки!AV$1,""),IF(AND(ТЕХ_Списки!AW6=1,$AV$44=1),ТЕХ_Списки!AW$1,"")))</f>
        <v>#NAME?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>
      <c r="A55" s="4" t="s">
        <v>142</v>
      </c>
      <c r="B55" s="4" t="s">
        <v>149</v>
      </c>
      <c r="C55" s="4" t="s">
        <v>81</v>
      </c>
      <c r="D55" s="4" t="s">
        <v>642</v>
      </c>
      <c r="E55" s="4">
        <f t="shared" si="2"/>
        <v>0</v>
      </c>
      <c r="F55" s="4">
        <f>SUMPRODUCT(ТЕХ_Списки!E7:AW7,$D$44:$AV$44)</f>
        <v>10</v>
      </c>
      <c r="G55" s="4">
        <f>SUMPRODUCT(ТЕХ_Списки!E7:AW7,$D$44:$AV$44,$D$45:$AV$45)</f>
        <v>21</v>
      </c>
      <c r="H55" s="4">
        <f>IF(OR('РЕЙД-КОНСТРУКТОР'!$C$3="Любая",'РЕЙД-КОНСТРУКТОР'!$C$3=C55),1,0)</f>
        <v>1</v>
      </c>
      <c r="I55" s="4">
        <f t="shared" si="3"/>
        <v>2110</v>
      </c>
      <c r="J55" s="4" t="e">
        <f ca="1">IF(I55&lt;0,"",_xludf.RANK.EQ(I55,$I$50:$I$119,0)+COUNTIF($I$50:I55,I55)-1)</f>
        <v>#NAME?</v>
      </c>
      <c r="K55" s="4" t="e">
        <f ca="1">IF(F55=0,"—",_xludf.TEXTJOIN(", ",TRUE,IF(AND(ТЕХ_Списки!E7=1,$D$44=1),ТЕХ_Списки!E$1,""),IF(AND(ТЕХ_Списки!F7=1,$E$44=1),ТЕХ_Списки!F$1,""),IF(AND(ТЕХ_Списки!G7=1,$F$44=1),ТЕХ_Списки!G$1,""),IF(AND(ТЕХ_Списки!H7=1,$G$44=1),ТЕХ_Списки!H$1,""),IF(AND(ТЕХ_Списки!I7=1,$H$44=1),ТЕХ_Списки!I$1,""),IF(AND(ТЕХ_Списки!J7=1,$I$44=1),ТЕХ_Списки!J$1,""),IF(AND(ТЕХ_Списки!K7=1,$J$44=1),ТЕХ_Списки!K$1,""),IF(AND(ТЕХ_Списки!L7=1,$K$44=1),ТЕХ_Списки!L$1,""),IF(AND(ТЕХ_Списки!M7=1,$L$44=1),ТЕХ_Списки!M$1,""),IF(AND(ТЕХ_Списки!N7=1,$M$44=1),ТЕХ_Списки!N$1,""),IF(AND(ТЕХ_Списки!O7=1,$N$44=1),ТЕХ_Списки!O$1,""),IF(AND(ТЕХ_Списки!P7=1,$O$44=1),ТЕХ_Списки!P$1,""),IF(AND(ТЕХ_Списки!Q7=1,$P$44=1),ТЕХ_Списки!Q$1,""),IF(AND(ТЕХ_Списки!R7=1,$Q$44=1),ТЕХ_Списки!R$1,""),IF(AND(ТЕХ_Списки!S7=1,$R$44=1),ТЕХ_Списки!S$1,""),IF(AND(ТЕХ_Списки!T7=1,$S$44=1),ТЕХ_Списки!T$1,""),IF(AND(ТЕХ_Списки!U7=1,$T$44=1),ТЕХ_Списки!U$1,""),IF(AND(ТЕХ_Списки!V7=1,$U$44=1),ТЕХ_Списки!V$1,""),IF(AND(ТЕХ_Списки!W7=1,$V$44=1),ТЕХ_Списки!W$1,""),IF(AND(ТЕХ_Списки!X7=1,$W$44=1),ТЕХ_Списки!X$1,""),IF(AND(ТЕХ_Списки!Y7=1,$X$44=1),ТЕХ_Списки!Y$1,""),IF(AND(ТЕХ_Списки!Z7=1,$Y$44=1),ТЕХ_Списки!Z$1,""),IF(AND(ТЕХ_Списки!AA7=1,$Z$44=1),ТЕХ_Списки!AA$1,""),IF(AND(ТЕХ_Списки!AB7=1,$AA$44=1),ТЕХ_Списки!AB$1,""),IF(AND(ТЕХ_Списки!AC7=1,$AB$44=1),ТЕХ_Списки!AC$1,""),IF(AND(ТЕХ_Списки!AD7=1,$AC$44=1),ТЕХ_Списки!AD$1,""),IF(AND(ТЕХ_Списки!AE7=1,$AD$44=1),ТЕХ_Списки!AE$1,""),IF(AND(ТЕХ_Списки!AF7=1,$AE$44=1),ТЕХ_Списки!AF$1,""),IF(AND(ТЕХ_Списки!AG7=1,$AF$44=1),ТЕХ_Списки!AG$1,""),IF(AND(ТЕХ_Списки!AH7=1,$AG$44=1),ТЕХ_Списки!AH$1,""),IF(AND(ТЕХ_Списки!AI7=1,$AH$44=1),ТЕХ_Списки!AI$1,""),IF(AND(ТЕХ_Списки!AJ7=1,$AI$44=1),ТЕХ_Списки!AJ$1,""),IF(AND(ТЕХ_Списки!AK7=1,$AJ$44=1),ТЕХ_Списки!AK$1,""),IF(AND(ТЕХ_Списки!AL7=1,$AK$44=1),ТЕХ_Списки!AL$1,""),IF(AND(ТЕХ_Списки!AM7=1,$AL$44=1),ТЕХ_Списки!AM$1,""),IF(AND(ТЕХ_Списки!AN7=1,$AM$44=1),ТЕХ_Списки!AN$1,""),IF(AND(ТЕХ_Списки!AO7=1,$AN$44=1),ТЕХ_Списки!AO$1,""),IF(AND(ТЕХ_Списки!AP7=1,$AO$44=1),ТЕХ_Списки!AP$1,""),IF(AND(ТЕХ_Списки!AQ7=1,$AP$44=1),ТЕХ_Списки!AQ$1,""),IF(AND(ТЕХ_Списки!AR7=1,$AQ$44=1),ТЕХ_Списки!AR$1,""),IF(AND(ТЕХ_Списки!AS7=1,$AR$44=1),ТЕХ_Списки!AS$1,""),IF(AND(ТЕХ_Списки!AT7=1,$AS$44=1),ТЕХ_Списки!AT$1,""),IF(AND(ТЕХ_Списки!AU7=1,$AT$44=1),ТЕХ_Списки!AU$1,""),IF(AND(ТЕХ_Списки!AV7=1,$AU$44=1),ТЕХ_Списки!AV$1,""),IF(AND(ТЕХ_Списки!AW7=1,$AV$44=1),ТЕХ_Списки!AW$1,"")))</f>
        <v>#NAME?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>
      <c r="A56" s="4" t="s">
        <v>152</v>
      </c>
      <c r="B56" s="4" t="s">
        <v>153</v>
      </c>
      <c r="C56" s="4" t="s">
        <v>139</v>
      </c>
      <c r="D56" s="4" t="s">
        <v>643</v>
      </c>
      <c r="E56" s="4">
        <f t="shared" si="2"/>
        <v>0</v>
      </c>
      <c r="F56" s="4">
        <f>SUMPRODUCT(ТЕХ_Списки!E8:AW8,$D$44:$AV$44)</f>
        <v>8</v>
      </c>
      <c r="G56" s="4">
        <f>SUMPRODUCT(ТЕХ_Списки!E8:AW8,$D$44:$AV$44,$D$45:$AV$45)</f>
        <v>18</v>
      </c>
      <c r="H56" s="4">
        <f>IF(OR('РЕЙД-КОНСТРУКТОР'!$C$3="Любая",'РЕЙД-КОНСТРУКТОР'!$C$3=C56),1,0)</f>
        <v>1</v>
      </c>
      <c r="I56" s="4">
        <f t="shared" si="3"/>
        <v>1808</v>
      </c>
      <c r="J56" s="4" t="e">
        <f ca="1">IF(I56&lt;0,"",_xludf.RANK.EQ(I56,$I$50:$I$119,0)+COUNTIF($I$50:I56,I56)-1)</f>
        <v>#NAME?</v>
      </c>
      <c r="K56" s="4" t="e">
        <f ca="1">IF(F56=0,"—",_xludf.TEXTJOIN(", ",TRUE,IF(AND(ТЕХ_Списки!E8=1,$D$44=1),ТЕХ_Списки!E$1,""),IF(AND(ТЕХ_Списки!F8=1,$E$44=1),ТЕХ_Списки!F$1,""),IF(AND(ТЕХ_Списки!G8=1,$F$44=1),ТЕХ_Списки!G$1,""),IF(AND(ТЕХ_Списки!H8=1,$G$44=1),ТЕХ_Списки!H$1,""),IF(AND(ТЕХ_Списки!I8=1,$H$44=1),ТЕХ_Списки!I$1,""),IF(AND(ТЕХ_Списки!J8=1,$I$44=1),ТЕХ_Списки!J$1,""),IF(AND(ТЕХ_Списки!K8=1,$J$44=1),ТЕХ_Списки!K$1,""),IF(AND(ТЕХ_Списки!L8=1,$K$44=1),ТЕХ_Списки!L$1,""),IF(AND(ТЕХ_Списки!M8=1,$L$44=1),ТЕХ_Списки!M$1,""),IF(AND(ТЕХ_Списки!N8=1,$M$44=1),ТЕХ_Списки!N$1,""),IF(AND(ТЕХ_Списки!O8=1,$N$44=1),ТЕХ_Списки!O$1,""),IF(AND(ТЕХ_Списки!P8=1,$O$44=1),ТЕХ_Списки!P$1,""),IF(AND(ТЕХ_Списки!Q8=1,$P$44=1),ТЕХ_Списки!Q$1,""),IF(AND(ТЕХ_Списки!R8=1,$Q$44=1),ТЕХ_Списки!R$1,""),IF(AND(ТЕХ_Списки!S8=1,$R$44=1),ТЕХ_Списки!S$1,""),IF(AND(ТЕХ_Списки!T8=1,$S$44=1),ТЕХ_Списки!T$1,""),IF(AND(ТЕХ_Списки!U8=1,$T$44=1),ТЕХ_Списки!U$1,""),IF(AND(ТЕХ_Списки!V8=1,$U$44=1),ТЕХ_Списки!V$1,""),IF(AND(ТЕХ_Списки!W8=1,$V$44=1),ТЕХ_Списки!W$1,""),IF(AND(ТЕХ_Списки!X8=1,$W$44=1),ТЕХ_Списки!X$1,""),IF(AND(ТЕХ_Списки!Y8=1,$X$44=1),ТЕХ_Списки!Y$1,""),IF(AND(ТЕХ_Списки!Z8=1,$Y$44=1),ТЕХ_Списки!Z$1,""),IF(AND(ТЕХ_Списки!AA8=1,$Z$44=1),ТЕХ_Списки!AA$1,""),IF(AND(ТЕХ_Списки!AB8=1,$AA$44=1),ТЕХ_Списки!AB$1,""),IF(AND(ТЕХ_Списки!AC8=1,$AB$44=1),ТЕХ_Списки!AC$1,""),IF(AND(ТЕХ_Списки!AD8=1,$AC$44=1),ТЕХ_Списки!AD$1,""),IF(AND(ТЕХ_Списки!AE8=1,$AD$44=1),ТЕХ_Списки!AE$1,""),IF(AND(ТЕХ_Списки!AF8=1,$AE$44=1),ТЕХ_Списки!AF$1,""),IF(AND(ТЕХ_Списки!AG8=1,$AF$44=1),ТЕХ_Списки!AG$1,""),IF(AND(ТЕХ_Списки!AH8=1,$AG$44=1),ТЕХ_Списки!AH$1,""),IF(AND(ТЕХ_Списки!AI8=1,$AH$44=1),ТЕХ_Списки!AI$1,""),IF(AND(ТЕХ_Списки!AJ8=1,$AI$44=1),ТЕХ_Списки!AJ$1,""),IF(AND(ТЕХ_Списки!AK8=1,$AJ$44=1),ТЕХ_Списки!AK$1,""),IF(AND(ТЕХ_Списки!AL8=1,$AK$44=1),ТЕХ_Списки!AL$1,""),IF(AND(ТЕХ_Списки!AM8=1,$AL$44=1),ТЕХ_Списки!AM$1,""),IF(AND(ТЕХ_Списки!AN8=1,$AM$44=1),ТЕХ_Списки!AN$1,""),IF(AND(ТЕХ_Списки!AO8=1,$AN$44=1),ТЕХ_Списки!AO$1,""),IF(AND(ТЕХ_Списки!AP8=1,$AO$44=1),ТЕХ_Списки!AP$1,""),IF(AND(ТЕХ_Списки!AQ8=1,$AP$44=1),ТЕХ_Списки!AQ$1,""),IF(AND(ТЕХ_Списки!AR8=1,$AQ$44=1),ТЕХ_Списки!AR$1,""),IF(AND(ТЕХ_Списки!AS8=1,$AR$44=1),ТЕХ_Списки!AS$1,""),IF(AND(ТЕХ_Списки!AT8=1,$AS$44=1),ТЕХ_Списки!AT$1,""),IF(AND(ТЕХ_Списки!AU8=1,$AT$44=1),ТЕХ_Списки!AU$1,""),IF(AND(ТЕХ_Списки!AV8=1,$AU$44=1),ТЕХ_Списки!AV$1,""),IF(AND(ТЕХ_Списки!AW8=1,$AV$44=1),ТЕХ_Списки!AW$1,"")))</f>
        <v>#NAME?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>
      <c r="A57" s="4" t="s">
        <v>152</v>
      </c>
      <c r="B57" s="4" t="s">
        <v>156</v>
      </c>
      <c r="C57" s="4" t="s">
        <v>78</v>
      </c>
      <c r="D57" s="4" t="s">
        <v>644</v>
      </c>
      <c r="E57" s="4">
        <f t="shared" si="2"/>
        <v>0</v>
      </c>
      <c r="F57" s="4">
        <f>SUMPRODUCT(ТЕХ_Списки!E9:AW9,$D$44:$AV$44)</f>
        <v>11</v>
      </c>
      <c r="G57" s="4">
        <f>SUMPRODUCT(ТЕХ_Списки!E9:AW9,$D$44:$AV$44,$D$45:$AV$45)</f>
        <v>27</v>
      </c>
      <c r="H57" s="4">
        <f>IF(OR('РЕЙД-КОНСТРУКТОР'!$C$3="Любая",'РЕЙД-КОНСТРУКТОР'!$C$3=C57),1,0)</f>
        <v>1</v>
      </c>
      <c r="I57" s="4">
        <f t="shared" si="3"/>
        <v>2711</v>
      </c>
      <c r="J57" s="4" t="e">
        <f ca="1">IF(I57&lt;0,"",_xludf.RANK.EQ(I57,$I$50:$I$119,0)+COUNTIF($I$50:I57,I57)-1)</f>
        <v>#NAME?</v>
      </c>
      <c r="K57" s="4" t="e">
        <f ca="1">IF(F57=0,"—",_xludf.TEXTJOIN(", ",TRUE,IF(AND(ТЕХ_Списки!E9=1,$D$44=1),ТЕХ_Списки!E$1,""),IF(AND(ТЕХ_Списки!F9=1,$E$44=1),ТЕХ_Списки!F$1,""),IF(AND(ТЕХ_Списки!G9=1,$F$44=1),ТЕХ_Списки!G$1,""),IF(AND(ТЕХ_Списки!H9=1,$G$44=1),ТЕХ_Списки!H$1,""),IF(AND(ТЕХ_Списки!I9=1,$H$44=1),ТЕХ_Списки!I$1,""),IF(AND(ТЕХ_Списки!J9=1,$I$44=1),ТЕХ_Списки!J$1,""),IF(AND(ТЕХ_Списки!K9=1,$J$44=1),ТЕХ_Списки!K$1,""),IF(AND(ТЕХ_Списки!L9=1,$K$44=1),ТЕХ_Списки!L$1,""),IF(AND(ТЕХ_Списки!M9=1,$L$44=1),ТЕХ_Списки!M$1,""),IF(AND(ТЕХ_Списки!N9=1,$M$44=1),ТЕХ_Списки!N$1,""),IF(AND(ТЕХ_Списки!O9=1,$N$44=1),ТЕХ_Списки!O$1,""),IF(AND(ТЕХ_Списки!P9=1,$O$44=1),ТЕХ_Списки!P$1,""),IF(AND(ТЕХ_Списки!Q9=1,$P$44=1),ТЕХ_Списки!Q$1,""),IF(AND(ТЕХ_Списки!R9=1,$Q$44=1),ТЕХ_Списки!R$1,""),IF(AND(ТЕХ_Списки!S9=1,$R$44=1),ТЕХ_Списки!S$1,""),IF(AND(ТЕХ_Списки!T9=1,$S$44=1),ТЕХ_Списки!T$1,""),IF(AND(ТЕХ_Списки!U9=1,$T$44=1),ТЕХ_Списки!U$1,""),IF(AND(ТЕХ_Списки!V9=1,$U$44=1),ТЕХ_Списки!V$1,""),IF(AND(ТЕХ_Списки!W9=1,$V$44=1),ТЕХ_Списки!W$1,""),IF(AND(ТЕХ_Списки!X9=1,$W$44=1),ТЕХ_Списки!X$1,""),IF(AND(ТЕХ_Списки!Y9=1,$X$44=1),ТЕХ_Списки!Y$1,""),IF(AND(ТЕХ_Списки!Z9=1,$Y$44=1),ТЕХ_Списки!Z$1,""),IF(AND(ТЕХ_Списки!AA9=1,$Z$44=1),ТЕХ_Списки!AA$1,""),IF(AND(ТЕХ_Списки!AB9=1,$AA$44=1),ТЕХ_Списки!AB$1,""),IF(AND(ТЕХ_Списки!AC9=1,$AB$44=1),ТЕХ_Списки!AC$1,""),IF(AND(ТЕХ_Списки!AD9=1,$AC$44=1),ТЕХ_Списки!AD$1,""),IF(AND(ТЕХ_Списки!AE9=1,$AD$44=1),ТЕХ_Списки!AE$1,""),IF(AND(ТЕХ_Списки!AF9=1,$AE$44=1),ТЕХ_Списки!AF$1,""),IF(AND(ТЕХ_Списки!AG9=1,$AF$44=1),ТЕХ_Списки!AG$1,""),IF(AND(ТЕХ_Списки!AH9=1,$AG$44=1),ТЕХ_Списки!AH$1,""),IF(AND(ТЕХ_Списки!AI9=1,$AH$44=1),ТЕХ_Списки!AI$1,""),IF(AND(ТЕХ_Списки!AJ9=1,$AI$44=1),ТЕХ_Списки!AJ$1,""),IF(AND(ТЕХ_Списки!AK9=1,$AJ$44=1),ТЕХ_Списки!AK$1,""),IF(AND(ТЕХ_Списки!AL9=1,$AK$44=1),ТЕХ_Списки!AL$1,""),IF(AND(ТЕХ_Списки!AM9=1,$AL$44=1),ТЕХ_Списки!AM$1,""),IF(AND(ТЕХ_Списки!AN9=1,$AM$44=1),ТЕХ_Списки!AN$1,""),IF(AND(ТЕХ_Списки!AO9=1,$AN$44=1),ТЕХ_Списки!AO$1,""),IF(AND(ТЕХ_Списки!AP9=1,$AO$44=1),ТЕХ_Списки!AP$1,""),IF(AND(ТЕХ_Списки!AQ9=1,$AP$44=1),ТЕХ_Списки!AQ$1,""),IF(AND(ТЕХ_Списки!AR9=1,$AQ$44=1),ТЕХ_Списки!AR$1,""),IF(AND(ТЕХ_Списки!AS9=1,$AR$44=1),ТЕХ_Списки!AS$1,""),IF(AND(ТЕХ_Списки!AT9=1,$AS$44=1),ТЕХ_Списки!AT$1,""),IF(AND(ТЕХ_Списки!AU9=1,$AT$44=1),ТЕХ_Списки!AU$1,""),IF(AND(ТЕХ_Списки!AV9=1,$AU$44=1),ТЕХ_Списки!AV$1,""),IF(AND(ТЕХ_Списки!AW9=1,$AV$44=1),ТЕХ_Списки!AW$1,"")))</f>
        <v>#NAME?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>
      <c r="A58" s="4" t="s">
        <v>152</v>
      </c>
      <c r="B58" s="4" t="s">
        <v>159</v>
      </c>
      <c r="C58" s="4" t="s">
        <v>135</v>
      </c>
      <c r="D58" s="4" t="s">
        <v>645</v>
      </c>
      <c r="E58" s="4">
        <f t="shared" si="2"/>
        <v>0</v>
      </c>
      <c r="F58" s="4">
        <f>SUMPRODUCT(ТЕХ_Списки!E10:AW10,$D$44:$AV$44)</f>
        <v>10</v>
      </c>
      <c r="G58" s="4">
        <f>SUMPRODUCT(ТЕХ_Списки!E10:AW10,$D$44:$AV$44,$D$45:$AV$45)</f>
        <v>20</v>
      </c>
      <c r="H58" s="4">
        <f>IF(OR('РЕЙД-КОНСТРУКТОР'!$C$3="Любая",'РЕЙД-КОНСТРУКТОР'!$C$3=C58),1,0)</f>
        <v>1</v>
      </c>
      <c r="I58" s="4">
        <f t="shared" si="3"/>
        <v>2010</v>
      </c>
      <c r="J58" s="4" t="e">
        <f ca="1">IF(I58&lt;0,"",_xludf.RANK.EQ(I58,$I$50:$I$119,0)+COUNTIF($I$50:I58,I58)-1)</f>
        <v>#NAME?</v>
      </c>
      <c r="K58" s="4" t="e">
        <f ca="1">IF(F58=0,"—",_xludf.TEXTJOIN(", ",TRUE,IF(AND(ТЕХ_Списки!E10=1,$D$44=1),ТЕХ_Списки!E$1,""),IF(AND(ТЕХ_Списки!F10=1,$E$44=1),ТЕХ_Списки!F$1,""),IF(AND(ТЕХ_Списки!G10=1,$F$44=1),ТЕХ_Списки!G$1,""),IF(AND(ТЕХ_Списки!H10=1,$G$44=1),ТЕХ_Списки!H$1,""),IF(AND(ТЕХ_Списки!I10=1,$H$44=1),ТЕХ_Списки!I$1,""),IF(AND(ТЕХ_Списки!J10=1,$I$44=1),ТЕХ_Списки!J$1,""),IF(AND(ТЕХ_Списки!K10=1,$J$44=1),ТЕХ_Списки!K$1,""),IF(AND(ТЕХ_Списки!L10=1,$K$44=1),ТЕХ_Списки!L$1,""),IF(AND(ТЕХ_Списки!M10=1,$L$44=1),ТЕХ_Списки!M$1,""),IF(AND(ТЕХ_Списки!N10=1,$M$44=1),ТЕХ_Списки!N$1,""),IF(AND(ТЕХ_Списки!O10=1,$N$44=1),ТЕХ_Списки!O$1,""),IF(AND(ТЕХ_Списки!P10=1,$O$44=1),ТЕХ_Списки!P$1,""),IF(AND(ТЕХ_Списки!Q10=1,$P$44=1),ТЕХ_Списки!Q$1,""),IF(AND(ТЕХ_Списки!R10=1,$Q$44=1),ТЕХ_Списки!R$1,""),IF(AND(ТЕХ_Списки!S10=1,$R$44=1),ТЕХ_Списки!S$1,""),IF(AND(ТЕХ_Списки!T10=1,$S$44=1),ТЕХ_Списки!T$1,""),IF(AND(ТЕХ_Списки!U10=1,$T$44=1),ТЕХ_Списки!U$1,""),IF(AND(ТЕХ_Списки!V10=1,$U$44=1),ТЕХ_Списки!V$1,""),IF(AND(ТЕХ_Списки!W10=1,$V$44=1),ТЕХ_Списки!W$1,""),IF(AND(ТЕХ_Списки!X10=1,$W$44=1),ТЕХ_Списки!X$1,""),IF(AND(ТЕХ_Списки!Y10=1,$X$44=1),ТЕХ_Списки!Y$1,""),IF(AND(ТЕХ_Списки!Z10=1,$Y$44=1),ТЕХ_Списки!Z$1,""),IF(AND(ТЕХ_Списки!AA10=1,$Z$44=1),ТЕХ_Списки!AA$1,""),IF(AND(ТЕХ_Списки!AB10=1,$AA$44=1),ТЕХ_Списки!AB$1,""),IF(AND(ТЕХ_Списки!AC10=1,$AB$44=1),ТЕХ_Списки!AC$1,""),IF(AND(ТЕХ_Списки!AD10=1,$AC$44=1),ТЕХ_Списки!AD$1,""),IF(AND(ТЕХ_Списки!AE10=1,$AD$44=1),ТЕХ_Списки!AE$1,""),IF(AND(ТЕХ_Списки!AF10=1,$AE$44=1),ТЕХ_Списки!AF$1,""),IF(AND(ТЕХ_Списки!AG10=1,$AF$44=1),ТЕХ_Списки!AG$1,""),IF(AND(ТЕХ_Списки!AH10=1,$AG$44=1),ТЕХ_Списки!AH$1,""),IF(AND(ТЕХ_Списки!AI10=1,$AH$44=1),ТЕХ_Списки!AI$1,""),IF(AND(ТЕХ_Списки!AJ10=1,$AI$44=1),ТЕХ_Списки!AJ$1,""),IF(AND(ТЕХ_Списки!AK10=1,$AJ$44=1),ТЕХ_Списки!AK$1,""),IF(AND(ТЕХ_Списки!AL10=1,$AK$44=1),ТЕХ_Списки!AL$1,""),IF(AND(ТЕХ_Списки!AM10=1,$AL$44=1),ТЕХ_Списки!AM$1,""),IF(AND(ТЕХ_Списки!AN10=1,$AM$44=1),ТЕХ_Списки!AN$1,""),IF(AND(ТЕХ_Списки!AO10=1,$AN$44=1),ТЕХ_Списки!AO$1,""),IF(AND(ТЕХ_Списки!AP10=1,$AO$44=1),ТЕХ_Списки!AP$1,""),IF(AND(ТЕХ_Списки!AQ10=1,$AP$44=1),ТЕХ_Списки!AQ$1,""),IF(AND(ТЕХ_Списки!AR10=1,$AQ$44=1),ТЕХ_Списки!AR$1,""),IF(AND(ТЕХ_Списки!AS10=1,$AR$44=1),ТЕХ_Списки!AS$1,""),IF(AND(ТЕХ_Списки!AT10=1,$AS$44=1),ТЕХ_Списки!AT$1,""),IF(AND(ТЕХ_Списки!AU10=1,$AT$44=1),ТЕХ_Списки!AU$1,""),IF(AND(ТЕХ_Списки!AV10=1,$AU$44=1),ТЕХ_Списки!AV$1,""),IF(AND(ТЕХ_Списки!AW10=1,$AV$44=1),ТЕХ_Списки!AW$1,"")))</f>
        <v>#NAME?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>
      <c r="A59" s="4" t="s">
        <v>162</v>
      </c>
      <c r="B59" s="4" t="s">
        <v>163</v>
      </c>
      <c r="C59" s="4" t="s">
        <v>135</v>
      </c>
      <c r="D59" s="4" t="s">
        <v>646</v>
      </c>
      <c r="E59" s="4">
        <f t="shared" si="2"/>
        <v>0</v>
      </c>
      <c r="F59" s="4">
        <f>SUMPRODUCT(ТЕХ_Списки!E11:AW11,$D$44:$AV$44)</f>
        <v>7</v>
      </c>
      <c r="G59" s="4">
        <f>SUMPRODUCT(ТЕХ_Списки!E11:AW11,$D$44:$AV$44,$D$45:$AV$45)</f>
        <v>14</v>
      </c>
      <c r="H59" s="4">
        <f>IF(OR('РЕЙД-КОНСТРУКТОР'!$C$3="Любая",'РЕЙД-КОНСТРУКТОР'!$C$3=C59),1,0)</f>
        <v>1</v>
      </c>
      <c r="I59" s="4">
        <f t="shared" si="3"/>
        <v>1407</v>
      </c>
      <c r="J59" s="4" t="e">
        <f ca="1">IF(I59&lt;0,"",_xludf.RANK.EQ(I59,$I$50:$I$119,0)+COUNTIF($I$50:I59,I59)-1)</f>
        <v>#NAME?</v>
      </c>
      <c r="K59" s="4" t="e">
        <f ca="1">IF(F59=0,"—",_xludf.TEXTJOIN(", ",TRUE,IF(AND(ТЕХ_Списки!E11=1,$D$44=1),ТЕХ_Списки!E$1,""),IF(AND(ТЕХ_Списки!F11=1,$E$44=1),ТЕХ_Списки!F$1,""),IF(AND(ТЕХ_Списки!G11=1,$F$44=1),ТЕХ_Списки!G$1,""),IF(AND(ТЕХ_Списки!H11=1,$G$44=1),ТЕХ_Списки!H$1,""),IF(AND(ТЕХ_Списки!I11=1,$H$44=1),ТЕХ_Списки!I$1,""),IF(AND(ТЕХ_Списки!J11=1,$I$44=1),ТЕХ_Списки!J$1,""),IF(AND(ТЕХ_Списки!K11=1,$J$44=1),ТЕХ_Списки!K$1,""),IF(AND(ТЕХ_Списки!L11=1,$K$44=1),ТЕХ_Списки!L$1,""),IF(AND(ТЕХ_Списки!M11=1,$L$44=1),ТЕХ_Списки!M$1,""),IF(AND(ТЕХ_Списки!N11=1,$M$44=1),ТЕХ_Списки!N$1,""),IF(AND(ТЕХ_Списки!O11=1,$N$44=1),ТЕХ_Списки!O$1,""),IF(AND(ТЕХ_Списки!P11=1,$O$44=1),ТЕХ_Списки!P$1,""),IF(AND(ТЕХ_Списки!Q11=1,$P$44=1),ТЕХ_Списки!Q$1,""),IF(AND(ТЕХ_Списки!R11=1,$Q$44=1),ТЕХ_Списки!R$1,""),IF(AND(ТЕХ_Списки!S11=1,$R$44=1),ТЕХ_Списки!S$1,""),IF(AND(ТЕХ_Списки!T11=1,$S$44=1),ТЕХ_Списки!T$1,""),IF(AND(ТЕХ_Списки!U11=1,$T$44=1),ТЕХ_Списки!U$1,""),IF(AND(ТЕХ_Списки!V11=1,$U$44=1),ТЕХ_Списки!V$1,""),IF(AND(ТЕХ_Списки!W11=1,$V$44=1),ТЕХ_Списки!W$1,""),IF(AND(ТЕХ_Списки!X11=1,$W$44=1),ТЕХ_Списки!X$1,""),IF(AND(ТЕХ_Списки!Y11=1,$X$44=1),ТЕХ_Списки!Y$1,""),IF(AND(ТЕХ_Списки!Z11=1,$Y$44=1),ТЕХ_Списки!Z$1,""),IF(AND(ТЕХ_Списки!AA11=1,$Z$44=1),ТЕХ_Списки!AA$1,""),IF(AND(ТЕХ_Списки!AB11=1,$AA$44=1),ТЕХ_Списки!AB$1,""),IF(AND(ТЕХ_Списки!AC11=1,$AB$44=1),ТЕХ_Списки!AC$1,""),IF(AND(ТЕХ_Списки!AD11=1,$AC$44=1),ТЕХ_Списки!AD$1,""),IF(AND(ТЕХ_Списки!AE11=1,$AD$44=1),ТЕХ_Списки!AE$1,""),IF(AND(ТЕХ_Списки!AF11=1,$AE$44=1),ТЕХ_Списки!AF$1,""),IF(AND(ТЕХ_Списки!AG11=1,$AF$44=1),ТЕХ_Списки!AG$1,""),IF(AND(ТЕХ_Списки!AH11=1,$AG$44=1),ТЕХ_Списки!AH$1,""),IF(AND(ТЕХ_Списки!AI11=1,$AH$44=1),ТЕХ_Списки!AI$1,""),IF(AND(ТЕХ_Списки!AJ11=1,$AI$44=1),ТЕХ_Списки!AJ$1,""),IF(AND(ТЕХ_Списки!AK11=1,$AJ$44=1),ТЕХ_Списки!AK$1,""),IF(AND(ТЕХ_Списки!AL11=1,$AK$44=1),ТЕХ_Списки!AL$1,""),IF(AND(ТЕХ_Списки!AM11=1,$AL$44=1),ТЕХ_Списки!AM$1,""),IF(AND(ТЕХ_Списки!AN11=1,$AM$44=1),ТЕХ_Списки!AN$1,""),IF(AND(ТЕХ_Списки!AO11=1,$AN$44=1),ТЕХ_Списки!AO$1,""),IF(AND(ТЕХ_Списки!AP11=1,$AO$44=1),ТЕХ_Списки!AP$1,""),IF(AND(ТЕХ_Списки!AQ11=1,$AP$44=1),ТЕХ_Списки!AQ$1,""),IF(AND(ТЕХ_Списки!AR11=1,$AQ$44=1),ТЕХ_Списки!AR$1,""),IF(AND(ТЕХ_Списки!AS11=1,$AR$44=1),ТЕХ_Списки!AS$1,""),IF(AND(ТЕХ_Списки!AT11=1,$AS$44=1),ТЕХ_Списки!AT$1,""),IF(AND(ТЕХ_Списки!AU11=1,$AT$44=1),ТЕХ_Списки!AU$1,""),IF(AND(ТЕХ_Списки!AV11=1,$AU$44=1),ТЕХ_Списки!AV$1,""),IF(AND(ТЕХ_Списки!AW11=1,$AV$44=1),ТЕХ_Списки!AW$1,"")))</f>
        <v>#NAME?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>
      <c r="A60" s="4" t="s">
        <v>162</v>
      </c>
      <c r="B60" s="4" t="s">
        <v>166</v>
      </c>
      <c r="C60" s="4" t="s">
        <v>139</v>
      </c>
      <c r="D60" s="4" t="s">
        <v>647</v>
      </c>
      <c r="E60" s="4">
        <f t="shared" si="2"/>
        <v>0</v>
      </c>
      <c r="F60" s="4">
        <f>SUMPRODUCT(ТЕХ_Списки!E12:AW12,$D$44:$AV$44)</f>
        <v>7</v>
      </c>
      <c r="G60" s="4">
        <f>SUMPRODUCT(ТЕХ_Списки!E12:AW12,$D$44:$AV$44,$D$45:$AV$45)</f>
        <v>14</v>
      </c>
      <c r="H60" s="4">
        <f>IF(OR('РЕЙД-КОНСТРУКТОР'!$C$3="Любая",'РЕЙД-КОНСТРУКТОР'!$C$3=C60),1,0)</f>
        <v>1</v>
      </c>
      <c r="I60" s="4">
        <f t="shared" si="3"/>
        <v>1407</v>
      </c>
      <c r="J60" s="4" t="e">
        <f ca="1">IF(I60&lt;0,"",_xludf.RANK.EQ(I60,$I$50:$I$119,0)+COUNTIF($I$50:I60,I60)-1)</f>
        <v>#NAME?</v>
      </c>
      <c r="K60" s="4" t="e">
        <f ca="1">IF(F60=0,"—",_xludf.TEXTJOIN(", ",TRUE,IF(AND(ТЕХ_Списки!E12=1,$D$44=1),ТЕХ_Списки!E$1,""),IF(AND(ТЕХ_Списки!F12=1,$E$44=1),ТЕХ_Списки!F$1,""),IF(AND(ТЕХ_Списки!G12=1,$F$44=1),ТЕХ_Списки!G$1,""),IF(AND(ТЕХ_Списки!H12=1,$G$44=1),ТЕХ_Списки!H$1,""),IF(AND(ТЕХ_Списки!I12=1,$H$44=1),ТЕХ_Списки!I$1,""),IF(AND(ТЕХ_Списки!J12=1,$I$44=1),ТЕХ_Списки!J$1,""),IF(AND(ТЕХ_Списки!K12=1,$J$44=1),ТЕХ_Списки!K$1,""),IF(AND(ТЕХ_Списки!L12=1,$K$44=1),ТЕХ_Списки!L$1,""),IF(AND(ТЕХ_Списки!M12=1,$L$44=1),ТЕХ_Списки!M$1,""),IF(AND(ТЕХ_Списки!N12=1,$M$44=1),ТЕХ_Списки!N$1,""),IF(AND(ТЕХ_Списки!O12=1,$N$44=1),ТЕХ_Списки!O$1,""),IF(AND(ТЕХ_Списки!P12=1,$O$44=1),ТЕХ_Списки!P$1,""),IF(AND(ТЕХ_Списки!Q12=1,$P$44=1),ТЕХ_Списки!Q$1,""),IF(AND(ТЕХ_Списки!R12=1,$Q$44=1),ТЕХ_Списки!R$1,""),IF(AND(ТЕХ_Списки!S12=1,$R$44=1),ТЕХ_Списки!S$1,""),IF(AND(ТЕХ_Списки!T12=1,$S$44=1),ТЕХ_Списки!T$1,""),IF(AND(ТЕХ_Списки!U12=1,$T$44=1),ТЕХ_Списки!U$1,""),IF(AND(ТЕХ_Списки!V12=1,$U$44=1),ТЕХ_Списки!V$1,""),IF(AND(ТЕХ_Списки!W12=1,$V$44=1),ТЕХ_Списки!W$1,""),IF(AND(ТЕХ_Списки!X12=1,$W$44=1),ТЕХ_Списки!X$1,""),IF(AND(ТЕХ_Списки!Y12=1,$X$44=1),ТЕХ_Списки!Y$1,""),IF(AND(ТЕХ_Списки!Z12=1,$Y$44=1),ТЕХ_Списки!Z$1,""),IF(AND(ТЕХ_Списки!AA12=1,$Z$44=1),ТЕХ_Списки!AA$1,""),IF(AND(ТЕХ_Списки!AB12=1,$AA$44=1),ТЕХ_Списки!AB$1,""),IF(AND(ТЕХ_Списки!AC12=1,$AB$44=1),ТЕХ_Списки!AC$1,""),IF(AND(ТЕХ_Списки!AD12=1,$AC$44=1),ТЕХ_Списки!AD$1,""),IF(AND(ТЕХ_Списки!AE12=1,$AD$44=1),ТЕХ_Списки!AE$1,""),IF(AND(ТЕХ_Списки!AF12=1,$AE$44=1),ТЕХ_Списки!AF$1,""),IF(AND(ТЕХ_Списки!AG12=1,$AF$44=1),ТЕХ_Списки!AG$1,""),IF(AND(ТЕХ_Списки!AH12=1,$AG$44=1),ТЕХ_Списки!AH$1,""),IF(AND(ТЕХ_Списки!AI12=1,$AH$44=1),ТЕХ_Списки!AI$1,""),IF(AND(ТЕХ_Списки!AJ12=1,$AI$44=1),ТЕХ_Списки!AJ$1,""),IF(AND(ТЕХ_Списки!AK12=1,$AJ$44=1),ТЕХ_Списки!AK$1,""),IF(AND(ТЕХ_Списки!AL12=1,$AK$44=1),ТЕХ_Списки!AL$1,""),IF(AND(ТЕХ_Списки!AM12=1,$AL$44=1),ТЕХ_Списки!AM$1,""),IF(AND(ТЕХ_Списки!AN12=1,$AM$44=1),ТЕХ_Списки!AN$1,""),IF(AND(ТЕХ_Списки!AO12=1,$AN$44=1),ТЕХ_Списки!AO$1,""),IF(AND(ТЕХ_Списки!AP12=1,$AO$44=1),ТЕХ_Списки!AP$1,""),IF(AND(ТЕХ_Списки!AQ12=1,$AP$44=1),ТЕХ_Списки!AQ$1,""),IF(AND(ТЕХ_Списки!AR12=1,$AQ$44=1),ТЕХ_Списки!AR$1,""),IF(AND(ТЕХ_Списки!AS12=1,$AR$44=1),ТЕХ_Списки!AS$1,""),IF(AND(ТЕХ_Списки!AT12=1,$AS$44=1),ТЕХ_Списки!AT$1,""),IF(AND(ТЕХ_Списки!AU12=1,$AT$44=1),ТЕХ_Списки!AU$1,""),IF(AND(ТЕХ_Списки!AV12=1,$AU$44=1),ТЕХ_Списки!AV$1,""),IF(AND(ТЕХ_Списки!AW12=1,$AV$44=1),ТЕХ_Списки!AW$1,"")))</f>
        <v>#NAME?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>
      <c r="A61" s="4" t="s">
        <v>162</v>
      </c>
      <c r="B61" s="4" t="s">
        <v>168</v>
      </c>
      <c r="C61" s="4" t="s">
        <v>78</v>
      </c>
      <c r="D61" s="4" t="s">
        <v>648</v>
      </c>
      <c r="E61" s="4">
        <f t="shared" si="2"/>
        <v>0</v>
      </c>
      <c r="F61" s="4">
        <f>SUMPRODUCT(ТЕХ_Списки!E13:AW13,$D$44:$AV$44)</f>
        <v>8</v>
      </c>
      <c r="G61" s="4">
        <f>SUMPRODUCT(ТЕХ_Списки!E13:AW13,$D$44:$AV$44,$D$45:$AV$45)</f>
        <v>17</v>
      </c>
      <c r="H61" s="4">
        <f>IF(OR('РЕЙД-КОНСТРУКТОР'!$C$3="Любая",'РЕЙД-КОНСТРУКТОР'!$C$3=C61),1,0)</f>
        <v>1</v>
      </c>
      <c r="I61" s="4">
        <f t="shared" si="3"/>
        <v>1708</v>
      </c>
      <c r="J61" s="4" t="e">
        <f ca="1">IF(I61&lt;0,"",_xludf.RANK.EQ(I61,$I$50:$I$119,0)+COUNTIF($I$50:I61,I61)-1)</f>
        <v>#NAME?</v>
      </c>
      <c r="K61" s="4" t="e">
        <f ca="1">IF(F61=0,"—",_xludf.TEXTJOIN(", ",TRUE,IF(AND(ТЕХ_Списки!E13=1,$D$44=1),ТЕХ_Списки!E$1,""),IF(AND(ТЕХ_Списки!F13=1,$E$44=1),ТЕХ_Списки!F$1,""),IF(AND(ТЕХ_Списки!G13=1,$F$44=1),ТЕХ_Списки!G$1,""),IF(AND(ТЕХ_Списки!H13=1,$G$44=1),ТЕХ_Списки!H$1,""),IF(AND(ТЕХ_Списки!I13=1,$H$44=1),ТЕХ_Списки!I$1,""),IF(AND(ТЕХ_Списки!J13=1,$I$44=1),ТЕХ_Списки!J$1,""),IF(AND(ТЕХ_Списки!K13=1,$J$44=1),ТЕХ_Списки!K$1,""),IF(AND(ТЕХ_Списки!L13=1,$K$44=1),ТЕХ_Списки!L$1,""),IF(AND(ТЕХ_Списки!M13=1,$L$44=1),ТЕХ_Списки!M$1,""),IF(AND(ТЕХ_Списки!N13=1,$M$44=1),ТЕХ_Списки!N$1,""),IF(AND(ТЕХ_Списки!O13=1,$N$44=1),ТЕХ_Списки!O$1,""),IF(AND(ТЕХ_Списки!P13=1,$O$44=1),ТЕХ_Списки!P$1,""),IF(AND(ТЕХ_Списки!Q13=1,$P$44=1),ТЕХ_Списки!Q$1,""),IF(AND(ТЕХ_Списки!R13=1,$Q$44=1),ТЕХ_Списки!R$1,""),IF(AND(ТЕХ_Списки!S13=1,$R$44=1),ТЕХ_Списки!S$1,""),IF(AND(ТЕХ_Списки!T13=1,$S$44=1),ТЕХ_Списки!T$1,""),IF(AND(ТЕХ_Списки!U13=1,$T$44=1),ТЕХ_Списки!U$1,""),IF(AND(ТЕХ_Списки!V13=1,$U$44=1),ТЕХ_Списки!V$1,""),IF(AND(ТЕХ_Списки!W13=1,$V$44=1),ТЕХ_Списки!W$1,""),IF(AND(ТЕХ_Списки!X13=1,$W$44=1),ТЕХ_Списки!X$1,""),IF(AND(ТЕХ_Списки!Y13=1,$X$44=1),ТЕХ_Списки!Y$1,""),IF(AND(ТЕХ_Списки!Z13=1,$Y$44=1),ТЕХ_Списки!Z$1,""),IF(AND(ТЕХ_Списки!AA13=1,$Z$44=1),ТЕХ_Списки!AA$1,""),IF(AND(ТЕХ_Списки!AB13=1,$AA$44=1),ТЕХ_Списки!AB$1,""),IF(AND(ТЕХ_Списки!AC13=1,$AB$44=1),ТЕХ_Списки!AC$1,""),IF(AND(ТЕХ_Списки!AD13=1,$AC$44=1),ТЕХ_Списки!AD$1,""),IF(AND(ТЕХ_Списки!AE13=1,$AD$44=1),ТЕХ_Списки!AE$1,""),IF(AND(ТЕХ_Списки!AF13=1,$AE$44=1),ТЕХ_Списки!AF$1,""),IF(AND(ТЕХ_Списки!AG13=1,$AF$44=1),ТЕХ_Списки!AG$1,""),IF(AND(ТЕХ_Списки!AH13=1,$AG$44=1),ТЕХ_Списки!AH$1,""),IF(AND(ТЕХ_Списки!AI13=1,$AH$44=1),ТЕХ_Списки!AI$1,""),IF(AND(ТЕХ_Списки!AJ13=1,$AI$44=1),ТЕХ_Списки!AJ$1,""),IF(AND(ТЕХ_Списки!AK13=1,$AJ$44=1),ТЕХ_Списки!AK$1,""),IF(AND(ТЕХ_Списки!AL13=1,$AK$44=1),ТЕХ_Списки!AL$1,""),IF(AND(ТЕХ_Списки!AM13=1,$AL$44=1),ТЕХ_Списки!AM$1,""),IF(AND(ТЕХ_Списки!AN13=1,$AM$44=1),ТЕХ_Списки!AN$1,""),IF(AND(ТЕХ_Списки!AO13=1,$AN$44=1),ТЕХ_Списки!AO$1,""),IF(AND(ТЕХ_Списки!AP13=1,$AO$44=1),ТЕХ_Списки!AP$1,""),IF(AND(ТЕХ_Списки!AQ13=1,$AP$44=1),ТЕХ_Списки!AQ$1,""),IF(AND(ТЕХ_Списки!AR13=1,$AQ$44=1),ТЕХ_Списки!AR$1,""),IF(AND(ТЕХ_Списки!AS13=1,$AR$44=1),ТЕХ_Списки!AS$1,""),IF(AND(ТЕХ_Списки!AT13=1,$AS$44=1),ТЕХ_Списки!AT$1,""),IF(AND(ТЕХ_Списки!AU13=1,$AT$44=1),ТЕХ_Списки!AU$1,""),IF(AND(ТЕХ_Списки!AV13=1,$AU$44=1),ТЕХ_Списки!AV$1,""),IF(AND(ТЕХ_Списки!AW13=1,$AV$44=1),ТЕХ_Списки!AW$1,"")))</f>
        <v>#NAME?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>
      <c r="A62" s="4" t="s">
        <v>162</v>
      </c>
      <c r="B62" s="4" t="s">
        <v>171</v>
      </c>
      <c r="C62" s="4" t="s">
        <v>139</v>
      </c>
      <c r="D62" s="4" t="s">
        <v>649</v>
      </c>
      <c r="E62" s="4">
        <f t="shared" si="2"/>
        <v>0</v>
      </c>
      <c r="F62" s="4">
        <f>SUMPRODUCT(ТЕХ_Списки!E14:AW14,$D$44:$AV$44)</f>
        <v>8</v>
      </c>
      <c r="G62" s="4">
        <f>SUMPRODUCT(ТЕХ_Списки!E14:AW14,$D$44:$AV$44,$D$45:$AV$45)</f>
        <v>15</v>
      </c>
      <c r="H62" s="4">
        <f>IF(OR('РЕЙД-КОНСТРУКТОР'!$C$3="Любая",'РЕЙД-КОНСТРУКТОР'!$C$3=C62),1,0)</f>
        <v>1</v>
      </c>
      <c r="I62" s="4">
        <f t="shared" si="3"/>
        <v>1508</v>
      </c>
      <c r="J62" s="4" t="e">
        <f ca="1">IF(I62&lt;0,"",_xludf.RANK.EQ(I62,$I$50:$I$119,0)+COUNTIF($I$50:I62,I62)-1)</f>
        <v>#NAME?</v>
      </c>
      <c r="K62" s="4" t="e">
        <f ca="1">IF(F62=0,"—",_xludf.TEXTJOIN(", ",TRUE,IF(AND(ТЕХ_Списки!E14=1,$D$44=1),ТЕХ_Списки!E$1,""),IF(AND(ТЕХ_Списки!F14=1,$E$44=1),ТЕХ_Списки!F$1,""),IF(AND(ТЕХ_Списки!G14=1,$F$44=1),ТЕХ_Списки!G$1,""),IF(AND(ТЕХ_Списки!H14=1,$G$44=1),ТЕХ_Списки!H$1,""),IF(AND(ТЕХ_Списки!I14=1,$H$44=1),ТЕХ_Списки!I$1,""),IF(AND(ТЕХ_Списки!J14=1,$I$44=1),ТЕХ_Списки!J$1,""),IF(AND(ТЕХ_Списки!K14=1,$J$44=1),ТЕХ_Списки!K$1,""),IF(AND(ТЕХ_Списки!L14=1,$K$44=1),ТЕХ_Списки!L$1,""),IF(AND(ТЕХ_Списки!M14=1,$L$44=1),ТЕХ_Списки!M$1,""),IF(AND(ТЕХ_Списки!N14=1,$M$44=1),ТЕХ_Списки!N$1,""),IF(AND(ТЕХ_Списки!O14=1,$N$44=1),ТЕХ_Списки!O$1,""),IF(AND(ТЕХ_Списки!P14=1,$O$44=1),ТЕХ_Списки!P$1,""),IF(AND(ТЕХ_Списки!Q14=1,$P$44=1),ТЕХ_Списки!Q$1,""),IF(AND(ТЕХ_Списки!R14=1,$Q$44=1),ТЕХ_Списки!R$1,""),IF(AND(ТЕХ_Списки!S14=1,$R$44=1),ТЕХ_Списки!S$1,""),IF(AND(ТЕХ_Списки!T14=1,$S$44=1),ТЕХ_Списки!T$1,""),IF(AND(ТЕХ_Списки!U14=1,$T$44=1),ТЕХ_Списки!U$1,""),IF(AND(ТЕХ_Списки!V14=1,$U$44=1),ТЕХ_Списки!V$1,""),IF(AND(ТЕХ_Списки!W14=1,$V$44=1),ТЕХ_Списки!W$1,""),IF(AND(ТЕХ_Списки!X14=1,$W$44=1),ТЕХ_Списки!X$1,""),IF(AND(ТЕХ_Списки!Y14=1,$X$44=1),ТЕХ_Списки!Y$1,""),IF(AND(ТЕХ_Списки!Z14=1,$Y$44=1),ТЕХ_Списки!Z$1,""),IF(AND(ТЕХ_Списки!AA14=1,$Z$44=1),ТЕХ_Списки!AA$1,""),IF(AND(ТЕХ_Списки!AB14=1,$AA$44=1),ТЕХ_Списки!AB$1,""),IF(AND(ТЕХ_Списки!AC14=1,$AB$44=1),ТЕХ_Списки!AC$1,""),IF(AND(ТЕХ_Списки!AD14=1,$AC$44=1),ТЕХ_Списки!AD$1,""),IF(AND(ТЕХ_Списки!AE14=1,$AD$44=1),ТЕХ_Списки!AE$1,""),IF(AND(ТЕХ_Списки!AF14=1,$AE$44=1),ТЕХ_Списки!AF$1,""),IF(AND(ТЕХ_Списки!AG14=1,$AF$44=1),ТЕХ_Списки!AG$1,""),IF(AND(ТЕХ_Списки!AH14=1,$AG$44=1),ТЕХ_Списки!AH$1,""),IF(AND(ТЕХ_Списки!AI14=1,$AH$44=1),ТЕХ_Списки!AI$1,""),IF(AND(ТЕХ_Списки!AJ14=1,$AI$44=1),ТЕХ_Списки!AJ$1,""),IF(AND(ТЕХ_Списки!AK14=1,$AJ$44=1),ТЕХ_Списки!AK$1,""),IF(AND(ТЕХ_Списки!AL14=1,$AK$44=1),ТЕХ_Списки!AL$1,""),IF(AND(ТЕХ_Списки!AM14=1,$AL$44=1),ТЕХ_Списки!AM$1,""),IF(AND(ТЕХ_Списки!AN14=1,$AM$44=1),ТЕХ_Списки!AN$1,""),IF(AND(ТЕХ_Списки!AO14=1,$AN$44=1),ТЕХ_Списки!AO$1,""),IF(AND(ТЕХ_Списки!AP14=1,$AO$44=1),ТЕХ_Списки!AP$1,""),IF(AND(ТЕХ_Списки!AQ14=1,$AP$44=1),ТЕХ_Списки!AQ$1,""),IF(AND(ТЕХ_Списки!AR14=1,$AQ$44=1),ТЕХ_Списки!AR$1,""),IF(AND(ТЕХ_Списки!AS14=1,$AR$44=1),ТЕХ_Списки!AS$1,""),IF(AND(ТЕХ_Списки!AT14=1,$AS$44=1),ТЕХ_Списки!AT$1,""),IF(AND(ТЕХ_Списки!AU14=1,$AT$44=1),ТЕХ_Списки!AU$1,""),IF(AND(ТЕХ_Списки!AV14=1,$AU$44=1),ТЕХ_Списки!AV$1,""),IF(AND(ТЕХ_Списки!AW14=1,$AV$44=1),ТЕХ_Списки!AW$1,"")))</f>
        <v>#NAME?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>
      <c r="A63" s="4" t="s">
        <v>174</v>
      </c>
      <c r="B63" s="4" t="s">
        <v>175</v>
      </c>
      <c r="C63" s="4" t="s">
        <v>139</v>
      </c>
      <c r="D63" s="4" t="s">
        <v>650</v>
      </c>
      <c r="E63" s="4">
        <f t="shared" si="2"/>
        <v>0</v>
      </c>
      <c r="F63" s="4">
        <f>SUMPRODUCT(ТЕХ_Списки!E15:AW15,$D$44:$AV$44)</f>
        <v>8</v>
      </c>
      <c r="G63" s="4">
        <f>SUMPRODUCT(ТЕХ_Списки!E15:AW15,$D$44:$AV$44,$D$45:$AV$45)</f>
        <v>16</v>
      </c>
      <c r="H63" s="4">
        <f>IF(OR('РЕЙД-КОНСТРУКТОР'!$C$3="Любая",'РЕЙД-КОНСТРУКТОР'!$C$3=C63),1,0)</f>
        <v>1</v>
      </c>
      <c r="I63" s="4">
        <f t="shared" si="3"/>
        <v>1608</v>
      </c>
      <c r="J63" s="4" t="e">
        <f ca="1">IF(I63&lt;0,"",_xludf.RANK.EQ(I63,$I$50:$I$119,0)+COUNTIF($I$50:I63,I63)-1)</f>
        <v>#NAME?</v>
      </c>
      <c r="K63" s="4" t="e">
        <f ca="1">IF(F63=0,"—",_xludf.TEXTJOIN(", ",TRUE,IF(AND(ТЕХ_Списки!E15=1,$D$44=1),ТЕХ_Списки!E$1,""),IF(AND(ТЕХ_Списки!F15=1,$E$44=1),ТЕХ_Списки!F$1,""),IF(AND(ТЕХ_Списки!G15=1,$F$44=1),ТЕХ_Списки!G$1,""),IF(AND(ТЕХ_Списки!H15=1,$G$44=1),ТЕХ_Списки!H$1,""),IF(AND(ТЕХ_Списки!I15=1,$H$44=1),ТЕХ_Списки!I$1,""),IF(AND(ТЕХ_Списки!J15=1,$I$44=1),ТЕХ_Списки!J$1,""),IF(AND(ТЕХ_Списки!K15=1,$J$44=1),ТЕХ_Списки!K$1,""),IF(AND(ТЕХ_Списки!L15=1,$K$44=1),ТЕХ_Списки!L$1,""),IF(AND(ТЕХ_Списки!M15=1,$L$44=1),ТЕХ_Списки!M$1,""),IF(AND(ТЕХ_Списки!N15=1,$M$44=1),ТЕХ_Списки!N$1,""),IF(AND(ТЕХ_Списки!O15=1,$N$44=1),ТЕХ_Списки!O$1,""),IF(AND(ТЕХ_Списки!P15=1,$O$44=1),ТЕХ_Списки!P$1,""),IF(AND(ТЕХ_Списки!Q15=1,$P$44=1),ТЕХ_Списки!Q$1,""),IF(AND(ТЕХ_Списки!R15=1,$Q$44=1),ТЕХ_Списки!R$1,""),IF(AND(ТЕХ_Списки!S15=1,$R$44=1),ТЕХ_Списки!S$1,""),IF(AND(ТЕХ_Списки!T15=1,$S$44=1),ТЕХ_Списки!T$1,""),IF(AND(ТЕХ_Списки!U15=1,$T$44=1),ТЕХ_Списки!U$1,""),IF(AND(ТЕХ_Списки!V15=1,$U$44=1),ТЕХ_Списки!V$1,""),IF(AND(ТЕХ_Списки!W15=1,$V$44=1),ТЕХ_Списки!W$1,""),IF(AND(ТЕХ_Списки!X15=1,$W$44=1),ТЕХ_Списки!X$1,""),IF(AND(ТЕХ_Списки!Y15=1,$X$44=1),ТЕХ_Списки!Y$1,""),IF(AND(ТЕХ_Списки!Z15=1,$Y$44=1),ТЕХ_Списки!Z$1,""),IF(AND(ТЕХ_Списки!AA15=1,$Z$44=1),ТЕХ_Списки!AA$1,""),IF(AND(ТЕХ_Списки!AB15=1,$AA$44=1),ТЕХ_Списки!AB$1,""),IF(AND(ТЕХ_Списки!AC15=1,$AB$44=1),ТЕХ_Списки!AC$1,""),IF(AND(ТЕХ_Списки!AD15=1,$AC$44=1),ТЕХ_Списки!AD$1,""),IF(AND(ТЕХ_Списки!AE15=1,$AD$44=1),ТЕХ_Списки!AE$1,""),IF(AND(ТЕХ_Списки!AF15=1,$AE$44=1),ТЕХ_Списки!AF$1,""),IF(AND(ТЕХ_Списки!AG15=1,$AF$44=1),ТЕХ_Списки!AG$1,""),IF(AND(ТЕХ_Списки!AH15=1,$AG$44=1),ТЕХ_Списки!AH$1,""),IF(AND(ТЕХ_Списки!AI15=1,$AH$44=1),ТЕХ_Списки!AI$1,""),IF(AND(ТЕХ_Списки!AJ15=1,$AI$44=1),ТЕХ_Списки!AJ$1,""),IF(AND(ТЕХ_Списки!AK15=1,$AJ$44=1),ТЕХ_Списки!AK$1,""),IF(AND(ТЕХ_Списки!AL15=1,$AK$44=1),ТЕХ_Списки!AL$1,""),IF(AND(ТЕХ_Списки!AM15=1,$AL$44=1),ТЕХ_Списки!AM$1,""),IF(AND(ТЕХ_Списки!AN15=1,$AM$44=1),ТЕХ_Списки!AN$1,""),IF(AND(ТЕХ_Списки!AO15=1,$AN$44=1),ТЕХ_Списки!AO$1,""),IF(AND(ТЕХ_Списки!AP15=1,$AO$44=1),ТЕХ_Списки!AP$1,""),IF(AND(ТЕХ_Списки!AQ15=1,$AP$44=1),ТЕХ_Списки!AQ$1,""),IF(AND(ТЕХ_Списки!AR15=1,$AQ$44=1),ТЕХ_Списки!AR$1,""),IF(AND(ТЕХ_Списки!AS15=1,$AR$44=1),ТЕХ_Списки!AS$1,""),IF(AND(ТЕХ_Списки!AT15=1,$AS$44=1),ТЕХ_Списки!AT$1,""),IF(AND(ТЕХ_Списки!AU15=1,$AT$44=1),ТЕХ_Списки!AU$1,""),IF(AND(ТЕХ_Списки!AV15=1,$AU$44=1),ТЕХ_Списки!AV$1,""),IF(AND(ТЕХ_Списки!AW15=1,$AV$44=1),ТЕХ_Списки!AW$1,"")))</f>
        <v>#NAME?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>
      <c r="A64" s="4" t="s">
        <v>174</v>
      </c>
      <c r="B64" s="4" t="s">
        <v>178</v>
      </c>
      <c r="C64" s="4" t="s">
        <v>139</v>
      </c>
      <c r="D64" s="4" t="s">
        <v>651</v>
      </c>
      <c r="E64" s="4">
        <f t="shared" si="2"/>
        <v>0</v>
      </c>
      <c r="F64" s="4">
        <f>SUMPRODUCT(ТЕХ_Списки!E16:AW16,$D$44:$AV$44)</f>
        <v>7</v>
      </c>
      <c r="G64" s="4">
        <f>SUMPRODUCT(ТЕХ_Списки!E16:AW16,$D$44:$AV$44,$D$45:$AV$45)</f>
        <v>13</v>
      </c>
      <c r="H64" s="4">
        <f>IF(OR('РЕЙД-КОНСТРУКТОР'!$C$3="Любая",'РЕЙД-КОНСТРУКТОР'!$C$3=C64),1,0)</f>
        <v>1</v>
      </c>
      <c r="I64" s="4">
        <f t="shared" si="3"/>
        <v>1307</v>
      </c>
      <c r="J64" s="4" t="e">
        <f ca="1">IF(I64&lt;0,"",_xludf.RANK.EQ(I64,$I$50:$I$119,0)+COUNTIF($I$50:I64,I64)-1)</f>
        <v>#NAME?</v>
      </c>
      <c r="K64" s="4" t="e">
        <f ca="1">IF(F64=0,"—",_xludf.TEXTJOIN(", ",TRUE,IF(AND(ТЕХ_Списки!E16=1,$D$44=1),ТЕХ_Списки!E$1,""),IF(AND(ТЕХ_Списки!F16=1,$E$44=1),ТЕХ_Списки!F$1,""),IF(AND(ТЕХ_Списки!G16=1,$F$44=1),ТЕХ_Списки!G$1,""),IF(AND(ТЕХ_Списки!H16=1,$G$44=1),ТЕХ_Списки!H$1,""),IF(AND(ТЕХ_Списки!I16=1,$H$44=1),ТЕХ_Списки!I$1,""),IF(AND(ТЕХ_Списки!J16=1,$I$44=1),ТЕХ_Списки!J$1,""),IF(AND(ТЕХ_Списки!K16=1,$J$44=1),ТЕХ_Списки!K$1,""),IF(AND(ТЕХ_Списки!L16=1,$K$44=1),ТЕХ_Списки!L$1,""),IF(AND(ТЕХ_Списки!M16=1,$L$44=1),ТЕХ_Списки!M$1,""),IF(AND(ТЕХ_Списки!N16=1,$M$44=1),ТЕХ_Списки!N$1,""),IF(AND(ТЕХ_Списки!O16=1,$N$44=1),ТЕХ_Списки!O$1,""),IF(AND(ТЕХ_Списки!P16=1,$O$44=1),ТЕХ_Списки!P$1,""),IF(AND(ТЕХ_Списки!Q16=1,$P$44=1),ТЕХ_Списки!Q$1,""),IF(AND(ТЕХ_Списки!R16=1,$Q$44=1),ТЕХ_Списки!R$1,""),IF(AND(ТЕХ_Списки!S16=1,$R$44=1),ТЕХ_Списки!S$1,""),IF(AND(ТЕХ_Списки!T16=1,$S$44=1),ТЕХ_Списки!T$1,""),IF(AND(ТЕХ_Списки!U16=1,$T$44=1),ТЕХ_Списки!U$1,""),IF(AND(ТЕХ_Списки!V16=1,$U$44=1),ТЕХ_Списки!V$1,""),IF(AND(ТЕХ_Списки!W16=1,$V$44=1),ТЕХ_Списки!W$1,""),IF(AND(ТЕХ_Списки!X16=1,$W$44=1),ТЕХ_Списки!X$1,""),IF(AND(ТЕХ_Списки!Y16=1,$X$44=1),ТЕХ_Списки!Y$1,""),IF(AND(ТЕХ_Списки!Z16=1,$Y$44=1),ТЕХ_Списки!Z$1,""),IF(AND(ТЕХ_Списки!AA16=1,$Z$44=1),ТЕХ_Списки!AA$1,""),IF(AND(ТЕХ_Списки!AB16=1,$AA$44=1),ТЕХ_Списки!AB$1,""),IF(AND(ТЕХ_Списки!AC16=1,$AB$44=1),ТЕХ_Списки!AC$1,""),IF(AND(ТЕХ_Списки!AD16=1,$AC$44=1),ТЕХ_Списки!AD$1,""),IF(AND(ТЕХ_Списки!AE16=1,$AD$44=1),ТЕХ_Списки!AE$1,""),IF(AND(ТЕХ_Списки!AF16=1,$AE$44=1),ТЕХ_Списки!AF$1,""),IF(AND(ТЕХ_Списки!AG16=1,$AF$44=1),ТЕХ_Списки!AG$1,""),IF(AND(ТЕХ_Списки!AH16=1,$AG$44=1),ТЕХ_Списки!AH$1,""),IF(AND(ТЕХ_Списки!AI16=1,$AH$44=1),ТЕХ_Списки!AI$1,""),IF(AND(ТЕХ_Списки!AJ16=1,$AI$44=1),ТЕХ_Списки!AJ$1,""),IF(AND(ТЕХ_Списки!AK16=1,$AJ$44=1),ТЕХ_Списки!AK$1,""),IF(AND(ТЕХ_Списки!AL16=1,$AK$44=1),ТЕХ_Списки!AL$1,""),IF(AND(ТЕХ_Списки!AM16=1,$AL$44=1),ТЕХ_Списки!AM$1,""),IF(AND(ТЕХ_Списки!AN16=1,$AM$44=1),ТЕХ_Списки!AN$1,""),IF(AND(ТЕХ_Списки!AO16=1,$AN$44=1),ТЕХ_Списки!AO$1,""),IF(AND(ТЕХ_Списки!AP16=1,$AO$44=1),ТЕХ_Списки!AP$1,""),IF(AND(ТЕХ_Списки!AQ16=1,$AP$44=1),ТЕХ_Списки!AQ$1,""),IF(AND(ТЕХ_Списки!AR16=1,$AQ$44=1),ТЕХ_Списки!AR$1,""),IF(AND(ТЕХ_Списки!AS16=1,$AR$44=1),ТЕХ_Списки!AS$1,""),IF(AND(ТЕХ_Списки!AT16=1,$AS$44=1),ТЕХ_Списки!AT$1,""),IF(AND(ТЕХ_Списки!AU16=1,$AT$44=1),ТЕХ_Списки!AU$1,""),IF(AND(ТЕХ_Списки!AV16=1,$AU$44=1),ТЕХ_Списки!AV$1,""),IF(AND(ТЕХ_Списки!AW16=1,$AV$44=1),ТЕХ_Списки!AW$1,"")))</f>
        <v>#NAME?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>
      <c r="A65" s="4" t="s">
        <v>174</v>
      </c>
      <c r="B65" s="4" t="s">
        <v>180</v>
      </c>
      <c r="C65" s="4" t="s">
        <v>84</v>
      </c>
      <c r="D65" s="4" t="s">
        <v>652</v>
      </c>
      <c r="E65" s="4">
        <f t="shared" si="2"/>
        <v>0</v>
      </c>
      <c r="F65" s="4">
        <f>SUMPRODUCT(ТЕХ_Списки!E17:AW17,$D$44:$AV$44)</f>
        <v>7</v>
      </c>
      <c r="G65" s="4">
        <f>SUMPRODUCT(ТЕХ_Списки!E17:AW17,$D$44:$AV$44,$D$45:$AV$45)</f>
        <v>13</v>
      </c>
      <c r="H65" s="4">
        <f>IF(OR('РЕЙД-КОНСТРУКТОР'!$C$3="Любая",'РЕЙД-КОНСТРУКТОР'!$C$3=C65),1,0)</f>
        <v>1</v>
      </c>
      <c r="I65" s="4">
        <f t="shared" si="3"/>
        <v>1307</v>
      </c>
      <c r="J65" s="4" t="e">
        <f ca="1">IF(I65&lt;0,"",_xludf.RANK.EQ(I65,$I$50:$I$119,0)+COUNTIF($I$50:I65,I65)-1)</f>
        <v>#NAME?</v>
      </c>
      <c r="K65" s="4" t="e">
        <f ca="1">IF(F65=0,"—",_xludf.TEXTJOIN(", ",TRUE,IF(AND(ТЕХ_Списки!E17=1,$D$44=1),ТЕХ_Списки!E$1,""),IF(AND(ТЕХ_Списки!F17=1,$E$44=1),ТЕХ_Списки!F$1,""),IF(AND(ТЕХ_Списки!G17=1,$F$44=1),ТЕХ_Списки!G$1,""),IF(AND(ТЕХ_Списки!H17=1,$G$44=1),ТЕХ_Списки!H$1,""),IF(AND(ТЕХ_Списки!I17=1,$H$44=1),ТЕХ_Списки!I$1,""),IF(AND(ТЕХ_Списки!J17=1,$I$44=1),ТЕХ_Списки!J$1,""),IF(AND(ТЕХ_Списки!K17=1,$J$44=1),ТЕХ_Списки!K$1,""),IF(AND(ТЕХ_Списки!L17=1,$K$44=1),ТЕХ_Списки!L$1,""),IF(AND(ТЕХ_Списки!M17=1,$L$44=1),ТЕХ_Списки!M$1,""),IF(AND(ТЕХ_Списки!N17=1,$M$44=1),ТЕХ_Списки!N$1,""),IF(AND(ТЕХ_Списки!O17=1,$N$44=1),ТЕХ_Списки!O$1,""),IF(AND(ТЕХ_Списки!P17=1,$O$44=1),ТЕХ_Списки!P$1,""),IF(AND(ТЕХ_Списки!Q17=1,$P$44=1),ТЕХ_Списки!Q$1,""),IF(AND(ТЕХ_Списки!R17=1,$Q$44=1),ТЕХ_Списки!R$1,""),IF(AND(ТЕХ_Списки!S17=1,$R$44=1),ТЕХ_Списки!S$1,""),IF(AND(ТЕХ_Списки!T17=1,$S$44=1),ТЕХ_Списки!T$1,""),IF(AND(ТЕХ_Списки!U17=1,$T$44=1),ТЕХ_Списки!U$1,""),IF(AND(ТЕХ_Списки!V17=1,$U$44=1),ТЕХ_Списки!V$1,""),IF(AND(ТЕХ_Списки!W17=1,$V$44=1),ТЕХ_Списки!W$1,""),IF(AND(ТЕХ_Списки!X17=1,$W$44=1),ТЕХ_Списки!X$1,""),IF(AND(ТЕХ_Списки!Y17=1,$X$44=1),ТЕХ_Списки!Y$1,""),IF(AND(ТЕХ_Списки!Z17=1,$Y$44=1),ТЕХ_Списки!Z$1,""),IF(AND(ТЕХ_Списки!AA17=1,$Z$44=1),ТЕХ_Списки!AA$1,""),IF(AND(ТЕХ_Списки!AB17=1,$AA$44=1),ТЕХ_Списки!AB$1,""),IF(AND(ТЕХ_Списки!AC17=1,$AB$44=1),ТЕХ_Списки!AC$1,""),IF(AND(ТЕХ_Списки!AD17=1,$AC$44=1),ТЕХ_Списки!AD$1,""),IF(AND(ТЕХ_Списки!AE17=1,$AD$44=1),ТЕХ_Списки!AE$1,""),IF(AND(ТЕХ_Списки!AF17=1,$AE$44=1),ТЕХ_Списки!AF$1,""),IF(AND(ТЕХ_Списки!AG17=1,$AF$44=1),ТЕХ_Списки!AG$1,""),IF(AND(ТЕХ_Списки!AH17=1,$AG$44=1),ТЕХ_Списки!AH$1,""),IF(AND(ТЕХ_Списки!AI17=1,$AH$44=1),ТЕХ_Списки!AI$1,""),IF(AND(ТЕХ_Списки!AJ17=1,$AI$44=1),ТЕХ_Списки!AJ$1,""),IF(AND(ТЕХ_Списки!AK17=1,$AJ$44=1),ТЕХ_Списки!AK$1,""),IF(AND(ТЕХ_Списки!AL17=1,$AK$44=1),ТЕХ_Списки!AL$1,""),IF(AND(ТЕХ_Списки!AM17=1,$AL$44=1),ТЕХ_Списки!AM$1,""),IF(AND(ТЕХ_Списки!AN17=1,$AM$44=1),ТЕХ_Списки!AN$1,""),IF(AND(ТЕХ_Списки!AO17=1,$AN$44=1),ТЕХ_Списки!AO$1,""),IF(AND(ТЕХ_Списки!AP17=1,$AO$44=1),ТЕХ_Списки!AP$1,""),IF(AND(ТЕХ_Списки!AQ17=1,$AP$44=1),ТЕХ_Списки!AQ$1,""),IF(AND(ТЕХ_Списки!AR17=1,$AQ$44=1),ТЕХ_Списки!AR$1,""),IF(AND(ТЕХ_Списки!AS17=1,$AR$44=1),ТЕХ_Списки!AS$1,""),IF(AND(ТЕХ_Списки!AT17=1,$AS$44=1),ТЕХ_Списки!AT$1,""),IF(AND(ТЕХ_Списки!AU17=1,$AT$44=1),ТЕХ_Списки!AU$1,""),IF(AND(ТЕХ_Списки!AV17=1,$AU$44=1),ТЕХ_Списки!AV$1,""),IF(AND(ТЕХ_Списки!AW17=1,$AV$44=1),ТЕХ_Списки!AW$1,"")))</f>
        <v>#NAME?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>
      <c r="A66" s="4" t="s">
        <v>183</v>
      </c>
      <c r="B66" s="4" t="s">
        <v>184</v>
      </c>
      <c r="C66" s="4" t="s">
        <v>81</v>
      </c>
      <c r="D66" s="4" t="s">
        <v>653</v>
      </c>
      <c r="E66" s="4">
        <f t="shared" si="2"/>
        <v>0</v>
      </c>
      <c r="F66" s="4">
        <f>SUMPRODUCT(ТЕХ_Списки!E18:AW18,$D$44:$AV$44)</f>
        <v>7</v>
      </c>
      <c r="G66" s="4">
        <f>SUMPRODUCT(ТЕХ_Списки!E18:AW18,$D$44:$AV$44,$D$45:$AV$45)</f>
        <v>15</v>
      </c>
      <c r="H66" s="4">
        <f>IF(OR('РЕЙД-КОНСТРУКТОР'!$C$3="Любая",'РЕЙД-КОНСТРУКТОР'!$C$3=C66),1,0)</f>
        <v>1</v>
      </c>
      <c r="I66" s="4">
        <f t="shared" si="3"/>
        <v>1507</v>
      </c>
      <c r="J66" s="4" t="e">
        <f ca="1">IF(I66&lt;0,"",_xludf.RANK.EQ(I66,$I$50:$I$119,0)+COUNTIF($I$50:I66,I66)-1)</f>
        <v>#NAME?</v>
      </c>
      <c r="K66" s="4" t="e">
        <f ca="1">IF(F66=0,"—",_xludf.TEXTJOIN(", ",TRUE,IF(AND(ТЕХ_Списки!E18=1,$D$44=1),ТЕХ_Списки!E$1,""),IF(AND(ТЕХ_Списки!F18=1,$E$44=1),ТЕХ_Списки!F$1,""),IF(AND(ТЕХ_Списки!G18=1,$F$44=1),ТЕХ_Списки!G$1,""),IF(AND(ТЕХ_Списки!H18=1,$G$44=1),ТЕХ_Списки!H$1,""),IF(AND(ТЕХ_Списки!I18=1,$H$44=1),ТЕХ_Списки!I$1,""),IF(AND(ТЕХ_Списки!J18=1,$I$44=1),ТЕХ_Списки!J$1,""),IF(AND(ТЕХ_Списки!K18=1,$J$44=1),ТЕХ_Списки!K$1,""),IF(AND(ТЕХ_Списки!L18=1,$K$44=1),ТЕХ_Списки!L$1,""),IF(AND(ТЕХ_Списки!M18=1,$L$44=1),ТЕХ_Списки!M$1,""),IF(AND(ТЕХ_Списки!N18=1,$M$44=1),ТЕХ_Списки!N$1,""),IF(AND(ТЕХ_Списки!O18=1,$N$44=1),ТЕХ_Списки!O$1,""),IF(AND(ТЕХ_Списки!P18=1,$O$44=1),ТЕХ_Списки!P$1,""),IF(AND(ТЕХ_Списки!Q18=1,$P$44=1),ТЕХ_Списки!Q$1,""),IF(AND(ТЕХ_Списки!R18=1,$Q$44=1),ТЕХ_Списки!R$1,""),IF(AND(ТЕХ_Списки!S18=1,$R$44=1),ТЕХ_Списки!S$1,""),IF(AND(ТЕХ_Списки!T18=1,$S$44=1),ТЕХ_Списки!T$1,""),IF(AND(ТЕХ_Списки!U18=1,$T$44=1),ТЕХ_Списки!U$1,""),IF(AND(ТЕХ_Списки!V18=1,$U$44=1),ТЕХ_Списки!V$1,""),IF(AND(ТЕХ_Списки!W18=1,$V$44=1),ТЕХ_Списки!W$1,""),IF(AND(ТЕХ_Списки!X18=1,$W$44=1),ТЕХ_Списки!X$1,""),IF(AND(ТЕХ_Списки!Y18=1,$X$44=1),ТЕХ_Списки!Y$1,""),IF(AND(ТЕХ_Списки!Z18=1,$Y$44=1),ТЕХ_Списки!Z$1,""),IF(AND(ТЕХ_Списки!AA18=1,$Z$44=1),ТЕХ_Списки!AA$1,""),IF(AND(ТЕХ_Списки!AB18=1,$AA$44=1),ТЕХ_Списки!AB$1,""),IF(AND(ТЕХ_Списки!AC18=1,$AB$44=1),ТЕХ_Списки!AC$1,""),IF(AND(ТЕХ_Списки!AD18=1,$AC$44=1),ТЕХ_Списки!AD$1,""),IF(AND(ТЕХ_Списки!AE18=1,$AD$44=1),ТЕХ_Списки!AE$1,""),IF(AND(ТЕХ_Списки!AF18=1,$AE$44=1),ТЕХ_Списки!AF$1,""),IF(AND(ТЕХ_Списки!AG18=1,$AF$44=1),ТЕХ_Списки!AG$1,""),IF(AND(ТЕХ_Списки!AH18=1,$AG$44=1),ТЕХ_Списки!AH$1,""),IF(AND(ТЕХ_Списки!AI18=1,$AH$44=1),ТЕХ_Списки!AI$1,""),IF(AND(ТЕХ_Списки!AJ18=1,$AI$44=1),ТЕХ_Списки!AJ$1,""),IF(AND(ТЕХ_Списки!AK18=1,$AJ$44=1),ТЕХ_Списки!AK$1,""),IF(AND(ТЕХ_Списки!AL18=1,$AK$44=1),ТЕХ_Списки!AL$1,""),IF(AND(ТЕХ_Списки!AM18=1,$AL$44=1),ТЕХ_Списки!AM$1,""),IF(AND(ТЕХ_Списки!AN18=1,$AM$44=1),ТЕХ_Списки!AN$1,""),IF(AND(ТЕХ_Списки!AO18=1,$AN$44=1),ТЕХ_Списки!AO$1,""),IF(AND(ТЕХ_Списки!AP18=1,$AO$44=1),ТЕХ_Списки!AP$1,""),IF(AND(ТЕХ_Списки!AQ18=1,$AP$44=1),ТЕХ_Списки!AQ$1,""),IF(AND(ТЕХ_Списки!AR18=1,$AQ$44=1),ТЕХ_Списки!AR$1,""),IF(AND(ТЕХ_Списки!AS18=1,$AR$44=1),ТЕХ_Списки!AS$1,""),IF(AND(ТЕХ_Списки!AT18=1,$AS$44=1),ТЕХ_Списки!AT$1,""),IF(AND(ТЕХ_Списки!AU18=1,$AT$44=1),ТЕХ_Списки!AU$1,""),IF(AND(ТЕХ_Списки!AV18=1,$AU$44=1),ТЕХ_Списки!AV$1,""),IF(AND(ТЕХ_Списки!AW18=1,$AV$44=1),ТЕХ_Списки!AW$1,"")))</f>
        <v>#NAME?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>
      <c r="A67" s="4" t="s">
        <v>183</v>
      </c>
      <c r="B67" s="4" t="s">
        <v>186</v>
      </c>
      <c r="C67" s="4" t="s">
        <v>78</v>
      </c>
      <c r="D67" s="4" t="s">
        <v>654</v>
      </c>
      <c r="E67" s="4">
        <f t="shared" si="2"/>
        <v>0</v>
      </c>
      <c r="F67" s="4">
        <f>SUMPRODUCT(ТЕХ_Списки!E19:AW19,$D$44:$AV$44)</f>
        <v>8</v>
      </c>
      <c r="G67" s="4">
        <f>SUMPRODUCT(ТЕХ_Списки!E19:AW19,$D$44:$AV$44,$D$45:$AV$45)</f>
        <v>16</v>
      </c>
      <c r="H67" s="4">
        <f>IF(OR('РЕЙД-КОНСТРУКТОР'!$C$3="Любая",'РЕЙД-КОНСТРУКТОР'!$C$3=C67),1,0)</f>
        <v>1</v>
      </c>
      <c r="I67" s="4">
        <f t="shared" si="3"/>
        <v>1608</v>
      </c>
      <c r="J67" s="4" t="e">
        <f ca="1">IF(I67&lt;0,"",_xludf.RANK.EQ(I67,$I$50:$I$119,0)+COUNTIF($I$50:I67,I67)-1)</f>
        <v>#NAME?</v>
      </c>
      <c r="K67" s="4" t="e">
        <f ca="1">IF(F67=0,"—",_xludf.TEXTJOIN(", ",TRUE,IF(AND(ТЕХ_Списки!E19=1,$D$44=1),ТЕХ_Списки!E$1,""),IF(AND(ТЕХ_Списки!F19=1,$E$44=1),ТЕХ_Списки!F$1,""),IF(AND(ТЕХ_Списки!G19=1,$F$44=1),ТЕХ_Списки!G$1,""),IF(AND(ТЕХ_Списки!H19=1,$G$44=1),ТЕХ_Списки!H$1,""),IF(AND(ТЕХ_Списки!I19=1,$H$44=1),ТЕХ_Списки!I$1,""),IF(AND(ТЕХ_Списки!J19=1,$I$44=1),ТЕХ_Списки!J$1,""),IF(AND(ТЕХ_Списки!K19=1,$J$44=1),ТЕХ_Списки!K$1,""),IF(AND(ТЕХ_Списки!L19=1,$K$44=1),ТЕХ_Списки!L$1,""),IF(AND(ТЕХ_Списки!M19=1,$L$44=1),ТЕХ_Списки!M$1,""),IF(AND(ТЕХ_Списки!N19=1,$M$44=1),ТЕХ_Списки!N$1,""),IF(AND(ТЕХ_Списки!O19=1,$N$44=1),ТЕХ_Списки!O$1,""),IF(AND(ТЕХ_Списки!P19=1,$O$44=1),ТЕХ_Списки!P$1,""),IF(AND(ТЕХ_Списки!Q19=1,$P$44=1),ТЕХ_Списки!Q$1,""),IF(AND(ТЕХ_Списки!R19=1,$Q$44=1),ТЕХ_Списки!R$1,""),IF(AND(ТЕХ_Списки!S19=1,$R$44=1),ТЕХ_Списки!S$1,""),IF(AND(ТЕХ_Списки!T19=1,$S$44=1),ТЕХ_Списки!T$1,""),IF(AND(ТЕХ_Списки!U19=1,$T$44=1),ТЕХ_Списки!U$1,""),IF(AND(ТЕХ_Списки!V19=1,$U$44=1),ТЕХ_Списки!V$1,""),IF(AND(ТЕХ_Списки!W19=1,$V$44=1),ТЕХ_Списки!W$1,""),IF(AND(ТЕХ_Списки!X19=1,$W$44=1),ТЕХ_Списки!X$1,""),IF(AND(ТЕХ_Списки!Y19=1,$X$44=1),ТЕХ_Списки!Y$1,""),IF(AND(ТЕХ_Списки!Z19=1,$Y$44=1),ТЕХ_Списки!Z$1,""),IF(AND(ТЕХ_Списки!AA19=1,$Z$44=1),ТЕХ_Списки!AA$1,""),IF(AND(ТЕХ_Списки!AB19=1,$AA$44=1),ТЕХ_Списки!AB$1,""),IF(AND(ТЕХ_Списки!AC19=1,$AB$44=1),ТЕХ_Списки!AC$1,""),IF(AND(ТЕХ_Списки!AD19=1,$AC$44=1),ТЕХ_Списки!AD$1,""),IF(AND(ТЕХ_Списки!AE19=1,$AD$44=1),ТЕХ_Списки!AE$1,""),IF(AND(ТЕХ_Списки!AF19=1,$AE$44=1),ТЕХ_Списки!AF$1,""),IF(AND(ТЕХ_Списки!AG19=1,$AF$44=1),ТЕХ_Списки!AG$1,""),IF(AND(ТЕХ_Списки!AH19=1,$AG$44=1),ТЕХ_Списки!AH$1,""),IF(AND(ТЕХ_Списки!AI19=1,$AH$44=1),ТЕХ_Списки!AI$1,""),IF(AND(ТЕХ_Списки!AJ19=1,$AI$44=1),ТЕХ_Списки!AJ$1,""),IF(AND(ТЕХ_Списки!AK19=1,$AJ$44=1),ТЕХ_Списки!AK$1,""),IF(AND(ТЕХ_Списки!AL19=1,$AK$44=1),ТЕХ_Списки!AL$1,""),IF(AND(ТЕХ_Списки!AM19=1,$AL$44=1),ТЕХ_Списки!AM$1,""),IF(AND(ТЕХ_Списки!AN19=1,$AM$44=1),ТЕХ_Списки!AN$1,""),IF(AND(ТЕХ_Списки!AO19=1,$AN$44=1),ТЕХ_Списки!AO$1,""),IF(AND(ТЕХ_Списки!AP19=1,$AO$44=1),ТЕХ_Списки!AP$1,""),IF(AND(ТЕХ_Списки!AQ19=1,$AP$44=1),ТЕХ_Списки!AQ$1,""),IF(AND(ТЕХ_Списки!AR19=1,$AQ$44=1),ТЕХ_Списки!AR$1,""),IF(AND(ТЕХ_Списки!AS19=1,$AR$44=1),ТЕХ_Списки!AS$1,""),IF(AND(ТЕХ_Списки!AT19=1,$AS$44=1),ТЕХ_Списки!AT$1,""),IF(AND(ТЕХ_Списки!AU19=1,$AT$44=1),ТЕХ_Списки!AU$1,""),IF(AND(ТЕХ_Списки!AV19=1,$AU$44=1),ТЕХ_Списки!AV$1,""),IF(AND(ТЕХ_Списки!AW19=1,$AV$44=1),ТЕХ_Списки!AW$1,"")))</f>
        <v>#NAME?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>
      <c r="A68" s="4" t="s">
        <v>183</v>
      </c>
      <c r="B68" s="4" t="s">
        <v>189</v>
      </c>
      <c r="C68" s="4" t="s">
        <v>139</v>
      </c>
      <c r="D68" s="4" t="s">
        <v>655</v>
      </c>
      <c r="E68" s="4">
        <f t="shared" si="2"/>
        <v>0</v>
      </c>
      <c r="F68" s="4">
        <f>SUMPRODUCT(ТЕХ_Списки!E20:AW20,$D$44:$AV$44)</f>
        <v>9</v>
      </c>
      <c r="G68" s="4">
        <f>SUMPRODUCT(ТЕХ_Списки!E20:AW20,$D$44:$AV$44,$D$45:$AV$45)</f>
        <v>18</v>
      </c>
      <c r="H68" s="4">
        <f>IF(OR('РЕЙД-КОНСТРУКТОР'!$C$3="Любая",'РЕЙД-КОНСТРУКТОР'!$C$3=C68),1,0)</f>
        <v>1</v>
      </c>
      <c r="I68" s="4">
        <f t="shared" si="3"/>
        <v>1809</v>
      </c>
      <c r="J68" s="4" t="e">
        <f ca="1">IF(I68&lt;0,"",_xludf.RANK.EQ(I68,$I$50:$I$119,0)+COUNTIF($I$50:I68,I68)-1)</f>
        <v>#NAME?</v>
      </c>
      <c r="K68" s="4" t="e">
        <f ca="1">IF(F68=0,"—",_xludf.TEXTJOIN(", ",TRUE,IF(AND(ТЕХ_Списки!E20=1,$D$44=1),ТЕХ_Списки!E$1,""),IF(AND(ТЕХ_Списки!F20=1,$E$44=1),ТЕХ_Списки!F$1,""),IF(AND(ТЕХ_Списки!G20=1,$F$44=1),ТЕХ_Списки!G$1,""),IF(AND(ТЕХ_Списки!H20=1,$G$44=1),ТЕХ_Списки!H$1,""),IF(AND(ТЕХ_Списки!I20=1,$H$44=1),ТЕХ_Списки!I$1,""),IF(AND(ТЕХ_Списки!J20=1,$I$44=1),ТЕХ_Списки!J$1,""),IF(AND(ТЕХ_Списки!K20=1,$J$44=1),ТЕХ_Списки!K$1,""),IF(AND(ТЕХ_Списки!L20=1,$K$44=1),ТЕХ_Списки!L$1,""),IF(AND(ТЕХ_Списки!M20=1,$L$44=1),ТЕХ_Списки!M$1,""),IF(AND(ТЕХ_Списки!N20=1,$M$44=1),ТЕХ_Списки!N$1,""),IF(AND(ТЕХ_Списки!O20=1,$N$44=1),ТЕХ_Списки!O$1,""),IF(AND(ТЕХ_Списки!P20=1,$O$44=1),ТЕХ_Списки!P$1,""),IF(AND(ТЕХ_Списки!Q20=1,$P$44=1),ТЕХ_Списки!Q$1,""),IF(AND(ТЕХ_Списки!R20=1,$Q$44=1),ТЕХ_Списки!R$1,""),IF(AND(ТЕХ_Списки!S20=1,$R$44=1),ТЕХ_Списки!S$1,""),IF(AND(ТЕХ_Списки!T20=1,$S$44=1),ТЕХ_Списки!T$1,""),IF(AND(ТЕХ_Списки!U20=1,$T$44=1),ТЕХ_Списки!U$1,""),IF(AND(ТЕХ_Списки!V20=1,$U$44=1),ТЕХ_Списки!V$1,""),IF(AND(ТЕХ_Списки!W20=1,$V$44=1),ТЕХ_Списки!W$1,""),IF(AND(ТЕХ_Списки!X20=1,$W$44=1),ТЕХ_Списки!X$1,""),IF(AND(ТЕХ_Списки!Y20=1,$X$44=1),ТЕХ_Списки!Y$1,""),IF(AND(ТЕХ_Списки!Z20=1,$Y$44=1),ТЕХ_Списки!Z$1,""),IF(AND(ТЕХ_Списки!AA20=1,$Z$44=1),ТЕХ_Списки!AA$1,""),IF(AND(ТЕХ_Списки!AB20=1,$AA$44=1),ТЕХ_Списки!AB$1,""),IF(AND(ТЕХ_Списки!AC20=1,$AB$44=1),ТЕХ_Списки!AC$1,""),IF(AND(ТЕХ_Списки!AD20=1,$AC$44=1),ТЕХ_Списки!AD$1,""),IF(AND(ТЕХ_Списки!AE20=1,$AD$44=1),ТЕХ_Списки!AE$1,""),IF(AND(ТЕХ_Списки!AF20=1,$AE$44=1),ТЕХ_Списки!AF$1,""),IF(AND(ТЕХ_Списки!AG20=1,$AF$44=1),ТЕХ_Списки!AG$1,""),IF(AND(ТЕХ_Списки!AH20=1,$AG$44=1),ТЕХ_Списки!AH$1,""),IF(AND(ТЕХ_Списки!AI20=1,$AH$44=1),ТЕХ_Списки!AI$1,""),IF(AND(ТЕХ_Списки!AJ20=1,$AI$44=1),ТЕХ_Списки!AJ$1,""),IF(AND(ТЕХ_Списки!AK20=1,$AJ$44=1),ТЕХ_Списки!AK$1,""),IF(AND(ТЕХ_Списки!AL20=1,$AK$44=1),ТЕХ_Списки!AL$1,""),IF(AND(ТЕХ_Списки!AM20=1,$AL$44=1),ТЕХ_Списки!AM$1,""),IF(AND(ТЕХ_Списки!AN20=1,$AM$44=1),ТЕХ_Списки!AN$1,""),IF(AND(ТЕХ_Списки!AO20=1,$AN$44=1),ТЕХ_Списки!AO$1,""),IF(AND(ТЕХ_Списки!AP20=1,$AO$44=1),ТЕХ_Списки!AP$1,""),IF(AND(ТЕХ_Списки!AQ20=1,$AP$44=1),ТЕХ_Списки!AQ$1,""),IF(AND(ТЕХ_Списки!AR20=1,$AQ$44=1),ТЕХ_Списки!AR$1,""),IF(AND(ТЕХ_Списки!AS20=1,$AR$44=1),ТЕХ_Списки!AS$1,""),IF(AND(ТЕХ_Списки!AT20=1,$AS$44=1),ТЕХ_Списки!AT$1,""),IF(AND(ТЕХ_Списки!AU20=1,$AT$44=1),ТЕХ_Списки!AU$1,""),IF(AND(ТЕХ_Списки!AV20=1,$AU$44=1),ТЕХ_Списки!AV$1,""),IF(AND(ТЕХ_Списки!AW20=1,$AV$44=1),ТЕХ_Списки!AW$1,"")))</f>
        <v>#NAME?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>
      <c r="A69" s="4" t="s">
        <v>183</v>
      </c>
      <c r="B69" s="4" t="s">
        <v>192</v>
      </c>
      <c r="C69" s="4" t="s">
        <v>135</v>
      </c>
      <c r="D69" s="4" t="s">
        <v>656</v>
      </c>
      <c r="E69" s="4">
        <f t="shared" si="2"/>
        <v>0</v>
      </c>
      <c r="F69" s="4">
        <f>SUMPRODUCT(ТЕХ_Списки!E21:AW21,$D$44:$AV$44)</f>
        <v>8</v>
      </c>
      <c r="G69" s="4">
        <f>SUMPRODUCT(ТЕХ_Списки!E21:AW21,$D$44:$AV$44,$D$45:$AV$45)</f>
        <v>16</v>
      </c>
      <c r="H69" s="4">
        <f>IF(OR('РЕЙД-КОНСТРУКТОР'!$C$3="Любая",'РЕЙД-КОНСТРУКТОР'!$C$3=C69),1,0)</f>
        <v>1</v>
      </c>
      <c r="I69" s="4">
        <f t="shared" si="3"/>
        <v>1608</v>
      </c>
      <c r="J69" s="4" t="e">
        <f ca="1">IF(I69&lt;0,"",_xludf.RANK.EQ(I69,$I$50:$I$119,0)+COUNTIF($I$50:I69,I69)-1)</f>
        <v>#NAME?</v>
      </c>
      <c r="K69" s="4" t="e">
        <f ca="1">IF(F69=0,"—",_xludf.TEXTJOIN(", ",TRUE,IF(AND(ТЕХ_Списки!E21=1,$D$44=1),ТЕХ_Списки!E$1,""),IF(AND(ТЕХ_Списки!F21=1,$E$44=1),ТЕХ_Списки!F$1,""),IF(AND(ТЕХ_Списки!G21=1,$F$44=1),ТЕХ_Списки!G$1,""),IF(AND(ТЕХ_Списки!H21=1,$G$44=1),ТЕХ_Списки!H$1,""),IF(AND(ТЕХ_Списки!I21=1,$H$44=1),ТЕХ_Списки!I$1,""),IF(AND(ТЕХ_Списки!J21=1,$I$44=1),ТЕХ_Списки!J$1,""),IF(AND(ТЕХ_Списки!K21=1,$J$44=1),ТЕХ_Списки!K$1,""),IF(AND(ТЕХ_Списки!L21=1,$K$44=1),ТЕХ_Списки!L$1,""),IF(AND(ТЕХ_Списки!M21=1,$L$44=1),ТЕХ_Списки!M$1,""),IF(AND(ТЕХ_Списки!N21=1,$M$44=1),ТЕХ_Списки!N$1,""),IF(AND(ТЕХ_Списки!O21=1,$N$44=1),ТЕХ_Списки!O$1,""),IF(AND(ТЕХ_Списки!P21=1,$O$44=1),ТЕХ_Списки!P$1,""),IF(AND(ТЕХ_Списки!Q21=1,$P$44=1),ТЕХ_Списки!Q$1,""),IF(AND(ТЕХ_Списки!R21=1,$Q$44=1),ТЕХ_Списки!R$1,""),IF(AND(ТЕХ_Списки!S21=1,$R$44=1),ТЕХ_Списки!S$1,""),IF(AND(ТЕХ_Списки!T21=1,$S$44=1),ТЕХ_Списки!T$1,""),IF(AND(ТЕХ_Списки!U21=1,$T$44=1),ТЕХ_Списки!U$1,""),IF(AND(ТЕХ_Списки!V21=1,$U$44=1),ТЕХ_Списки!V$1,""),IF(AND(ТЕХ_Списки!W21=1,$V$44=1),ТЕХ_Списки!W$1,""),IF(AND(ТЕХ_Списки!X21=1,$W$44=1),ТЕХ_Списки!X$1,""),IF(AND(ТЕХ_Списки!Y21=1,$X$44=1),ТЕХ_Списки!Y$1,""),IF(AND(ТЕХ_Списки!Z21=1,$Y$44=1),ТЕХ_Списки!Z$1,""),IF(AND(ТЕХ_Списки!AA21=1,$Z$44=1),ТЕХ_Списки!AA$1,""),IF(AND(ТЕХ_Списки!AB21=1,$AA$44=1),ТЕХ_Списки!AB$1,""),IF(AND(ТЕХ_Списки!AC21=1,$AB$44=1),ТЕХ_Списки!AC$1,""),IF(AND(ТЕХ_Списки!AD21=1,$AC$44=1),ТЕХ_Списки!AD$1,""),IF(AND(ТЕХ_Списки!AE21=1,$AD$44=1),ТЕХ_Списки!AE$1,""),IF(AND(ТЕХ_Списки!AF21=1,$AE$44=1),ТЕХ_Списки!AF$1,""),IF(AND(ТЕХ_Списки!AG21=1,$AF$44=1),ТЕХ_Списки!AG$1,""),IF(AND(ТЕХ_Списки!AH21=1,$AG$44=1),ТЕХ_Списки!AH$1,""),IF(AND(ТЕХ_Списки!AI21=1,$AH$44=1),ТЕХ_Списки!AI$1,""),IF(AND(ТЕХ_Списки!AJ21=1,$AI$44=1),ТЕХ_Списки!AJ$1,""),IF(AND(ТЕХ_Списки!AK21=1,$AJ$44=1),ТЕХ_Списки!AK$1,""),IF(AND(ТЕХ_Списки!AL21=1,$AK$44=1),ТЕХ_Списки!AL$1,""),IF(AND(ТЕХ_Списки!AM21=1,$AL$44=1),ТЕХ_Списки!AM$1,""),IF(AND(ТЕХ_Списки!AN21=1,$AM$44=1),ТЕХ_Списки!AN$1,""),IF(AND(ТЕХ_Списки!AO21=1,$AN$44=1),ТЕХ_Списки!AO$1,""),IF(AND(ТЕХ_Списки!AP21=1,$AO$44=1),ТЕХ_Списки!AP$1,""),IF(AND(ТЕХ_Списки!AQ21=1,$AP$44=1),ТЕХ_Списки!AQ$1,""),IF(AND(ТЕХ_Списки!AR21=1,$AQ$44=1),ТЕХ_Списки!AR$1,""),IF(AND(ТЕХ_Списки!AS21=1,$AR$44=1),ТЕХ_Списки!AS$1,""),IF(AND(ТЕХ_Списки!AT21=1,$AS$44=1),ТЕХ_Списки!AT$1,""),IF(AND(ТЕХ_Списки!AU21=1,$AT$44=1),ТЕХ_Списки!AU$1,""),IF(AND(ТЕХ_Списки!AV21=1,$AU$44=1),ТЕХ_Списки!AV$1,""),IF(AND(ТЕХ_Списки!AW21=1,$AV$44=1),ТЕХ_Списки!AW$1,"")))</f>
        <v>#NAME?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>
      <c r="A70" s="4" t="s">
        <v>194</v>
      </c>
      <c r="B70" s="4" t="s">
        <v>195</v>
      </c>
      <c r="C70" s="4" t="s">
        <v>135</v>
      </c>
      <c r="D70" s="4" t="s">
        <v>657</v>
      </c>
      <c r="E70" s="4">
        <f t="shared" si="2"/>
        <v>0</v>
      </c>
      <c r="F70" s="4">
        <f>SUMPRODUCT(ТЕХ_Списки!E22:AW22,$D$44:$AV$44)</f>
        <v>12</v>
      </c>
      <c r="G70" s="4">
        <f>SUMPRODUCT(ТЕХ_Списки!E22:AW22,$D$44:$AV$44,$D$45:$AV$45)</f>
        <v>21</v>
      </c>
      <c r="H70" s="4">
        <f>IF(OR('РЕЙД-КОНСТРУКТОР'!$C$3="Любая",'РЕЙД-КОНСТРУКТОР'!$C$3=C70),1,0)</f>
        <v>1</v>
      </c>
      <c r="I70" s="4">
        <f t="shared" si="3"/>
        <v>2112</v>
      </c>
      <c r="J70" s="4" t="e">
        <f ca="1">IF(I70&lt;0,"",_xludf.RANK.EQ(I70,$I$50:$I$119,0)+COUNTIF($I$50:I70,I70)-1)</f>
        <v>#NAME?</v>
      </c>
      <c r="K70" s="4" t="e">
        <f ca="1">IF(F70=0,"—",_xludf.TEXTJOIN(", ",TRUE,IF(AND(ТЕХ_Списки!E22=1,$D$44=1),ТЕХ_Списки!E$1,""),IF(AND(ТЕХ_Списки!F22=1,$E$44=1),ТЕХ_Списки!F$1,""),IF(AND(ТЕХ_Списки!G22=1,$F$44=1),ТЕХ_Списки!G$1,""),IF(AND(ТЕХ_Списки!H22=1,$G$44=1),ТЕХ_Списки!H$1,""),IF(AND(ТЕХ_Списки!I22=1,$H$44=1),ТЕХ_Списки!I$1,""),IF(AND(ТЕХ_Списки!J22=1,$I$44=1),ТЕХ_Списки!J$1,""),IF(AND(ТЕХ_Списки!K22=1,$J$44=1),ТЕХ_Списки!K$1,""),IF(AND(ТЕХ_Списки!L22=1,$K$44=1),ТЕХ_Списки!L$1,""),IF(AND(ТЕХ_Списки!M22=1,$L$44=1),ТЕХ_Списки!M$1,""),IF(AND(ТЕХ_Списки!N22=1,$M$44=1),ТЕХ_Списки!N$1,""),IF(AND(ТЕХ_Списки!O22=1,$N$44=1),ТЕХ_Списки!O$1,""),IF(AND(ТЕХ_Списки!P22=1,$O$44=1),ТЕХ_Списки!P$1,""),IF(AND(ТЕХ_Списки!Q22=1,$P$44=1),ТЕХ_Списки!Q$1,""),IF(AND(ТЕХ_Списки!R22=1,$Q$44=1),ТЕХ_Списки!R$1,""),IF(AND(ТЕХ_Списки!S22=1,$R$44=1),ТЕХ_Списки!S$1,""),IF(AND(ТЕХ_Списки!T22=1,$S$44=1),ТЕХ_Списки!T$1,""),IF(AND(ТЕХ_Списки!U22=1,$T$44=1),ТЕХ_Списки!U$1,""),IF(AND(ТЕХ_Списки!V22=1,$U$44=1),ТЕХ_Списки!V$1,""),IF(AND(ТЕХ_Списки!W22=1,$V$44=1),ТЕХ_Списки!W$1,""),IF(AND(ТЕХ_Списки!X22=1,$W$44=1),ТЕХ_Списки!X$1,""),IF(AND(ТЕХ_Списки!Y22=1,$X$44=1),ТЕХ_Списки!Y$1,""),IF(AND(ТЕХ_Списки!Z22=1,$Y$44=1),ТЕХ_Списки!Z$1,""),IF(AND(ТЕХ_Списки!AA22=1,$Z$44=1),ТЕХ_Списки!AA$1,""),IF(AND(ТЕХ_Списки!AB22=1,$AA$44=1),ТЕХ_Списки!AB$1,""),IF(AND(ТЕХ_Списки!AC22=1,$AB$44=1),ТЕХ_Списки!AC$1,""),IF(AND(ТЕХ_Списки!AD22=1,$AC$44=1),ТЕХ_Списки!AD$1,""),IF(AND(ТЕХ_Списки!AE22=1,$AD$44=1),ТЕХ_Списки!AE$1,""),IF(AND(ТЕХ_Списки!AF22=1,$AE$44=1),ТЕХ_Списки!AF$1,""),IF(AND(ТЕХ_Списки!AG22=1,$AF$44=1),ТЕХ_Списки!AG$1,""),IF(AND(ТЕХ_Списки!AH22=1,$AG$44=1),ТЕХ_Списки!AH$1,""),IF(AND(ТЕХ_Списки!AI22=1,$AH$44=1),ТЕХ_Списки!AI$1,""),IF(AND(ТЕХ_Списки!AJ22=1,$AI$44=1),ТЕХ_Списки!AJ$1,""),IF(AND(ТЕХ_Списки!AK22=1,$AJ$44=1),ТЕХ_Списки!AK$1,""),IF(AND(ТЕХ_Списки!AL22=1,$AK$44=1),ТЕХ_Списки!AL$1,""),IF(AND(ТЕХ_Списки!AM22=1,$AL$44=1),ТЕХ_Списки!AM$1,""),IF(AND(ТЕХ_Списки!AN22=1,$AM$44=1),ТЕХ_Списки!AN$1,""),IF(AND(ТЕХ_Списки!AO22=1,$AN$44=1),ТЕХ_Списки!AO$1,""),IF(AND(ТЕХ_Списки!AP22=1,$AO$44=1),ТЕХ_Списки!AP$1,""),IF(AND(ТЕХ_Списки!AQ22=1,$AP$44=1),ТЕХ_Списки!AQ$1,""),IF(AND(ТЕХ_Списки!AR22=1,$AQ$44=1),ТЕХ_Списки!AR$1,""),IF(AND(ТЕХ_Списки!AS22=1,$AR$44=1),ТЕХ_Списки!AS$1,""),IF(AND(ТЕХ_Списки!AT22=1,$AS$44=1),ТЕХ_Списки!AT$1,""),IF(AND(ТЕХ_Списки!AU22=1,$AT$44=1),ТЕХ_Списки!AU$1,""),IF(AND(ТЕХ_Списки!AV22=1,$AU$44=1),ТЕХ_Списки!AV$1,""),IF(AND(ТЕХ_Списки!AW22=1,$AV$44=1),ТЕХ_Списки!AW$1,"")))</f>
        <v>#NAME?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>
      <c r="A71" s="4" t="s">
        <v>194</v>
      </c>
      <c r="B71" s="4" t="s">
        <v>198</v>
      </c>
      <c r="C71" s="4" t="s">
        <v>135</v>
      </c>
      <c r="D71" s="4" t="s">
        <v>658</v>
      </c>
      <c r="E71" s="4">
        <f t="shared" si="2"/>
        <v>0</v>
      </c>
      <c r="F71" s="4">
        <f>SUMPRODUCT(ТЕХ_Списки!E23:AW23,$D$44:$AV$44)</f>
        <v>12</v>
      </c>
      <c r="G71" s="4">
        <f>SUMPRODUCT(ТЕХ_Списки!E23:AW23,$D$44:$AV$44,$D$45:$AV$45)</f>
        <v>21</v>
      </c>
      <c r="H71" s="4">
        <f>IF(OR('РЕЙД-КОНСТРУКТОР'!$C$3="Любая",'РЕЙД-КОНСТРУКТОР'!$C$3=C71),1,0)</f>
        <v>1</v>
      </c>
      <c r="I71" s="4">
        <f t="shared" si="3"/>
        <v>2112</v>
      </c>
      <c r="J71" s="4" t="e">
        <f ca="1">IF(I71&lt;0,"",_xludf.RANK.EQ(I71,$I$50:$I$119,0)+COUNTIF($I$50:I71,I71)-1)</f>
        <v>#NAME?</v>
      </c>
      <c r="K71" s="4" t="e">
        <f ca="1">IF(F71=0,"—",_xludf.TEXTJOIN(", ",TRUE,IF(AND(ТЕХ_Списки!E23=1,$D$44=1),ТЕХ_Списки!E$1,""),IF(AND(ТЕХ_Списки!F23=1,$E$44=1),ТЕХ_Списки!F$1,""),IF(AND(ТЕХ_Списки!G23=1,$F$44=1),ТЕХ_Списки!G$1,""),IF(AND(ТЕХ_Списки!H23=1,$G$44=1),ТЕХ_Списки!H$1,""),IF(AND(ТЕХ_Списки!I23=1,$H$44=1),ТЕХ_Списки!I$1,""),IF(AND(ТЕХ_Списки!J23=1,$I$44=1),ТЕХ_Списки!J$1,""),IF(AND(ТЕХ_Списки!K23=1,$J$44=1),ТЕХ_Списки!K$1,""),IF(AND(ТЕХ_Списки!L23=1,$K$44=1),ТЕХ_Списки!L$1,""),IF(AND(ТЕХ_Списки!M23=1,$L$44=1),ТЕХ_Списки!M$1,""),IF(AND(ТЕХ_Списки!N23=1,$M$44=1),ТЕХ_Списки!N$1,""),IF(AND(ТЕХ_Списки!O23=1,$N$44=1),ТЕХ_Списки!O$1,""),IF(AND(ТЕХ_Списки!P23=1,$O$44=1),ТЕХ_Списки!P$1,""),IF(AND(ТЕХ_Списки!Q23=1,$P$44=1),ТЕХ_Списки!Q$1,""),IF(AND(ТЕХ_Списки!R23=1,$Q$44=1),ТЕХ_Списки!R$1,""),IF(AND(ТЕХ_Списки!S23=1,$R$44=1),ТЕХ_Списки!S$1,""),IF(AND(ТЕХ_Списки!T23=1,$S$44=1),ТЕХ_Списки!T$1,""),IF(AND(ТЕХ_Списки!U23=1,$T$44=1),ТЕХ_Списки!U$1,""),IF(AND(ТЕХ_Списки!V23=1,$U$44=1),ТЕХ_Списки!V$1,""),IF(AND(ТЕХ_Списки!W23=1,$V$44=1),ТЕХ_Списки!W$1,""),IF(AND(ТЕХ_Списки!X23=1,$W$44=1),ТЕХ_Списки!X$1,""),IF(AND(ТЕХ_Списки!Y23=1,$X$44=1),ТЕХ_Списки!Y$1,""),IF(AND(ТЕХ_Списки!Z23=1,$Y$44=1),ТЕХ_Списки!Z$1,""),IF(AND(ТЕХ_Списки!AA23=1,$Z$44=1),ТЕХ_Списки!AA$1,""),IF(AND(ТЕХ_Списки!AB23=1,$AA$44=1),ТЕХ_Списки!AB$1,""),IF(AND(ТЕХ_Списки!AC23=1,$AB$44=1),ТЕХ_Списки!AC$1,""),IF(AND(ТЕХ_Списки!AD23=1,$AC$44=1),ТЕХ_Списки!AD$1,""),IF(AND(ТЕХ_Списки!AE23=1,$AD$44=1),ТЕХ_Списки!AE$1,""),IF(AND(ТЕХ_Списки!AF23=1,$AE$44=1),ТЕХ_Списки!AF$1,""),IF(AND(ТЕХ_Списки!AG23=1,$AF$44=1),ТЕХ_Списки!AG$1,""),IF(AND(ТЕХ_Списки!AH23=1,$AG$44=1),ТЕХ_Списки!AH$1,""),IF(AND(ТЕХ_Списки!AI23=1,$AH$44=1),ТЕХ_Списки!AI$1,""),IF(AND(ТЕХ_Списки!AJ23=1,$AI$44=1),ТЕХ_Списки!AJ$1,""),IF(AND(ТЕХ_Списки!AK23=1,$AJ$44=1),ТЕХ_Списки!AK$1,""),IF(AND(ТЕХ_Списки!AL23=1,$AK$44=1),ТЕХ_Списки!AL$1,""),IF(AND(ТЕХ_Списки!AM23=1,$AL$44=1),ТЕХ_Списки!AM$1,""),IF(AND(ТЕХ_Списки!AN23=1,$AM$44=1),ТЕХ_Списки!AN$1,""),IF(AND(ТЕХ_Списки!AO23=1,$AN$44=1),ТЕХ_Списки!AO$1,""),IF(AND(ТЕХ_Списки!AP23=1,$AO$44=1),ТЕХ_Списки!AP$1,""),IF(AND(ТЕХ_Списки!AQ23=1,$AP$44=1),ТЕХ_Списки!AQ$1,""),IF(AND(ТЕХ_Списки!AR23=1,$AQ$44=1),ТЕХ_Списки!AR$1,""),IF(AND(ТЕХ_Списки!AS23=1,$AR$44=1),ТЕХ_Списки!AS$1,""),IF(AND(ТЕХ_Списки!AT23=1,$AS$44=1),ТЕХ_Списки!AT$1,""),IF(AND(ТЕХ_Списки!AU23=1,$AT$44=1),ТЕХ_Списки!AU$1,""),IF(AND(ТЕХ_Списки!AV23=1,$AU$44=1),ТЕХ_Списки!AV$1,""),IF(AND(ТЕХ_Списки!AW23=1,$AV$44=1),ТЕХ_Списки!AW$1,"")))</f>
        <v>#NAME?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>
      <c r="A72" s="4" t="s">
        <v>194</v>
      </c>
      <c r="B72" s="4" t="s">
        <v>201</v>
      </c>
      <c r="C72" s="4" t="s">
        <v>78</v>
      </c>
      <c r="D72" s="4" t="s">
        <v>659</v>
      </c>
      <c r="E72" s="4">
        <f t="shared" si="2"/>
        <v>0</v>
      </c>
      <c r="F72" s="4">
        <f>SUMPRODUCT(ТЕХ_Списки!E24:AW24,$D$44:$AV$44)</f>
        <v>12</v>
      </c>
      <c r="G72" s="4">
        <f>SUMPRODUCT(ТЕХ_Списки!E24:AW24,$D$44:$AV$44,$D$45:$AV$45)</f>
        <v>23</v>
      </c>
      <c r="H72" s="4">
        <f>IF(OR('РЕЙД-КОНСТРУКТОР'!$C$3="Любая",'РЕЙД-КОНСТРУКТОР'!$C$3=C72),1,0)</f>
        <v>1</v>
      </c>
      <c r="I72" s="4">
        <f t="shared" si="3"/>
        <v>2312</v>
      </c>
      <c r="J72" s="4" t="e">
        <f ca="1">IF(I72&lt;0,"",_xludf.RANK.EQ(I72,$I$50:$I$119,0)+COUNTIF($I$50:I72,I72)-1)</f>
        <v>#NAME?</v>
      </c>
      <c r="K72" s="4" t="e">
        <f ca="1">IF(F72=0,"—",_xludf.TEXTJOIN(", ",TRUE,IF(AND(ТЕХ_Списки!E24=1,$D$44=1),ТЕХ_Списки!E$1,""),IF(AND(ТЕХ_Списки!F24=1,$E$44=1),ТЕХ_Списки!F$1,""),IF(AND(ТЕХ_Списки!G24=1,$F$44=1),ТЕХ_Списки!G$1,""),IF(AND(ТЕХ_Списки!H24=1,$G$44=1),ТЕХ_Списки!H$1,""),IF(AND(ТЕХ_Списки!I24=1,$H$44=1),ТЕХ_Списки!I$1,""),IF(AND(ТЕХ_Списки!J24=1,$I$44=1),ТЕХ_Списки!J$1,""),IF(AND(ТЕХ_Списки!K24=1,$J$44=1),ТЕХ_Списки!K$1,""),IF(AND(ТЕХ_Списки!L24=1,$K$44=1),ТЕХ_Списки!L$1,""),IF(AND(ТЕХ_Списки!M24=1,$L$44=1),ТЕХ_Списки!M$1,""),IF(AND(ТЕХ_Списки!N24=1,$M$44=1),ТЕХ_Списки!N$1,""),IF(AND(ТЕХ_Списки!O24=1,$N$44=1),ТЕХ_Списки!O$1,""),IF(AND(ТЕХ_Списки!P24=1,$O$44=1),ТЕХ_Списки!P$1,""),IF(AND(ТЕХ_Списки!Q24=1,$P$44=1),ТЕХ_Списки!Q$1,""),IF(AND(ТЕХ_Списки!R24=1,$Q$44=1),ТЕХ_Списки!R$1,""),IF(AND(ТЕХ_Списки!S24=1,$R$44=1),ТЕХ_Списки!S$1,""),IF(AND(ТЕХ_Списки!T24=1,$S$44=1),ТЕХ_Списки!T$1,""),IF(AND(ТЕХ_Списки!U24=1,$T$44=1),ТЕХ_Списки!U$1,""),IF(AND(ТЕХ_Списки!V24=1,$U$44=1),ТЕХ_Списки!V$1,""),IF(AND(ТЕХ_Списки!W24=1,$V$44=1),ТЕХ_Списки!W$1,""),IF(AND(ТЕХ_Списки!X24=1,$W$44=1),ТЕХ_Списки!X$1,""),IF(AND(ТЕХ_Списки!Y24=1,$X$44=1),ТЕХ_Списки!Y$1,""),IF(AND(ТЕХ_Списки!Z24=1,$Y$44=1),ТЕХ_Списки!Z$1,""),IF(AND(ТЕХ_Списки!AA24=1,$Z$44=1),ТЕХ_Списки!AA$1,""),IF(AND(ТЕХ_Списки!AB24=1,$AA$44=1),ТЕХ_Списки!AB$1,""),IF(AND(ТЕХ_Списки!AC24=1,$AB$44=1),ТЕХ_Списки!AC$1,""),IF(AND(ТЕХ_Списки!AD24=1,$AC$44=1),ТЕХ_Списки!AD$1,""),IF(AND(ТЕХ_Списки!AE24=1,$AD$44=1),ТЕХ_Списки!AE$1,""),IF(AND(ТЕХ_Списки!AF24=1,$AE$44=1),ТЕХ_Списки!AF$1,""),IF(AND(ТЕХ_Списки!AG24=1,$AF$44=1),ТЕХ_Списки!AG$1,""),IF(AND(ТЕХ_Списки!AH24=1,$AG$44=1),ТЕХ_Списки!AH$1,""),IF(AND(ТЕХ_Списки!AI24=1,$AH$44=1),ТЕХ_Списки!AI$1,""),IF(AND(ТЕХ_Списки!AJ24=1,$AI$44=1),ТЕХ_Списки!AJ$1,""),IF(AND(ТЕХ_Списки!AK24=1,$AJ$44=1),ТЕХ_Списки!AK$1,""),IF(AND(ТЕХ_Списки!AL24=1,$AK$44=1),ТЕХ_Списки!AL$1,""),IF(AND(ТЕХ_Списки!AM24=1,$AL$44=1),ТЕХ_Списки!AM$1,""),IF(AND(ТЕХ_Списки!AN24=1,$AM$44=1),ТЕХ_Списки!AN$1,""),IF(AND(ТЕХ_Списки!AO24=1,$AN$44=1),ТЕХ_Списки!AO$1,""),IF(AND(ТЕХ_Списки!AP24=1,$AO$44=1),ТЕХ_Списки!AP$1,""),IF(AND(ТЕХ_Списки!AQ24=1,$AP$44=1),ТЕХ_Списки!AQ$1,""),IF(AND(ТЕХ_Списки!AR24=1,$AQ$44=1),ТЕХ_Списки!AR$1,""),IF(AND(ТЕХ_Списки!AS24=1,$AR$44=1),ТЕХ_Списки!AS$1,""),IF(AND(ТЕХ_Списки!AT24=1,$AS$44=1),ТЕХ_Списки!AT$1,""),IF(AND(ТЕХ_Списки!AU24=1,$AT$44=1),ТЕХ_Списки!AU$1,""),IF(AND(ТЕХ_Списки!AV24=1,$AU$44=1),ТЕХ_Списки!AV$1,""),IF(AND(ТЕХ_Списки!AW24=1,$AV$44=1),ТЕХ_Списки!AW$1,"")))</f>
        <v>#NAME?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>
      <c r="A73" s="4" t="s">
        <v>204</v>
      </c>
      <c r="B73" s="4" t="s">
        <v>205</v>
      </c>
      <c r="C73" s="4" t="s">
        <v>78</v>
      </c>
      <c r="D73" s="4" t="s">
        <v>660</v>
      </c>
      <c r="E73" s="4">
        <f t="shared" si="2"/>
        <v>0</v>
      </c>
      <c r="F73" s="4">
        <f>SUMPRODUCT(ТЕХ_Списки!E25:AW25,$D$44:$AV$44)</f>
        <v>6</v>
      </c>
      <c r="G73" s="4">
        <f>SUMPRODUCT(ТЕХ_Списки!E25:AW25,$D$44:$AV$44,$D$45:$AV$45)</f>
        <v>15</v>
      </c>
      <c r="H73" s="4">
        <f>IF(OR('РЕЙД-КОНСТРУКТОР'!$C$3="Любая",'РЕЙД-КОНСТРУКТОР'!$C$3=C73),1,0)</f>
        <v>1</v>
      </c>
      <c r="I73" s="4">
        <f t="shared" si="3"/>
        <v>1506</v>
      </c>
      <c r="J73" s="4" t="e">
        <f ca="1">IF(I73&lt;0,"",_xludf.RANK.EQ(I73,$I$50:$I$119,0)+COUNTIF($I$50:I73,I73)-1)</f>
        <v>#NAME?</v>
      </c>
      <c r="K73" s="4" t="e">
        <f ca="1">IF(F73=0,"—",_xludf.TEXTJOIN(", ",TRUE,IF(AND(ТЕХ_Списки!E25=1,$D$44=1),ТЕХ_Списки!E$1,""),IF(AND(ТЕХ_Списки!F25=1,$E$44=1),ТЕХ_Списки!F$1,""),IF(AND(ТЕХ_Списки!G25=1,$F$44=1),ТЕХ_Списки!G$1,""),IF(AND(ТЕХ_Списки!H25=1,$G$44=1),ТЕХ_Списки!H$1,""),IF(AND(ТЕХ_Списки!I25=1,$H$44=1),ТЕХ_Списки!I$1,""),IF(AND(ТЕХ_Списки!J25=1,$I$44=1),ТЕХ_Списки!J$1,""),IF(AND(ТЕХ_Списки!K25=1,$J$44=1),ТЕХ_Списки!K$1,""),IF(AND(ТЕХ_Списки!L25=1,$K$44=1),ТЕХ_Списки!L$1,""),IF(AND(ТЕХ_Списки!M25=1,$L$44=1),ТЕХ_Списки!M$1,""),IF(AND(ТЕХ_Списки!N25=1,$M$44=1),ТЕХ_Списки!N$1,""),IF(AND(ТЕХ_Списки!O25=1,$N$44=1),ТЕХ_Списки!O$1,""),IF(AND(ТЕХ_Списки!P25=1,$O$44=1),ТЕХ_Списки!P$1,""),IF(AND(ТЕХ_Списки!Q25=1,$P$44=1),ТЕХ_Списки!Q$1,""),IF(AND(ТЕХ_Списки!R25=1,$Q$44=1),ТЕХ_Списки!R$1,""),IF(AND(ТЕХ_Списки!S25=1,$R$44=1),ТЕХ_Списки!S$1,""),IF(AND(ТЕХ_Списки!T25=1,$S$44=1),ТЕХ_Списки!T$1,""),IF(AND(ТЕХ_Списки!U25=1,$T$44=1),ТЕХ_Списки!U$1,""),IF(AND(ТЕХ_Списки!V25=1,$U$44=1),ТЕХ_Списки!V$1,""),IF(AND(ТЕХ_Списки!W25=1,$V$44=1),ТЕХ_Списки!W$1,""),IF(AND(ТЕХ_Списки!X25=1,$W$44=1),ТЕХ_Списки!X$1,""),IF(AND(ТЕХ_Списки!Y25=1,$X$44=1),ТЕХ_Списки!Y$1,""),IF(AND(ТЕХ_Списки!Z25=1,$Y$44=1),ТЕХ_Списки!Z$1,""),IF(AND(ТЕХ_Списки!AA25=1,$Z$44=1),ТЕХ_Списки!AA$1,""),IF(AND(ТЕХ_Списки!AB25=1,$AA$44=1),ТЕХ_Списки!AB$1,""),IF(AND(ТЕХ_Списки!AC25=1,$AB$44=1),ТЕХ_Списки!AC$1,""),IF(AND(ТЕХ_Списки!AD25=1,$AC$44=1),ТЕХ_Списки!AD$1,""),IF(AND(ТЕХ_Списки!AE25=1,$AD$44=1),ТЕХ_Списки!AE$1,""),IF(AND(ТЕХ_Списки!AF25=1,$AE$44=1),ТЕХ_Списки!AF$1,""),IF(AND(ТЕХ_Списки!AG25=1,$AF$44=1),ТЕХ_Списки!AG$1,""),IF(AND(ТЕХ_Списки!AH25=1,$AG$44=1),ТЕХ_Списки!AH$1,""),IF(AND(ТЕХ_Списки!AI25=1,$AH$44=1),ТЕХ_Списки!AI$1,""),IF(AND(ТЕХ_Списки!AJ25=1,$AI$44=1),ТЕХ_Списки!AJ$1,""),IF(AND(ТЕХ_Списки!AK25=1,$AJ$44=1),ТЕХ_Списки!AK$1,""),IF(AND(ТЕХ_Списки!AL25=1,$AK$44=1),ТЕХ_Списки!AL$1,""),IF(AND(ТЕХ_Списки!AM25=1,$AL$44=1),ТЕХ_Списки!AM$1,""),IF(AND(ТЕХ_Списки!AN25=1,$AM$44=1),ТЕХ_Списки!AN$1,""),IF(AND(ТЕХ_Списки!AO25=1,$AN$44=1),ТЕХ_Списки!AO$1,""),IF(AND(ТЕХ_Списки!AP25=1,$AO$44=1),ТЕХ_Списки!AP$1,""),IF(AND(ТЕХ_Списки!AQ25=1,$AP$44=1),ТЕХ_Списки!AQ$1,""),IF(AND(ТЕХ_Списки!AR25=1,$AQ$44=1),ТЕХ_Списки!AR$1,""),IF(AND(ТЕХ_Списки!AS25=1,$AR$44=1),ТЕХ_Списки!AS$1,""),IF(AND(ТЕХ_Списки!AT25=1,$AS$44=1),ТЕХ_Списки!AT$1,""),IF(AND(ТЕХ_Списки!AU25=1,$AT$44=1),ТЕХ_Списки!AU$1,""),IF(AND(ТЕХ_Списки!AV25=1,$AU$44=1),ТЕХ_Списки!AV$1,""),IF(AND(ТЕХ_Списки!AW25=1,$AV$44=1),ТЕХ_Списки!AW$1,"")))</f>
        <v>#NAME?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>
      <c r="A74" s="4" t="s">
        <v>204</v>
      </c>
      <c r="B74" s="4" t="s">
        <v>208</v>
      </c>
      <c r="C74" s="4" t="s">
        <v>135</v>
      </c>
      <c r="D74" s="4" t="s">
        <v>661</v>
      </c>
      <c r="E74" s="4">
        <f t="shared" si="2"/>
        <v>0</v>
      </c>
      <c r="F74" s="4">
        <f>SUMPRODUCT(ТЕХ_Списки!E26:AW26,$D$44:$AV$44)</f>
        <v>6</v>
      </c>
      <c r="G74" s="4">
        <f>SUMPRODUCT(ТЕХ_Списки!E26:AW26,$D$44:$AV$44,$D$45:$AV$45)</f>
        <v>13</v>
      </c>
      <c r="H74" s="4">
        <f>IF(OR('РЕЙД-КОНСТРУКТОР'!$C$3="Любая",'РЕЙД-КОНСТРУКТОР'!$C$3=C74),1,0)</f>
        <v>1</v>
      </c>
      <c r="I74" s="4">
        <f t="shared" si="3"/>
        <v>1306</v>
      </c>
      <c r="J74" s="4" t="e">
        <f ca="1">IF(I74&lt;0,"",_xludf.RANK.EQ(I74,$I$50:$I$119,0)+COUNTIF($I$50:I74,I74)-1)</f>
        <v>#NAME?</v>
      </c>
      <c r="K74" s="4" t="e">
        <f ca="1">IF(F74=0,"—",_xludf.TEXTJOIN(", ",TRUE,IF(AND(ТЕХ_Списки!E26=1,$D$44=1),ТЕХ_Списки!E$1,""),IF(AND(ТЕХ_Списки!F26=1,$E$44=1),ТЕХ_Списки!F$1,""),IF(AND(ТЕХ_Списки!G26=1,$F$44=1),ТЕХ_Списки!G$1,""),IF(AND(ТЕХ_Списки!H26=1,$G$44=1),ТЕХ_Списки!H$1,""),IF(AND(ТЕХ_Списки!I26=1,$H$44=1),ТЕХ_Списки!I$1,""),IF(AND(ТЕХ_Списки!J26=1,$I$44=1),ТЕХ_Списки!J$1,""),IF(AND(ТЕХ_Списки!K26=1,$J$44=1),ТЕХ_Списки!K$1,""),IF(AND(ТЕХ_Списки!L26=1,$K$44=1),ТЕХ_Списки!L$1,""),IF(AND(ТЕХ_Списки!M26=1,$L$44=1),ТЕХ_Списки!M$1,""),IF(AND(ТЕХ_Списки!N26=1,$M$44=1),ТЕХ_Списки!N$1,""),IF(AND(ТЕХ_Списки!O26=1,$N$44=1),ТЕХ_Списки!O$1,""),IF(AND(ТЕХ_Списки!P26=1,$O$44=1),ТЕХ_Списки!P$1,""),IF(AND(ТЕХ_Списки!Q26=1,$P$44=1),ТЕХ_Списки!Q$1,""),IF(AND(ТЕХ_Списки!R26=1,$Q$44=1),ТЕХ_Списки!R$1,""),IF(AND(ТЕХ_Списки!S26=1,$R$44=1),ТЕХ_Списки!S$1,""),IF(AND(ТЕХ_Списки!T26=1,$S$44=1),ТЕХ_Списки!T$1,""),IF(AND(ТЕХ_Списки!U26=1,$T$44=1),ТЕХ_Списки!U$1,""),IF(AND(ТЕХ_Списки!V26=1,$U$44=1),ТЕХ_Списки!V$1,""),IF(AND(ТЕХ_Списки!W26=1,$V$44=1),ТЕХ_Списки!W$1,""),IF(AND(ТЕХ_Списки!X26=1,$W$44=1),ТЕХ_Списки!X$1,""),IF(AND(ТЕХ_Списки!Y26=1,$X$44=1),ТЕХ_Списки!Y$1,""),IF(AND(ТЕХ_Списки!Z26=1,$Y$44=1),ТЕХ_Списки!Z$1,""),IF(AND(ТЕХ_Списки!AA26=1,$Z$44=1),ТЕХ_Списки!AA$1,""),IF(AND(ТЕХ_Списки!AB26=1,$AA$44=1),ТЕХ_Списки!AB$1,""),IF(AND(ТЕХ_Списки!AC26=1,$AB$44=1),ТЕХ_Списки!AC$1,""),IF(AND(ТЕХ_Списки!AD26=1,$AC$44=1),ТЕХ_Списки!AD$1,""),IF(AND(ТЕХ_Списки!AE26=1,$AD$44=1),ТЕХ_Списки!AE$1,""),IF(AND(ТЕХ_Списки!AF26=1,$AE$44=1),ТЕХ_Списки!AF$1,""),IF(AND(ТЕХ_Списки!AG26=1,$AF$44=1),ТЕХ_Списки!AG$1,""),IF(AND(ТЕХ_Списки!AH26=1,$AG$44=1),ТЕХ_Списки!AH$1,""),IF(AND(ТЕХ_Списки!AI26=1,$AH$44=1),ТЕХ_Списки!AI$1,""),IF(AND(ТЕХ_Списки!AJ26=1,$AI$44=1),ТЕХ_Списки!AJ$1,""),IF(AND(ТЕХ_Списки!AK26=1,$AJ$44=1),ТЕХ_Списки!AK$1,""),IF(AND(ТЕХ_Списки!AL26=1,$AK$44=1),ТЕХ_Списки!AL$1,""),IF(AND(ТЕХ_Списки!AM26=1,$AL$44=1),ТЕХ_Списки!AM$1,""),IF(AND(ТЕХ_Списки!AN26=1,$AM$44=1),ТЕХ_Списки!AN$1,""),IF(AND(ТЕХ_Списки!AO26=1,$AN$44=1),ТЕХ_Списки!AO$1,""),IF(AND(ТЕХ_Списки!AP26=1,$AO$44=1),ТЕХ_Списки!AP$1,""),IF(AND(ТЕХ_Списки!AQ26=1,$AP$44=1),ТЕХ_Списки!AQ$1,""),IF(AND(ТЕХ_Списки!AR26=1,$AQ$44=1),ТЕХ_Списки!AR$1,""),IF(AND(ТЕХ_Списки!AS26=1,$AR$44=1),ТЕХ_Списки!AS$1,""),IF(AND(ТЕХ_Списки!AT26=1,$AS$44=1),ТЕХ_Списки!AT$1,""),IF(AND(ТЕХ_Списки!AU26=1,$AT$44=1),ТЕХ_Списки!AU$1,""),IF(AND(ТЕХ_Списки!AV26=1,$AU$44=1),ТЕХ_Списки!AV$1,""),IF(AND(ТЕХ_Списки!AW26=1,$AV$44=1),ТЕХ_Списки!AW$1,"")))</f>
        <v>#NAME?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>
      <c r="A75" s="4" t="s">
        <v>204</v>
      </c>
      <c r="B75" s="4" t="s">
        <v>210</v>
      </c>
      <c r="C75" s="4" t="s">
        <v>84</v>
      </c>
      <c r="D75" s="4" t="s">
        <v>662</v>
      </c>
      <c r="E75" s="4">
        <f t="shared" si="2"/>
        <v>0</v>
      </c>
      <c r="F75" s="4">
        <f>SUMPRODUCT(ТЕХ_Списки!E27:AW27,$D$44:$AV$44)</f>
        <v>6</v>
      </c>
      <c r="G75" s="4">
        <f>SUMPRODUCT(ТЕХ_Списки!E27:AW27,$D$44:$AV$44,$D$45:$AV$45)</f>
        <v>15</v>
      </c>
      <c r="H75" s="4">
        <f>IF(OR('РЕЙД-КОНСТРУКТОР'!$C$3="Любая",'РЕЙД-КОНСТРУКТОР'!$C$3=C75),1,0)</f>
        <v>1</v>
      </c>
      <c r="I75" s="4">
        <f t="shared" si="3"/>
        <v>1506</v>
      </c>
      <c r="J75" s="4" t="e">
        <f ca="1">IF(I75&lt;0,"",_xludf.RANK.EQ(I75,$I$50:$I$119,0)+COUNTIF($I$50:I75,I75)-1)</f>
        <v>#NAME?</v>
      </c>
      <c r="K75" s="4" t="e">
        <f ca="1">IF(F75=0,"—",_xludf.TEXTJOIN(", ",TRUE,IF(AND(ТЕХ_Списки!E27=1,$D$44=1),ТЕХ_Списки!E$1,""),IF(AND(ТЕХ_Списки!F27=1,$E$44=1),ТЕХ_Списки!F$1,""),IF(AND(ТЕХ_Списки!G27=1,$F$44=1),ТЕХ_Списки!G$1,""),IF(AND(ТЕХ_Списки!H27=1,$G$44=1),ТЕХ_Списки!H$1,""),IF(AND(ТЕХ_Списки!I27=1,$H$44=1),ТЕХ_Списки!I$1,""),IF(AND(ТЕХ_Списки!J27=1,$I$44=1),ТЕХ_Списки!J$1,""),IF(AND(ТЕХ_Списки!K27=1,$J$44=1),ТЕХ_Списки!K$1,""),IF(AND(ТЕХ_Списки!L27=1,$K$44=1),ТЕХ_Списки!L$1,""),IF(AND(ТЕХ_Списки!M27=1,$L$44=1),ТЕХ_Списки!M$1,""),IF(AND(ТЕХ_Списки!N27=1,$M$44=1),ТЕХ_Списки!N$1,""),IF(AND(ТЕХ_Списки!O27=1,$N$44=1),ТЕХ_Списки!O$1,""),IF(AND(ТЕХ_Списки!P27=1,$O$44=1),ТЕХ_Списки!P$1,""),IF(AND(ТЕХ_Списки!Q27=1,$P$44=1),ТЕХ_Списки!Q$1,""),IF(AND(ТЕХ_Списки!R27=1,$Q$44=1),ТЕХ_Списки!R$1,""),IF(AND(ТЕХ_Списки!S27=1,$R$44=1),ТЕХ_Списки!S$1,""),IF(AND(ТЕХ_Списки!T27=1,$S$44=1),ТЕХ_Списки!T$1,""),IF(AND(ТЕХ_Списки!U27=1,$T$44=1),ТЕХ_Списки!U$1,""),IF(AND(ТЕХ_Списки!V27=1,$U$44=1),ТЕХ_Списки!V$1,""),IF(AND(ТЕХ_Списки!W27=1,$V$44=1),ТЕХ_Списки!W$1,""),IF(AND(ТЕХ_Списки!X27=1,$W$44=1),ТЕХ_Списки!X$1,""),IF(AND(ТЕХ_Списки!Y27=1,$X$44=1),ТЕХ_Списки!Y$1,""),IF(AND(ТЕХ_Списки!Z27=1,$Y$44=1),ТЕХ_Списки!Z$1,""),IF(AND(ТЕХ_Списки!AA27=1,$Z$44=1),ТЕХ_Списки!AA$1,""),IF(AND(ТЕХ_Списки!AB27=1,$AA$44=1),ТЕХ_Списки!AB$1,""),IF(AND(ТЕХ_Списки!AC27=1,$AB$44=1),ТЕХ_Списки!AC$1,""),IF(AND(ТЕХ_Списки!AD27=1,$AC$44=1),ТЕХ_Списки!AD$1,""),IF(AND(ТЕХ_Списки!AE27=1,$AD$44=1),ТЕХ_Списки!AE$1,""),IF(AND(ТЕХ_Списки!AF27=1,$AE$44=1),ТЕХ_Списки!AF$1,""),IF(AND(ТЕХ_Списки!AG27=1,$AF$44=1),ТЕХ_Списки!AG$1,""),IF(AND(ТЕХ_Списки!AH27=1,$AG$44=1),ТЕХ_Списки!AH$1,""),IF(AND(ТЕХ_Списки!AI27=1,$AH$44=1),ТЕХ_Списки!AI$1,""),IF(AND(ТЕХ_Списки!AJ27=1,$AI$44=1),ТЕХ_Списки!AJ$1,""),IF(AND(ТЕХ_Списки!AK27=1,$AJ$44=1),ТЕХ_Списки!AK$1,""),IF(AND(ТЕХ_Списки!AL27=1,$AK$44=1),ТЕХ_Списки!AL$1,""),IF(AND(ТЕХ_Списки!AM27=1,$AL$44=1),ТЕХ_Списки!AM$1,""),IF(AND(ТЕХ_Списки!AN27=1,$AM$44=1),ТЕХ_Списки!AN$1,""),IF(AND(ТЕХ_Списки!AO27=1,$AN$44=1),ТЕХ_Списки!AO$1,""),IF(AND(ТЕХ_Списки!AP27=1,$AO$44=1),ТЕХ_Списки!AP$1,""),IF(AND(ТЕХ_Списки!AQ27=1,$AP$44=1),ТЕХ_Списки!AQ$1,""),IF(AND(ТЕХ_Списки!AR27=1,$AQ$44=1),ТЕХ_Списки!AR$1,""),IF(AND(ТЕХ_Списки!AS27=1,$AR$44=1),ТЕХ_Списки!AS$1,""),IF(AND(ТЕХ_Списки!AT27=1,$AS$44=1),ТЕХ_Списки!AT$1,""),IF(AND(ТЕХ_Списки!AU27=1,$AT$44=1),ТЕХ_Списки!AU$1,""),IF(AND(ТЕХ_Списки!AV27=1,$AU$44=1),ТЕХ_Списки!AV$1,""),IF(AND(ТЕХ_Списки!AW27=1,$AV$44=1),ТЕХ_Списки!AW$1,"")))</f>
        <v>#NAME?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>
      <c r="A76" s="4" t="s">
        <v>213</v>
      </c>
      <c r="B76" s="4" t="s">
        <v>214</v>
      </c>
      <c r="C76" s="4" t="s">
        <v>81</v>
      </c>
      <c r="D76" s="4" t="s">
        <v>663</v>
      </c>
      <c r="E76" s="4">
        <f t="shared" si="2"/>
        <v>0</v>
      </c>
      <c r="F76" s="4">
        <f>SUMPRODUCT(ТЕХ_Списки!E28:AW28,$D$44:$AV$44)</f>
        <v>5</v>
      </c>
      <c r="G76" s="4">
        <f>SUMPRODUCT(ТЕХ_Списки!E28:AW28,$D$44:$AV$44,$D$45:$AV$45)</f>
        <v>10</v>
      </c>
      <c r="H76" s="4">
        <f>IF(OR('РЕЙД-КОНСТРУКТОР'!$C$3="Любая",'РЕЙД-КОНСТРУКТОР'!$C$3=C76),1,0)</f>
        <v>1</v>
      </c>
      <c r="I76" s="4">
        <f t="shared" si="3"/>
        <v>1005</v>
      </c>
      <c r="J76" s="4" t="e">
        <f ca="1">IF(I76&lt;0,"",_xludf.RANK.EQ(I76,$I$50:$I$119,0)+COUNTIF($I$50:I76,I76)-1)</f>
        <v>#NAME?</v>
      </c>
      <c r="K76" s="4" t="e">
        <f ca="1">IF(F76=0,"—",_xludf.TEXTJOIN(", ",TRUE,IF(AND(ТЕХ_Списки!E28=1,$D$44=1),ТЕХ_Списки!E$1,""),IF(AND(ТЕХ_Списки!F28=1,$E$44=1),ТЕХ_Списки!F$1,""),IF(AND(ТЕХ_Списки!G28=1,$F$44=1),ТЕХ_Списки!G$1,""),IF(AND(ТЕХ_Списки!H28=1,$G$44=1),ТЕХ_Списки!H$1,""),IF(AND(ТЕХ_Списки!I28=1,$H$44=1),ТЕХ_Списки!I$1,""),IF(AND(ТЕХ_Списки!J28=1,$I$44=1),ТЕХ_Списки!J$1,""),IF(AND(ТЕХ_Списки!K28=1,$J$44=1),ТЕХ_Списки!K$1,""),IF(AND(ТЕХ_Списки!L28=1,$K$44=1),ТЕХ_Списки!L$1,""),IF(AND(ТЕХ_Списки!M28=1,$L$44=1),ТЕХ_Списки!M$1,""),IF(AND(ТЕХ_Списки!N28=1,$M$44=1),ТЕХ_Списки!N$1,""),IF(AND(ТЕХ_Списки!O28=1,$N$44=1),ТЕХ_Списки!O$1,""),IF(AND(ТЕХ_Списки!P28=1,$O$44=1),ТЕХ_Списки!P$1,""),IF(AND(ТЕХ_Списки!Q28=1,$P$44=1),ТЕХ_Списки!Q$1,""),IF(AND(ТЕХ_Списки!R28=1,$Q$44=1),ТЕХ_Списки!R$1,""),IF(AND(ТЕХ_Списки!S28=1,$R$44=1),ТЕХ_Списки!S$1,""),IF(AND(ТЕХ_Списки!T28=1,$S$44=1),ТЕХ_Списки!T$1,""),IF(AND(ТЕХ_Списки!U28=1,$T$44=1),ТЕХ_Списки!U$1,""),IF(AND(ТЕХ_Списки!V28=1,$U$44=1),ТЕХ_Списки!V$1,""),IF(AND(ТЕХ_Списки!W28=1,$V$44=1),ТЕХ_Списки!W$1,""),IF(AND(ТЕХ_Списки!X28=1,$W$44=1),ТЕХ_Списки!X$1,""),IF(AND(ТЕХ_Списки!Y28=1,$X$44=1),ТЕХ_Списки!Y$1,""),IF(AND(ТЕХ_Списки!Z28=1,$Y$44=1),ТЕХ_Списки!Z$1,""),IF(AND(ТЕХ_Списки!AA28=1,$Z$44=1),ТЕХ_Списки!AA$1,""),IF(AND(ТЕХ_Списки!AB28=1,$AA$44=1),ТЕХ_Списки!AB$1,""),IF(AND(ТЕХ_Списки!AC28=1,$AB$44=1),ТЕХ_Списки!AC$1,""),IF(AND(ТЕХ_Списки!AD28=1,$AC$44=1),ТЕХ_Списки!AD$1,""),IF(AND(ТЕХ_Списки!AE28=1,$AD$44=1),ТЕХ_Списки!AE$1,""),IF(AND(ТЕХ_Списки!AF28=1,$AE$44=1),ТЕХ_Списки!AF$1,""),IF(AND(ТЕХ_Списки!AG28=1,$AF$44=1),ТЕХ_Списки!AG$1,""),IF(AND(ТЕХ_Списки!AH28=1,$AG$44=1),ТЕХ_Списки!AH$1,""),IF(AND(ТЕХ_Списки!AI28=1,$AH$44=1),ТЕХ_Списки!AI$1,""),IF(AND(ТЕХ_Списки!AJ28=1,$AI$44=1),ТЕХ_Списки!AJ$1,""),IF(AND(ТЕХ_Списки!AK28=1,$AJ$44=1),ТЕХ_Списки!AK$1,""),IF(AND(ТЕХ_Списки!AL28=1,$AK$44=1),ТЕХ_Списки!AL$1,""),IF(AND(ТЕХ_Списки!AM28=1,$AL$44=1),ТЕХ_Списки!AM$1,""),IF(AND(ТЕХ_Списки!AN28=1,$AM$44=1),ТЕХ_Списки!AN$1,""),IF(AND(ТЕХ_Списки!AO28=1,$AN$44=1),ТЕХ_Списки!AO$1,""),IF(AND(ТЕХ_Списки!AP28=1,$AO$44=1),ТЕХ_Списки!AP$1,""),IF(AND(ТЕХ_Списки!AQ28=1,$AP$44=1),ТЕХ_Списки!AQ$1,""),IF(AND(ТЕХ_Списки!AR28=1,$AQ$44=1),ТЕХ_Списки!AR$1,""),IF(AND(ТЕХ_Списки!AS28=1,$AR$44=1),ТЕХ_Списки!AS$1,""),IF(AND(ТЕХ_Списки!AT28=1,$AS$44=1),ТЕХ_Списки!AT$1,""),IF(AND(ТЕХ_Списки!AU28=1,$AT$44=1),ТЕХ_Списки!AU$1,""),IF(AND(ТЕХ_Списки!AV28=1,$AU$44=1),ТЕХ_Списки!AV$1,""),IF(AND(ТЕХ_Списки!AW28=1,$AV$44=1),ТЕХ_Списки!AW$1,"")))</f>
        <v>#NAME?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>
      <c r="A77" s="4" t="s">
        <v>213</v>
      </c>
      <c r="B77" s="4" t="s">
        <v>216</v>
      </c>
      <c r="C77" s="4" t="s">
        <v>135</v>
      </c>
      <c r="D77" s="4" t="s">
        <v>664</v>
      </c>
      <c r="E77" s="4">
        <f t="shared" si="2"/>
        <v>0</v>
      </c>
      <c r="F77" s="4">
        <f>SUMPRODUCT(ТЕХ_Списки!E29:AW29,$D$44:$AV$44)</f>
        <v>6</v>
      </c>
      <c r="G77" s="4">
        <f>SUMPRODUCT(ТЕХ_Списки!E29:AW29,$D$44:$AV$44,$D$45:$AV$45)</f>
        <v>11</v>
      </c>
      <c r="H77" s="4">
        <f>IF(OR('РЕЙД-КОНСТРУКТОР'!$C$3="Любая",'РЕЙД-КОНСТРУКТОР'!$C$3=C77),1,0)</f>
        <v>1</v>
      </c>
      <c r="I77" s="4">
        <f t="shared" si="3"/>
        <v>1106</v>
      </c>
      <c r="J77" s="4" t="e">
        <f ca="1">IF(I77&lt;0,"",_xludf.RANK.EQ(I77,$I$50:$I$119,0)+COUNTIF($I$50:I77,I77)-1)</f>
        <v>#NAME?</v>
      </c>
      <c r="K77" s="4" t="e">
        <f ca="1">IF(F77=0,"—",_xludf.TEXTJOIN(", ",TRUE,IF(AND(ТЕХ_Списки!E29=1,$D$44=1),ТЕХ_Списки!E$1,""),IF(AND(ТЕХ_Списки!F29=1,$E$44=1),ТЕХ_Списки!F$1,""),IF(AND(ТЕХ_Списки!G29=1,$F$44=1),ТЕХ_Списки!G$1,""),IF(AND(ТЕХ_Списки!H29=1,$G$44=1),ТЕХ_Списки!H$1,""),IF(AND(ТЕХ_Списки!I29=1,$H$44=1),ТЕХ_Списки!I$1,""),IF(AND(ТЕХ_Списки!J29=1,$I$44=1),ТЕХ_Списки!J$1,""),IF(AND(ТЕХ_Списки!K29=1,$J$44=1),ТЕХ_Списки!K$1,""),IF(AND(ТЕХ_Списки!L29=1,$K$44=1),ТЕХ_Списки!L$1,""),IF(AND(ТЕХ_Списки!M29=1,$L$44=1),ТЕХ_Списки!M$1,""),IF(AND(ТЕХ_Списки!N29=1,$M$44=1),ТЕХ_Списки!N$1,""),IF(AND(ТЕХ_Списки!O29=1,$N$44=1),ТЕХ_Списки!O$1,""),IF(AND(ТЕХ_Списки!P29=1,$O$44=1),ТЕХ_Списки!P$1,""),IF(AND(ТЕХ_Списки!Q29=1,$P$44=1),ТЕХ_Списки!Q$1,""),IF(AND(ТЕХ_Списки!R29=1,$Q$44=1),ТЕХ_Списки!R$1,""),IF(AND(ТЕХ_Списки!S29=1,$R$44=1),ТЕХ_Списки!S$1,""),IF(AND(ТЕХ_Списки!T29=1,$S$44=1),ТЕХ_Списки!T$1,""),IF(AND(ТЕХ_Списки!U29=1,$T$44=1),ТЕХ_Списки!U$1,""),IF(AND(ТЕХ_Списки!V29=1,$U$44=1),ТЕХ_Списки!V$1,""),IF(AND(ТЕХ_Списки!W29=1,$V$44=1),ТЕХ_Списки!W$1,""),IF(AND(ТЕХ_Списки!X29=1,$W$44=1),ТЕХ_Списки!X$1,""),IF(AND(ТЕХ_Списки!Y29=1,$X$44=1),ТЕХ_Списки!Y$1,""),IF(AND(ТЕХ_Списки!Z29=1,$Y$44=1),ТЕХ_Списки!Z$1,""),IF(AND(ТЕХ_Списки!AA29=1,$Z$44=1),ТЕХ_Списки!AA$1,""),IF(AND(ТЕХ_Списки!AB29=1,$AA$44=1),ТЕХ_Списки!AB$1,""),IF(AND(ТЕХ_Списки!AC29=1,$AB$44=1),ТЕХ_Списки!AC$1,""),IF(AND(ТЕХ_Списки!AD29=1,$AC$44=1),ТЕХ_Списки!AD$1,""),IF(AND(ТЕХ_Списки!AE29=1,$AD$44=1),ТЕХ_Списки!AE$1,""),IF(AND(ТЕХ_Списки!AF29=1,$AE$44=1),ТЕХ_Списки!AF$1,""),IF(AND(ТЕХ_Списки!AG29=1,$AF$44=1),ТЕХ_Списки!AG$1,""),IF(AND(ТЕХ_Списки!AH29=1,$AG$44=1),ТЕХ_Списки!AH$1,""),IF(AND(ТЕХ_Списки!AI29=1,$AH$44=1),ТЕХ_Списки!AI$1,""),IF(AND(ТЕХ_Списки!AJ29=1,$AI$44=1),ТЕХ_Списки!AJ$1,""),IF(AND(ТЕХ_Списки!AK29=1,$AJ$44=1),ТЕХ_Списки!AK$1,""),IF(AND(ТЕХ_Списки!AL29=1,$AK$44=1),ТЕХ_Списки!AL$1,""),IF(AND(ТЕХ_Списки!AM29=1,$AL$44=1),ТЕХ_Списки!AM$1,""),IF(AND(ТЕХ_Списки!AN29=1,$AM$44=1),ТЕХ_Списки!AN$1,""),IF(AND(ТЕХ_Списки!AO29=1,$AN$44=1),ТЕХ_Списки!AO$1,""),IF(AND(ТЕХ_Списки!AP29=1,$AO$44=1),ТЕХ_Списки!AP$1,""),IF(AND(ТЕХ_Списки!AQ29=1,$AP$44=1),ТЕХ_Списки!AQ$1,""),IF(AND(ТЕХ_Списки!AR29=1,$AQ$44=1),ТЕХ_Списки!AR$1,""),IF(AND(ТЕХ_Списки!AS29=1,$AR$44=1),ТЕХ_Списки!AS$1,""),IF(AND(ТЕХ_Списки!AT29=1,$AS$44=1),ТЕХ_Списки!AT$1,""),IF(AND(ТЕХ_Списки!AU29=1,$AT$44=1),ТЕХ_Списки!AU$1,""),IF(AND(ТЕХ_Списки!AV29=1,$AU$44=1),ТЕХ_Списки!AV$1,""),IF(AND(ТЕХ_Списки!AW29=1,$AV$44=1),ТЕХ_Списки!AW$1,"")))</f>
        <v>#NAME?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>
      <c r="A78" s="4" t="s">
        <v>213</v>
      </c>
      <c r="B78" s="4" t="s">
        <v>218</v>
      </c>
      <c r="C78" s="4" t="s">
        <v>139</v>
      </c>
      <c r="D78" s="4" t="s">
        <v>665</v>
      </c>
      <c r="E78" s="4">
        <f t="shared" si="2"/>
        <v>0</v>
      </c>
      <c r="F78" s="4">
        <f>SUMPRODUCT(ТЕХ_Списки!E30:AW30,$D$44:$AV$44)</f>
        <v>6</v>
      </c>
      <c r="G78" s="4">
        <f>SUMPRODUCT(ТЕХ_Списки!E30:AW30,$D$44:$AV$44,$D$45:$AV$45)</f>
        <v>13</v>
      </c>
      <c r="H78" s="4">
        <f>IF(OR('РЕЙД-КОНСТРУКТОР'!$C$3="Любая",'РЕЙД-КОНСТРУКТОР'!$C$3=C78),1,0)</f>
        <v>1</v>
      </c>
      <c r="I78" s="4">
        <f t="shared" si="3"/>
        <v>1306</v>
      </c>
      <c r="J78" s="4" t="e">
        <f ca="1">IF(I78&lt;0,"",_xludf.RANK.EQ(I78,$I$50:$I$119,0)+COUNTIF($I$50:I78,I78)-1)</f>
        <v>#NAME?</v>
      </c>
      <c r="K78" s="4" t="e">
        <f ca="1">IF(F78=0,"—",_xludf.TEXTJOIN(", ",TRUE,IF(AND(ТЕХ_Списки!E30=1,$D$44=1),ТЕХ_Списки!E$1,""),IF(AND(ТЕХ_Списки!F30=1,$E$44=1),ТЕХ_Списки!F$1,""),IF(AND(ТЕХ_Списки!G30=1,$F$44=1),ТЕХ_Списки!G$1,""),IF(AND(ТЕХ_Списки!H30=1,$G$44=1),ТЕХ_Списки!H$1,""),IF(AND(ТЕХ_Списки!I30=1,$H$44=1),ТЕХ_Списки!I$1,""),IF(AND(ТЕХ_Списки!J30=1,$I$44=1),ТЕХ_Списки!J$1,""),IF(AND(ТЕХ_Списки!K30=1,$J$44=1),ТЕХ_Списки!K$1,""),IF(AND(ТЕХ_Списки!L30=1,$K$44=1),ТЕХ_Списки!L$1,""),IF(AND(ТЕХ_Списки!M30=1,$L$44=1),ТЕХ_Списки!M$1,""),IF(AND(ТЕХ_Списки!N30=1,$M$44=1),ТЕХ_Списки!N$1,""),IF(AND(ТЕХ_Списки!O30=1,$N$44=1),ТЕХ_Списки!O$1,""),IF(AND(ТЕХ_Списки!P30=1,$O$44=1),ТЕХ_Списки!P$1,""),IF(AND(ТЕХ_Списки!Q30=1,$P$44=1),ТЕХ_Списки!Q$1,""),IF(AND(ТЕХ_Списки!R30=1,$Q$44=1),ТЕХ_Списки!R$1,""),IF(AND(ТЕХ_Списки!S30=1,$R$44=1),ТЕХ_Списки!S$1,""),IF(AND(ТЕХ_Списки!T30=1,$S$44=1),ТЕХ_Списки!T$1,""),IF(AND(ТЕХ_Списки!U30=1,$T$44=1),ТЕХ_Списки!U$1,""),IF(AND(ТЕХ_Списки!V30=1,$U$44=1),ТЕХ_Списки!V$1,""),IF(AND(ТЕХ_Списки!W30=1,$V$44=1),ТЕХ_Списки!W$1,""),IF(AND(ТЕХ_Списки!X30=1,$W$44=1),ТЕХ_Списки!X$1,""),IF(AND(ТЕХ_Списки!Y30=1,$X$44=1),ТЕХ_Списки!Y$1,""),IF(AND(ТЕХ_Списки!Z30=1,$Y$44=1),ТЕХ_Списки!Z$1,""),IF(AND(ТЕХ_Списки!AA30=1,$Z$44=1),ТЕХ_Списки!AA$1,""),IF(AND(ТЕХ_Списки!AB30=1,$AA$44=1),ТЕХ_Списки!AB$1,""),IF(AND(ТЕХ_Списки!AC30=1,$AB$44=1),ТЕХ_Списки!AC$1,""),IF(AND(ТЕХ_Списки!AD30=1,$AC$44=1),ТЕХ_Списки!AD$1,""),IF(AND(ТЕХ_Списки!AE30=1,$AD$44=1),ТЕХ_Списки!AE$1,""),IF(AND(ТЕХ_Списки!AF30=1,$AE$44=1),ТЕХ_Списки!AF$1,""),IF(AND(ТЕХ_Списки!AG30=1,$AF$44=1),ТЕХ_Списки!AG$1,""),IF(AND(ТЕХ_Списки!AH30=1,$AG$44=1),ТЕХ_Списки!AH$1,""),IF(AND(ТЕХ_Списки!AI30=1,$AH$44=1),ТЕХ_Списки!AI$1,""),IF(AND(ТЕХ_Списки!AJ30=1,$AI$44=1),ТЕХ_Списки!AJ$1,""),IF(AND(ТЕХ_Списки!AK30=1,$AJ$44=1),ТЕХ_Списки!AK$1,""),IF(AND(ТЕХ_Списки!AL30=1,$AK$44=1),ТЕХ_Списки!AL$1,""),IF(AND(ТЕХ_Списки!AM30=1,$AL$44=1),ТЕХ_Списки!AM$1,""),IF(AND(ТЕХ_Списки!AN30=1,$AM$44=1),ТЕХ_Списки!AN$1,""),IF(AND(ТЕХ_Списки!AO30=1,$AN$44=1),ТЕХ_Списки!AO$1,""),IF(AND(ТЕХ_Списки!AP30=1,$AO$44=1),ТЕХ_Списки!AP$1,""),IF(AND(ТЕХ_Списки!AQ30=1,$AP$44=1),ТЕХ_Списки!AQ$1,""),IF(AND(ТЕХ_Списки!AR30=1,$AQ$44=1),ТЕХ_Списки!AR$1,""),IF(AND(ТЕХ_Списки!AS30=1,$AR$44=1),ТЕХ_Списки!AS$1,""),IF(AND(ТЕХ_Списки!AT30=1,$AS$44=1),ТЕХ_Списки!AT$1,""),IF(AND(ТЕХ_Списки!AU30=1,$AT$44=1),ТЕХ_Списки!AU$1,""),IF(AND(ТЕХ_Списки!AV30=1,$AU$44=1),ТЕХ_Списки!AV$1,""),IF(AND(ТЕХ_Списки!AW30=1,$AV$44=1),ТЕХ_Списки!AW$1,"")))</f>
        <v>#NAME?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>
      <c r="A79" s="4" t="s">
        <v>213</v>
      </c>
      <c r="B79" s="4" t="s">
        <v>221</v>
      </c>
      <c r="C79" s="4" t="s">
        <v>78</v>
      </c>
      <c r="D79" s="4" t="s">
        <v>666</v>
      </c>
      <c r="E79" s="4">
        <f t="shared" si="2"/>
        <v>0</v>
      </c>
      <c r="F79" s="4">
        <f>SUMPRODUCT(ТЕХ_Списки!E31:AW31,$D$44:$AV$44)</f>
        <v>8</v>
      </c>
      <c r="G79" s="4">
        <f>SUMPRODUCT(ТЕХ_Списки!E31:AW31,$D$44:$AV$44,$D$45:$AV$45)</f>
        <v>17</v>
      </c>
      <c r="H79" s="4">
        <f>IF(OR('РЕЙД-КОНСТРУКТОР'!$C$3="Любая",'РЕЙД-КОНСТРУКТОР'!$C$3=C79),1,0)</f>
        <v>1</v>
      </c>
      <c r="I79" s="4">
        <f t="shared" si="3"/>
        <v>1708</v>
      </c>
      <c r="J79" s="4" t="e">
        <f ca="1">IF(I79&lt;0,"",_xludf.RANK.EQ(I79,$I$50:$I$119,0)+COUNTIF($I$50:I79,I79)-1)</f>
        <v>#NAME?</v>
      </c>
      <c r="K79" s="4" t="e">
        <f ca="1">IF(F79=0,"—",_xludf.TEXTJOIN(", ",TRUE,IF(AND(ТЕХ_Списки!E31=1,$D$44=1),ТЕХ_Списки!E$1,""),IF(AND(ТЕХ_Списки!F31=1,$E$44=1),ТЕХ_Списки!F$1,""),IF(AND(ТЕХ_Списки!G31=1,$F$44=1),ТЕХ_Списки!G$1,""),IF(AND(ТЕХ_Списки!H31=1,$G$44=1),ТЕХ_Списки!H$1,""),IF(AND(ТЕХ_Списки!I31=1,$H$44=1),ТЕХ_Списки!I$1,""),IF(AND(ТЕХ_Списки!J31=1,$I$44=1),ТЕХ_Списки!J$1,""),IF(AND(ТЕХ_Списки!K31=1,$J$44=1),ТЕХ_Списки!K$1,""),IF(AND(ТЕХ_Списки!L31=1,$K$44=1),ТЕХ_Списки!L$1,""),IF(AND(ТЕХ_Списки!M31=1,$L$44=1),ТЕХ_Списки!M$1,""),IF(AND(ТЕХ_Списки!N31=1,$M$44=1),ТЕХ_Списки!N$1,""),IF(AND(ТЕХ_Списки!O31=1,$N$44=1),ТЕХ_Списки!O$1,""),IF(AND(ТЕХ_Списки!P31=1,$O$44=1),ТЕХ_Списки!P$1,""),IF(AND(ТЕХ_Списки!Q31=1,$P$44=1),ТЕХ_Списки!Q$1,""),IF(AND(ТЕХ_Списки!R31=1,$Q$44=1),ТЕХ_Списки!R$1,""),IF(AND(ТЕХ_Списки!S31=1,$R$44=1),ТЕХ_Списки!S$1,""),IF(AND(ТЕХ_Списки!T31=1,$S$44=1),ТЕХ_Списки!T$1,""),IF(AND(ТЕХ_Списки!U31=1,$T$44=1),ТЕХ_Списки!U$1,""),IF(AND(ТЕХ_Списки!V31=1,$U$44=1),ТЕХ_Списки!V$1,""),IF(AND(ТЕХ_Списки!W31=1,$V$44=1),ТЕХ_Списки!W$1,""),IF(AND(ТЕХ_Списки!X31=1,$W$44=1),ТЕХ_Списки!X$1,""),IF(AND(ТЕХ_Списки!Y31=1,$X$44=1),ТЕХ_Списки!Y$1,""),IF(AND(ТЕХ_Списки!Z31=1,$Y$44=1),ТЕХ_Списки!Z$1,""),IF(AND(ТЕХ_Списки!AA31=1,$Z$44=1),ТЕХ_Списки!AA$1,""),IF(AND(ТЕХ_Списки!AB31=1,$AA$44=1),ТЕХ_Списки!AB$1,""),IF(AND(ТЕХ_Списки!AC31=1,$AB$44=1),ТЕХ_Списки!AC$1,""),IF(AND(ТЕХ_Списки!AD31=1,$AC$44=1),ТЕХ_Списки!AD$1,""),IF(AND(ТЕХ_Списки!AE31=1,$AD$44=1),ТЕХ_Списки!AE$1,""),IF(AND(ТЕХ_Списки!AF31=1,$AE$44=1),ТЕХ_Списки!AF$1,""),IF(AND(ТЕХ_Списки!AG31=1,$AF$44=1),ТЕХ_Списки!AG$1,""),IF(AND(ТЕХ_Списки!AH31=1,$AG$44=1),ТЕХ_Списки!AH$1,""),IF(AND(ТЕХ_Списки!AI31=1,$AH$44=1),ТЕХ_Списки!AI$1,""),IF(AND(ТЕХ_Списки!AJ31=1,$AI$44=1),ТЕХ_Списки!AJ$1,""),IF(AND(ТЕХ_Списки!AK31=1,$AJ$44=1),ТЕХ_Списки!AK$1,""),IF(AND(ТЕХ_Списки!AL31=1,$AK$44=1),ТЕХ_Списки!AL$1,""),IF(AND(ТЕХ_Списки!AM31=1,$AL$44=1),ТЕХ_Списки!AM$1,""),IF(AND(ТЕХ_Списки!AN31=1,$AM$44=1),ТЕХ_Списки!AN$1,""),IF(AND(ТЕХ_Списки!AO31=1,$AN$44=1),ТЕХ_Списки!AO$1,""),IF(AND(ТЕХ_Списки!AP31=1,$AO$44=1),ТЕХ_Списки!AP$1,""),IF(AND(ТЕХ_Списки!AQ31=1,$AP$44=1),ТЕХ_Списки!AQ$1,""),IF(AND(ТЕХ_Списки!AR31=1,$AQ$44=1),ТЕХ_Списки!AR$1,""),IF(AND(ТЕХ_Списки!AS31=1,$AR$44=1),ТЕХ_Списки!AS$1,""),IF(AND(ТЕХ_Списки!AT31=1,$AS$44=1),ТЕХ_Списки!AT$1,""),IF(AND(ТЕХ_Списки!AU31=1,$AT$44=1),ТЕХ_Списки!AU$1,""),IF(AND(ТЕХ_Списки!AV31=1,$AU$44=1),ТЕХ_Списки!AV$1,""),IF(AND(ТЕХ_Списки!AW31=1,$AV$44=1),ТЕХ_Списки!AW$1,"")))</f>
        <v>#NAME?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>
      <c r="A80" s="4" t="s">
        <v>224</v>
      </c>
      <c r="B80" s="4" t="s">
        <v>225</v>
      </c>
      <c r="C80" s="4" t="s">
        <v>81</v>
      </c>
      <c r="D80" s="4" t="s">
        <v>667</v>
      </c>
      <c r="E80" s="4">
        <f t="shared" si="2"/>
        <v>0</v>
      </c>
      <c r="F80" s="4">
        <f>SUMPRODUCT(ТЕХ_Списки!E32:AW32,$D$44:$AV$44)</f>
        <v>7</v>
      </c>
      <c r="G80" s="4">
        <f>SUMPRODUCT(ТЕХ_Списки!E32:AW32,$D$44:$AV$44,$D$45:$AV$45)</f>
        <v>16</v>
      </c>
      <c r="H80" s="4">
        <f>IF(OR('РЕЙД-КОНСТРУКТОР'!$C$3="Любая",'РЕЙД-КОНСТРУКТОР'!$C$3=C80),1,0)</f>
        <v>1</v>
      </c>
      <c r="I80" s="4">
        <f t="shared" si="3"/>
        <v>1607</v>
      </c>
      <c r="J80" s="4" t="e">
        <f ca="1">IF(I80&lt;0,"",_xludf.RANK.EQ(I80,$I$50:$I$119,0)+COUNTIF($I$50:I80,I80)-1)</f>
        <v>#NAME?</v>
      </c>
      <c r="K80" s="4" t="e">
        <f ca="1">IF(F80=0,"—",_xludf.TEXTJOIN(", ",TRUE,IF(AND(ТЕХ_Списки!E32=1,$D$44=1),ТЕХ_Списки!E$1,""),IF(AND(ТЕХ_Списки!F32=1,$E$44=1),ТЕХ_Списки!F$1,""),IF(AND(ТЕХ_Списки!G32=1,$F$44=1),ТЕХ_Списки!G$1,""),IF(AND(ТЕХ_Списки!H32=1,$G$44=1),ТЕХ_Списки!H$1,""),IF(AND(ТЕХ_Списки!I32=1,$H$44=1),ТЕХ_Списки!I$1,""),IF(AND(ТЕХ_Списки!J32=1,$I$44=1),ТЕХ_Списки!J$1,""),IF(AND(ТЕХ_Списки!K32=1,$J$44=1),ТЕХ_Списки!K$1,""),IF(AND(ТЕХ_Списки!L32=1,$K$44=1),ТЕХ_Списки!L$1,""),IF(AND(ТЕХ_Списки!M32=1,$L$44=1),ТЕХ_Списки!M$1,""),IF(AND(ТЕХ_Списки!N32=1,$M$44=1),ТЕХ_Списки!N$1,""),IF(AND(ТЕХ_Списки!O32=1,$N$44=1),ТЕХ_Списки!O$1,""),IF(AND(ТЕХ_Списки!P32=1,$O$44=1),ТЕХ_Списки!P$1,""),IF(AND(ТЕХ_Списки!Q32=1,$P$44=1),ТЕХ_Списки!Q$1,""),IF(AND(ТЕХ_Списки!R32=1,$Q$44=1),ТЕХ_Списки!R$1,""),IF(AND(ТЕХ_Списки!S32=1,$R$44=1),ТЕХ_Списки!S$1,""),IF(AND(ТЕХ_Списки!T32=1,$S$44=1),ТЕХ_Списки!T$1,""),IF(AND(ТЕХ_Списки!U32=1,$T$44=1),ТЕХ_Списки!U$1,""),IF(AND(ТЕХ_Списки!V32=1,$U$44=1),ТЕХ_Списки!V$1,""),IF(AND(ТЕХ_Списки!W32=1,$V$44=1),ТЕХ_Списки!W$1,""),IF(AND(ТЕХ_Списки!X32=1,$W$44=1),ТЕХ_Списки!X$1,""),IF(AND(ТЕХ_Списки!Y32=1,$X$44=1),ТЕХ_Списки!Y$1,""),IF(AND(ТЕХ_Списки!Z32=1,$Y$44=1),ТЕХ_Списки!Z$1,""),IF(AND(ТЕХ_Списки!AA32=1,$Z$44=1),ТЕХ_Списки!AA$1,""),IF(AND(ТЕХ_Списки!AB32=1,$AA$44=1),ТЕХ_Списки!AB$1,""),IF(AND(ТЕХ_Списки!AC32=1,$AB$44=1),ТЕХ_Списки!AC$1,""),IF(AND(ТЕХ_Списки!AD32=1,$AC$44=1),ТЕХ_Списки!AD$1,""),IF(AND(ТЕХ_Списки!AE32=1,$AD$44=1),ТЕХ_Списки!AE$1,""),IF(AND(ТЕХ_Списки!AF32=1,$AE$44=1),ТЕХ_Списки!AF$1,""),IF(AND(ТЕХ_Списки!AG32=1,$AF$44=1),ТЕХ_Списки!AG$1,""),IF(AND(ТЕХ_Списки!AH32=1,$AG$44=1),ТЕХ_Списки!AH$1,""),IF(AND(ТЕХ_Списки!AI32=1,$AH$44=1),ТЕХ_Списки!AI$1,""),IF(AND(ТЕХ_Списки!AJ32=1,$AI$44=1),ТЕХ_Списки!AJ$1,""),IF(AND(ТЕХ_Списки!AK32=1,$AJ$44=1),ТЕХ_Списки!AK$1,""),IF(AND(ТЕХ_Списки!AL32=1,$AK$44=1),ТЕХ_Списки!AL$1,""),IF(AND(ТЕХ_Списки!AM32=1,$AL$44=1),ТЕХ_Списки!AM$1,""),IF(AND(ТЕХ_Списки!AN32=1,$AM$44=1),ТЕХ_Списки!AN$1,""),IF(AND(ТЕХ_Списки!AO32=1,$AN$44=1),ТЕХ_Списки!AO$1,""),IF(AND(ТЕХ_Списки!AP32=1,$AO$44=1),ТЕХ_Списки!AP$1,""),IF(AND(ТЕХ_Списки!AQ32=1,$AP$44=1),ТЕХ_Списки!AQ$1,""),IF(AND(ТЕХ_Списки!AR32=1,$AQ$44=1),ТЕХ_Списки!AR$1,""),IF(AND(ТЕХ_Списки!AS32=1,$AR$44=1),ТЕХ_Списки!AS$1,""),IF(AND(ТЕХ_Списки!AT32=1,$AS$44=1),ТЕХ_Списки!AT$1,""),IF(AND(ТЕХ_Списки!AU32=1,$AT$44=1),ТЕХ_Списки!AU$1,""),IF(AND(ТЕХ_Списки!AV32=1,$AU$44=1),ТЕХ_Списки!AV$1,""),IF(AND(ТЕХ_Списки!AW32=1,$AV$44=1),ТЕХ_Списки!AW$1,"")))</f>
        <v>#NAME?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>
      <c r="A81" s="4" t="s">
        <v>224</v>
      </c>
      <c r="B81" s="4" t="s">
        <v>227</v>
      </c>
      <c r="C81" s="4" t="s">
        <v>135</v>
      </c>
      <c r="D81" s="4" t="s">
        <v>668</v>
      </c>
      <c r="E81" s="4">
        <f t="shared" si="2"/>
        <v>0</v>
      </c>
      <c r="F81" s="4">
        <f>SUMPRODUCT(ТЕХ_Списки!E33:AW33,$D$44:$AV$44)</f>
        <v>8</v>
      </c>
      <c r="G81" s="4">
        <f>SUMPRODUCT(ТЕХ_Списки!E33:AW33,$D$44:$AV$44,$D$45:$AV$45)</f>
        <v>19</v>
      </c>
      <c r="H81" s="4">
        <f>IF(OR('РЕЙД-КОНСТРУКТОР'!$C$3="Любая",'РЕЙД-КОНСТРУКТОР'!$C$3=C81),1,0)</f>
        <v>1</v>
      </c>
      <c r="I81" s="4">
        <f t="shared" si="3"/>
        <v>1908</v>
      </c>
      <c r="J81" s="4" t="e">
        <f ca="1">IF(I81&lt;0,"",_xludf.RANK.EQ(I81,$I$50:$I$119,0)+COUNTIF($I$50:I81,I81)-1)</f>
        <v>#NAME?</v>
      </c>
      <c r="K81" s="4" t="e">
        <f ca="1">IF(F81=0,"—",_xludf.TEXTJOIN(", ",TRUE,IF(AND(ТЕХ_Списки!E33=1,$D$44=1),ТЕХ_Списки!E$1,""),IF(AND(ТЕХ_Списки!F33=1,$E$44=1),ТЕХ_Списки!F$1,""),IF(AND(ТЕХ_Списки!G33=1,$F$44=1),ТЕХ_Списки!G$1,""),IF(AND(ТЕХ_Списки!H33=1,$G$44=1),ТЕХ_Списки!H$1,""),IF(AND(ТЕХ_Списки!I33=1,$H$44=1),ТЕХ_Списки!I$1,""),IF(AND(ТЕХ_Списки!J33=1,$I$44=1),ТЕХ_Списки!J$1,""),IF(AND(ТЕХ_Списки!K33=1,$J$44=1),ТЕХ_Списки!K$1,""),IF(AND(ТЕХ_Списки!L33=1,$K$44=1),ТЕХ_Списки!L$1,""),IF(AND(ТЕХ_Списки!M33=1,$L$44=1),ТЕХ_Списки!M$1,""),IF(AND(ТЕХ_Списки!N33=1,$M$44=1),ТЕХ_Списки!N$1,""),IF(AND(ТЕХ_Списки!O33=1,$N$44=1),ТЕХ_Списки!O$1,""),IF(AND(ТЕХ_Списки!P33=1,$O$44=1),ТЕХ_Списки!P$1,""),IF(AND(ТЕХ_Списки!Q33=1,$P$44=1),ТЕХ_Списки!Q$1,""),IF(AND(ТЕХ_Списки!R33=1,$Q$44=1),ТЕХ_Списки!R$1,""),IF(AND(ТЕХ_Списки!S33=1,$R$44=1),ТЕХ_Списки!S$1,""),IF(AND(ТЕХ_Списки!T33=1,$S$44=1),ТЕХ_Списки!T$1,""),IF(AND(ТЕХ_Списки!U33=1,$T$44=1),ТЕХ_Списки!U$1,""),IF(AND(ТЕХ_Списки!V33=1,$U$44=1),ТЕХ_Списки!V$1,""),IF(AND(ТЕХ_Списки!W33=1,$V$44=1),ТЕХ_Списки!W$1,""),IF(AND(ТЕХ_Списки!X33=1,$W$44=1),ТЕХ_Списки!X$1,""),IF(AND(ТЕХ_Списки!Y33=1,$X$44=1),ТЕХ_Списки!Y$1,""),IF(AND(ТЕХ_Списки!Z33=1,$Y$44=1),ТЕХ_Списки!Z$1,""),IF(AND(ТЕХ_Списки!AA33=1,$Z$44=1),ТЕХ_Списки!AA$1,""),IF(AND(ТЕХ_Списки!AB33=1,$AA$44=1),ТЕХ_Списки!AB$1,""),IF(AND(ТЕХ_Списки!AC33=1,$AB$44=1),ТЕХ_Списки!AC$1,""),IF(AND(ТЕХ_Списки!AD33=1,$AC$44=1),ТЕХ_Списки!AD$1,""),IF(AND(ТЕХ_Списки!AE33=1,$AD$44=1),ТЕХ_Списки!AE$1,""),IF(AND(ТЕХ_Списки!AF33=1,$AE$44=1),ТЕХ_Списки!AF$1,""),IF(AND(ТЕХ_Списки!AG33=1,$AF$44=1),ТЕХ_Списки!AG$1,""),IF(AND(ТЕХ_Списки!AH33=1,$AG$44=1),ТЕХ_Списки!AH$1,""),IF(AND(ТЕХ_Списки!AI33=1,$AH$44=1),ТЕХ_Списки!AI$1,""),IF(AND(ТЕХ_Списки!AJ33=1,$AI$44=1),ТЕХ_Списки!AJ$1,""),IF(AND(ТЕХ_Списки!AK33=1,$AJ$44=1),ТЕХ_Списки!AK$1,""),IF(AND(ТЕХ_Списки!AL33=1,$AK$44=1),ТЕХ_Списки!AL$1,""),IF(AND(ТЕХ_Списки!AM33=1,$AL$44=1),ТЕХ_Списки!AM$1,""),IF(AND(ТЕХ_Списки!AN33=1,$AM$44=1),ТЕХ_Списки!AN$1,""),IF(AND(ТЕХ_Списки!AO33=1,$AN$44=1),ТЕХ_Списки!AO$1,""),IF(AND(ТЕХ_Списки!AP33=1,$AO$44=1),ТЕХ_Списки!AP$1,""),IF(AND(ТЕХ_Списки!AQ33=1,$AP$44=1),ТЕХ_Списки!AQ$1,""),IF(AND(ТЕХ_Списки!AR33=1,$AQ$44=1),ТЕХ_Списки!AR$1,""),IF(AND(ТЕХ_Списки!AS33=1,$AR$44=1),ТЕХ_Списки!AS$1,""),IF(AND(ТЕХ_Списки!AT33=1,$AS$44=1),ТЕХ_Списки!AT$1,""),IF(AND(ТЕХ_Списки!AU33=1,$AT$44=1),ТЕХ_Списки!AU$1,""),IF(AND(ТЕХ_Списки!AV33=1,$AU$44=1),ТЕХ_Списки!AV$1,""),IF(AND(ТЕХ_Списки!AW33=1,$AV$44=1),ТЕХ_Списки!AW$1,"")))</f>
        <v>#NAME?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>
      <c r="A82" s="4" t="s">
        <v>224</v>
      </c>
      <c r="B82" s="4" t="s">
        <v>230</v>
      </c>
      <c r="C82" s="4" t="s">
        <v>139</v>
      </c>
      <c r="D82" s="4" t="s">
        <v>669</v>
      </c>
      <c r="E82" s="4">
        <f t="shared" ref="E82:E113" si="4">COUNTIF($A$2:$A$26,D82)</f>
        <v>0</v>
      </c>
      <c r="F82" s="4">
        <f>SUMPRODUCT(ТЕХ_Списки!E34:AW34,$D$44:$AV$44)</f>
        <v>9</v>
      </c>
      <c r="G82" s="4">
        <f>SUMPRODUCT(ТЕХ_Списки!E34:AW34,$D$44:$AV$44,$D$45:$AV$45)</f>
        <v>20</v>
      </c>
      <c r="H82" s="4">
        <f>IF(OR('РЕЙД-КОНСТРУКТОР'!$C$3="Любая",'РЕЙД-КОНСТРУКТОР'!$C$3=C82),1,0)</f>
        <v>1</v>
      </c>
      <c r="I82" s="4">
        <f t="shared" ref="I82:I113" si="5">IF(OR(E82&gt;0,H82=0,F82=0),-1,G82*100+F82)</f>
        <v>2009</v>
      </c>
      <c r="J82" s="4" t="e">
        <f ca="1">IF(I82&lt;0,"",_xludf.RANK.EQ(I82,$I$50:$I$119,0)+COUNTIF($I$50:I82,I82)-1)</f>
        <v>#NAME?</v>
      </c>
      <c r="K82" s="4" t="e">
        <f ca="1">IF(F82=0,"—",_xludf.TEXTJOIN(", ",TRUE,IF(AND(ТЕХ_Списки!E34=1,$D$44=1),ТЕХ_Списки!E$1,""),IF(AND(ТЕХ_Списки!F34=1,$E$44=1),ТЕХ_Списки!F$1,""),IF(AND(ТЕХ_Списки!G34=1,$F$44=1),ТЕХ_Списки!G$1,""),IF(AND(ТЕХ_Списки!H34=1,$G$44=1),ТЕХ_Списки!H$1,""),IF(AND(ТЕХ_Списки!I34=1,$H$44=1),ТЕХ_Списки!I$1,""),IF(AND(ТЕХ_Списки!J34=1,$I$44=1),ТЕХ_Списки!J$1,""),IF(AND(ТЕХ_Списки!K34=1,$J$44=1),ТЕХ_Списки!K$1,""),IF(AND(ТЕХ_Списки!L34=1,$K$44=1),ТЕХ_Списки!L$1,""),IF(AND(ТЕХ_Списки!M34=1,$L$44=1),ТЕХ_Списки!M$1,""),IF(AND(ТЕХ_Списки!N34=1,$M$44=1),ТЕХ_Списки!N$1,""),IF(AND(ТЕХ_Списки!O34=1,$N$44=1),ТЕХ_Списки!O$1,""),IF(AND(ТЕХ_Списки!P34=1,$O$44=1),ТЕХ_Списки!P$1,""),IF(AND(ТЕХ_Списки!Q34=1,$P$44=1),ТЕХ_Списки!Q$1,""),IF(AND(ТЕХ_Списки!R34=1,$Q$44=1),ТЕХ_Списки!R$1,""),IF(AND(ТЕХ_Списки!S34=1,$R$44=1),ТЕХ_Списки!S$1,""),IF(AND(ТЕХ_Списки!T34=1,$S$44=1),ТЕХ_Списки!T$1,""),IF(AND(ТЕХ_Списки!U34=1,$T$44=1),ТЕХ_Списки!U$1,""),IF(AND(ТЕХ_Списки!V34=1,$U$44=1),ТЕХ_Списки!V$1,""),IF(AND(ТЕХ_Списки!W34=1,$V$44=1),ТЕХ_Списки!W$1,""),IF(AND(ТЕХ_Списки!X34=1,$W$44=1),ТЕХ_Списки!X$1,""),IF(AND(ТЕХ_Списки!Y34=1,$X$44=1),ТЕХ_Списки!Y$1,""),IF(AND(ТЕХ_Списки!Z34=1,$Y$44=1),ТЕХ_Списки!Z$1,""),IF(AND(ТЕХ_Списки!AA34=1,$Z$44=1),ТЕХ_Списки!AA$1,""),IF(AND(ТЕХ_Списки!AB34=1,$AA$44=1),ТЕХ_Списки!AB$1,""),IF(AND(ТЕХ_Списки!AC34=1,$AB$44=1),ТЕХ_Списки!AC$1,""),IF(AND(ТЕХ_Списки!AD34=1,$AC$44=1),ТЕХ_Списки!AD$1,""),IF(AND(ТЕХ_Списки!AE34=1,$AD$44=1),ТЕХ_Списки!AE$1,""),IF(AND(ТЕХ_Списки!AF34=1,$AE$44=1),ТЕХ_Списки!AF$1,""),IF(AND(ТЕХ_Списки!AG34=1,$AF$44=1),ТЕХ_Списки!AG$1,""),IF(AND(ТЕХ_Списки!AH34=1,$AG$44=1),ТЕХ_Списки!AH$1,""),IF(AND(ТЕХ_Списки!AI34=1,$AH$44=1),ТЕХ_Списки!AI$1,""),IF(AND(ТЕХ_Списки!AJ34=1,$AI$44=1),ТЕХ_Списки!AJ$1,""),IF(AND(ТЕХ_Списки!AK34=1,$AJ$44=1),ТЕХ_Списки!AK$1,""),IF(AND(ТЕХ_Списки!AL34=1,$AK$44=1),ТЕХ_Списки!AL$1,""),IF(AND(ТЕХ_Списки!AM34=1,$AL$44=1),ТЕХ_Списки!AM$1,""),IF(AND(ТЕХ_Списки!AN34=1,$AM$44=1),ТЕХ_Списки!AN$1,""),IF(AND(ТЕХ_Списки!AO34=1,$AN$44=1),ТЕХ_Списки!AO$1,""),IF(AND(ТЕХ_Списки!AP34=1,$AO$44=1),ТЕХ_Списки!AP$1,""),IF(AND(ТЕХ_Списки!AQ34=1,$AP$44=1),ТЕХ_Списки!AQ$1,""),IF(AND(ТЕХ_Списки!AR34=1,$AQ$44=1),ТЕХ_Списки!AR$1,""),IF(AND(ТЕХ_Списки!AS34=1,$AR$44=1),ТЕХ_Списки!AS$1,""),IF(AND(ТЕХ_Списки!AT34=1,$AS$44=1),ТЕХ_Списки!AT$1,""),IF(AND(ТЕХ_Списки!AU34=1,$AT$44=1),ТЕХ_Списки!AU$1,""),IF(AND(ТЕХ_Списки!AV34=1,$AU$44=1),ТЕХ_Списки!AV$1,""),IF(AND(ТЕХ_Списки!AW34=1,$AV$44=1),ТЕХ_Списки!AW$1,"")))</f>
        <v>#NAME?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>
      <c r="A83" s="4" t="s">
        <v>224</v>
      </c>
      <c r="B83" s="4" t="s">
        <v>233</v>
      </c>
      <c r="C83" s="4" t="s">
        <v>78</v>
      </c>
      <c r="D83" s="4" t="s">
        <v>670</v>
      </c>
      <c r="E83" s="4">
        <f t="shared" si="4"/>
        <v>0</v>
      </c>
      <c r="F83" s="4">
        <f>SUMPRODUCT(ТЕХ_Списки!E35:AW35,$D$44:$AV$44)</f>
        <v>10</v>
      </c>
      <c r="G83" s="4">
        <f>SUMPRODUCT(ТЕХ_Списки!E35:AW35,$D$44:$AV$44,$D$45:$AV$45)</f>
        <v>21</v>
      </c>
      <c r="H83" s="4">
        <f>IF(OR('РЕЙД-КОНСТРУКТОР'!$C$3="Любая",'РЕЙД-КОНСТРУКТОР'!$C$3=C83),1,0)</f>
        <v>1</v>
      </c>
      <c r="I83" s="4">
        <f t="shared" si="5"/>
        <v>2110</v>
      </c>
      <c r="J83" s="4" t="e">
        <f ca="1">IF(I83&lt;0,"",_xludf.RANK.EQ(I83,$I$50:$I$119,0)+COUNTIF($I$50:I83,I83)-1)</f>
        <v>#NAME?</v>
      </c>
      <c r="K83" s="4" t="e">
        <f ca="1">IF(F83=0,"—",_xludf.TEXTJOIN(", ",TRUE,IF(AND(ТЕХ_Списки!E35=1,$D$44=1),ТЕХ_Списки!E$1,""),IF(AND(ТЕХ_Списки!F35=1,$E$44=1),ТЕХ_Списки!F$1,""),IF(AND(ТЕХ_Списки!G35=1,$F$44=1),ТЕХ_Списки!G$1,""),IF(AND(ТЕХ_Списки!H35=1,$G$44=1),ТЕХ_Списки!H$1,""),IF(AND(ТЕХ_Списки!I35=1,$H$44=1),ТЕХ_Списки!I$1,""),IF(AND(ТЕХ_Списки!J35=1,$I$44=1),ТЕХ_Списки!J$1,""),IF(AND(ТЕХ_Списки!K35=1,$J$44=1),ТЕХ_Списки!K$1,""),IF(AND(ТЕХ_Списки!L35=1,$K$44=1),ТЕХ_Списки!L$1,""),IF(AND(ТЕХ_Списки!M35=1,$L$44=1),ТЕХ_Списки!M$1,""),IF(AND(ТЕХ_Списки!N35=1,$M$44=1),ТЕХ_Списки!N$1,""),IF(AND(ТЕХ_Списки!O35=1,$N$44=1),ТЕХ_Списки!O$1,""),IF(AND(ТЕХ_Списки!P35=1,$O$44=1),ТЕХ_Списки!P$1,""),IF(AND(ТЕХ_Списки!Q35=1,$P$44=1),ТЕХ_Списки!Q$1,""),IF(AND(ТЕХ_Списки!R35=1,$Q$44=1),ТЕХ_Списки!R$1,""),IF(AND(ТЕХ_Списки!S35=1,$R$44=1),ТЕХ_Списки!S$1,""),IF(AND(ТЕХ_Списки!T35=1,$S$44=1),ТЕХ_Списки!T$1,""),IF(AND(ТЕХ_Списки!U35=1,$T$44=1),ТЕХ_Списки!U$1,""),IF(AND(ТЕХ_Списки!V35=1,$U$44=1),ТЕХ_Списки!V$1,""),IF(AND(ТЕХ_Списки!W35=1,$V$44=1),ТЕХ_Списки!W$1,""),IF(AND(ТЕХ_Списки!X35=1,$W$44=1),ТЕХ_Списки!X$1,""),IF(AND(ТЕХ_Списки!Y35=1,$X$44=1),ТЕХ_Списки!Y$1,""),IF(AND(ТЕХ_Списки!Z35=1,$Y$44=1),ТЕХ_Списки!Z$1,""),IF(AND(ТЕХ_Списки!AA35=1,$Z$44=1),ТЕХ_Списки!AA$1,""),IF(AND(ТЕХ_Списки!AB35=1,$AA$44=1),ТЕХ_Списки!AB$1,""),IF(AND(ТЕХ_Списки!AC35=1,$AB$44=1),ТЕХ_Списки!AC$1,""),IF(AND(ТЕХ_Списки!AD35=1,$AC$44=1),ТЕХ_Списки!AD$1,""),IF(AND(ТЕХ_Списки!AE35=1,$AD$44=1),ТЕХ_Списки!AE$1,""),IF(AND(ТЕХ_Списки!AF35=1,$AE$44=1),ТЕХ_Списки!AF$1,""),IF(AND(ТЕХ_Списки!AG35=1,$AF$44=1),ТЕХ_Списки!AG$1,""),IF(AND(ТЕХ_Списки!AH35=1,$AG$44=1),ТЕХ_Списки!AH$1,""),IF(AND(ТЕХ_Списки!AI35=1,$AH$44=1),ТЕХ_Списки!AI$1,""),IF(AND(ТЕХ_Списки!AJ35=1,$AI$44=1),ТЕХ_Списки!AJ$1,""),IF(AND(ТЕХ_Списки!AK35=1,$AJ$44=1),ТЕХ_Списки!AK$1,""),IF(AND(ТЕХ_Списки!AL35=1,$AK$44=1),ТЕХ_Списки!AL$1,""),IF(AND(ТЕХ_Списки!AM35=1,$AL$44=1),ТЕХ_Списки!AM$1,""),IF(AND(ТЕХ_Списки!AN35=1,$AM$44=1),ТЕХ_Списки!AN$1,""),IF(AND(ТЕХ_Списки!AO35=1,$AN$44=1),ТЕХ_Списки!AO$1,""),IF(AND(ТЕХ_Списки!AP35=1,$AO$44=1),ТЕХ_Списки!AP$1,""),IF(AND(ТЕХ_Списки!AQ35=1,$AP$44=1),ТЕХ_Списки!AQ$1,""),IF(AND(ТЕХ_Списки!AR35=1,$AQ$44=1),ТЕХ_Списки!AR$1,""),IF(AND(ТЕХ_Списки!AS35=1,$AR$44=1),ТЕХ_Списки!AS$1,""),IF(AND(ТЕХ_Списки!AT35=1,$AS$44=1),ТЕХ_Списки!AT$1,""),IF(AND(ТЕХ_Списки!AU35=1,$AT$44=1),ТЕХ_Списки!AU$1,""),IF(AND(ТЕХ_Списки!AV35=1,$AU$44=1),ТЕХ_Списки!AV$1,""),IF(AND(ТЕХ_Списки!AW35=1,$AV$44=1),ТЕХ_Списки!AW$1,"")))</f>
        <v>#NAME?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>
      <c r="A84" s="4" t="s">
        <v>236</v>
      </c>
      <c r="B84" s="4" t="s">
        <v>237</v>
      </c>
      <c r="C84" s="4" t="s">
        <v>135</v>
      </c>
      <c r="D84" s="4" t="s">
        <v>671</v>
      </c>
      <c r="E84" s="4">
        <f t="shared" si="4"/>
        <v>0</v>
      </c>
      <c r="F84" s="4">
        <f>SUMPRODUCT(ТЕХ_Списки!E36:AW36,$D$44:$AV$44)</f>
        <v>4</v>
      </c>
      <c r="G84" s="4">
        <f>SUMPRODUCT(ТЕХ_Списки!E36:AW36,$D$44:$AV$44,$D$45:$AV$45)</f>
        <v>11</v>
      </c>
      <c r="H84" s="4">
        <f>IF(OR('РЕЙД-КОНСТРУКТОР'!$C$3="Любая",'РЕЙД-КОНСТРУКТОР'!$C$3=C84),1,0)</f>
        <v>1</v>
      </c>
      <c r="I84" s="4">
        <f t="shared" si="5"/>
        <v>1104</v>
      </c>
      <c r="J84" s="4" t="e">
        <f ca="1">IF(I84&lt;0,"",_xludf.RANK.EQ(I84,$I$50:$I$119,0)+COUNTIF($I$50:I84,I84)-1)</f>
        <v>#NAME?</v>
      </c>
      <c r="K84" s="4" t="e">
        <f ca="1">IF(F84=0,"—",_xludf.TEXTJOIN(", ",TRUE,IF(AND(ТЕХ_Списки!E36=1,$D$44=1),ТЕХ_Списки!E$1,""),IF(AND(ТЕХ_Списки!F36=1,$E$44=1),ТЕХ_Списки!F$1,""),IF(AND(ТЕХ_Списки!G36=1,$F$44=1),ТЕХ_Списки!G$1,""),IF(AND(ТЕХ_Списки!H36=1,$G$44=1),ТЕХ_Списки!H$1,""),IF(AND(ТЕХ_Списки!I36=1,$H$44=1),ТЕХ_Списки!I$1,""),IF(AND(ТЕХ_Списки!J36=1,$I$44=1),ТЕХ_Списки!J$1,""),IF(AND(ТЕХ_Списки!K36=1,$J$44=1),ТЕХ_Списки!K$1,""),IF(AND(ТЕХ_Списки!L36=1,$K$44=1),ТЕХ_Списки!L$1,""),IF(AND(ТЕХ_Списки!M36=1,$L$44=1),ТЕХ_Списки!M$1,""),IF(AND(ТЕХ_Списки!N36=1,$M$44=1),ТЕХ_Списки!N$1,""),IF(AND(ТЕХ_Списки!O36=1,$N$44=1),ТЕХ_Списки!O$1,""),IF(AND(ТЕХ_Списки!P36=1,$O$44=1),ТЕХ_Списки!P$1,""),IF(AND(ТЕХ_Списки!Q36=1,$P$44=1),ТЕХ_Списки!Q$1,""),IF(AND(ТЕХ_Списки!R36=1,$Q$44=1),ТЕХ_Списки!R$1,""),IF(AND(ТЕХ_Списки!S36=1,$R$44=1),ТЕХ_Списки!S$1,""),IF(AND(ТЕХ_Списки!T36=1,$S$44=1),ТЕХ_Списки!T$1,""),IF(AND(ТЕХ_Списки!U36=1,$T$44=1),ТЕХ_Списки!U$1,""),IF(AND(ТЕХ_Списки!V36=1,$U$44=1),ТЕХ_Списки!V$1,""),IF(AND(ТЕХ_Списки!W36=1,$V$44=1),ТЕХ_Списки!W$1,""),IF(AND(ТЕХ_Списки!X36=1,$W$44=1),ТЕХ_Списки!X$1,""),IF(AND(ТЕХ_Списки!Y36=1,$X$44=1),ТЕХ_Списки!Y$1,""),IF(AND(ТЕХ_Списки!Z36=1,$Y$44=1),ТЕХ_Списки!Z$1,""),IF(AND(ТЕХ_Списки!AA36=1,$Z$44=1),ТЕХ_Списки!AA$1,""),IF(AND(ТЕХ_Списки!AB36=1,$AA$44=1),ТЕХ_Списки!AB$1,""),IF(AND(ТЕХ_Списки!AC36=1,$AB$44=1),ТЕХ_Списки!AC$1,""),IF(AND(ТЕХ_Списки!AD36=1,$AC$44=1),ТЕХ_Списки!AD$1,""),IF(AND(ТЕХ_Списки!AE36=1,$AD$44=1),ТЕХ_Списки!AE$1,""),IF(AND(ТЕХ_Списки!AF36=1,$AE$44=1),ТЕХ_Списки!AF$1,""),IF(AND(ТЕХ_Списки!AG36=1,$AF$44=1),ТЕХ_Списки!AG$1,""),IF(AND(ТЕХ_Списки!AH36=1,$AG$44=1),ТЕХ_Списки!AH$1,""),IF(AND(ТЕХ_Списки!AI36=1,$AH$44=1),ТЕХ_Списки!AI$1,""),IF(AND(ТЕХ_Списки!AJ36=1,$AI$44=1),ТЕХ_Списки!AJ$1,""),IF(AND(ТЕХ_Списки!AK36=1,$AJ$44=1),ТЕХ_Списки!AK$1,""),IF(AND(ТЕХ_Списки!AL36=1,$AK$44=1),ТЕХ_Списки!AL$1,""),IF(AND(ТЕХ_Списки!AM36=1,$AL$44=1),ТЕХ_Списки!AM$1,""),IF(AND(ТЕХ_Списки!AN36=1,$AM$44=1),ТЕХ_Списки!AN$1,""),IF(AND(ТЕХ_Списки!AO36=1,$AN$44=1),ТЕХ_Списки!AO$1,""),IF(AND(ТЕХ_Списки!AP36=1,$AO$44=1),ТЕХ_Списки!AP$1,""),IF(AND(ТЕХ_Списки!AQ36=1,$AP$44=1),ТЕХ_Списки!AQ$1,""),IF(AND(ТЕХ_Списки!AR36=1,$AQ$44=1),ТЕХ_Списки!AR$1,""),IF(AND(ТЕХ_Списки!AS36=1,$AR$44=1),ТЕХ_Списки!AS$1,""),IF(AND(ТЕХ_Списки!AT36=1,$AS$44=1),ТЕХ_Списки!AT$1,""),IF(AND(ТЕХ_Списки!AU36=1,$AT$44=1),ТЕХ_Списки!AU$1,""),IF(AND(ТЕХ_Списки!AV36=1,$AU$44=1),ТЕХ_Списки!AV$1,""),IF(AND(ТЕХ_Списки!AW36=1,$AV$44=1),ТЕХ_Списки!AW$1,"")))</f>
        <v>#NAME?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>
      <c r="A85" s="4" t="s">
        <v>236</v>
      </c>
      <c r="B85" s="4" t="s">
        <v>239</v>
      </c>
      <c r="C85" s="4" t="s">
        <v>135</v>
      </c>
      <c r="D85" s="4" t="s">
        <v>672</v>
      </c>
      <c r="E85" s="4">
        <f t="shared" si="4"/>
        <v>0</v>
      </c>
      <c r="F85" s="4">
        <f>SUMPRODUCT(ТЕХ_Списки!E37:AW37,$D$44:$AV$44)</f>
        <v>4</v>
      </c>
      <c r="G85" s="4">
        <f>SUMPRODUCT(ТЕХ_Списки!E37:AW37,$D$44:$AV$44,$D$45:$AV$45)</f>
        <v>11</v>
      </c>
      <c r="H85" s="4">
        <f>IF(OR('РЕЙД-КОНСТРУКТОР'!$C$3="Любая",'РЕЙД-КОНСТРУКТОР'!$C$3=C85),1,0)</f>
        <v>1</v>
      </c>
      <c r="I85" s="4">
        <f t="shared" si="5"/>
        <v>1104</v>
      </c>
      <c r="J85" s="4" t="e">
        <f ca="1">IF(I85&lt;0,"",_xludf.RANK.EQ(I85,$I$50:$I$119,0)+COUNTIF($I$50:I85,I85)-1)</f>
        <v>#NAME?</v>
      </c>
      <c r="K85" s="4" t="e">
        <f ca="1">IF(F85=0,"—",_xludf.TEXTJOIN(", ",TRUE,IF(AND(ТЕХ_Списки!E37=1,$D$44=1),ТЕХ_Списки!E$1,""),IF(AND(ТЕХ_Списки!F37=1,$E$44=1),ТЕХ_Списки!F$1,""),IF(AND(ТЕХ_Списки!G37=1,$F$44=1),ТЕХ_Списки!G$1,""),IF(AND(ТЕХ_Списки!H37=1,$G$44=1),ТЕХ_Списки!H$1,""),IF(AND(ТЕХ_Списки!I37=1,$H$44=1),ТЕХ_Списки!I$1,""),IF(AND(ТЕХ_Списки!J37=1,$I$44=1),ТЕХ_Списки!J$1,""),IF(AND(ТЕХ_Списки!K37=1,$J$44=1),ТЕХ_Списки!K$1,""),IF(AND(ТЕХ_Списки!L37=1,$K$44=1),ТЕХ_Списки!L$1,""),IF(AND(ТЕХ_Списки!M37=1,$L$44=1),ТЕХ_Списки!M$1,""),IF(AND(ТЕХ_Списки!N37=1,$M$44=1),ТЕХ_Списки!N$1,""),IF(AND(ТЕХ_Списки!O37=1,$N$44=1),ТЕХ_Списки!O$1,""),IF(AND(ТЕХ_Списки!P37=1,$O$44=1),ТЕХ_Списки!P$1,""),IF(AND(ТЕХ_Списки!Q37=1,$P$44=1),ТЕХ_Списки!Q$1,""),IF(AND(ТЕХ_Списки!R37=1,$Q$44=1),ТЕХ_Списки!R$1,""),IF(AND(ТЕХ_Списки!S37=1,$R$44=1),ТЕХ_Списки!S$1,""),IF(AND(ТЕХ_Списки!T37=1,$S$44=1),ТЕХ_Списки!T$1,""),IF(AND(ТЕХ_Списки!U37=1,$T$44=1),ТЕХ_Списки!U$1,""),IF(AND(ТЕХ_Списки!V37=1,$U$44=1),ТЕХ_Списки!V$1,""),IF(AND(ТЕХ_Списки!W37=1,$V$44=1),ТЕХ_Списки!W$1,""),IF(AND(ТЕХ_Списки!X37=1,$W$44=1),ТЕХ_Списки!X$1,""),IF(AND(ТЕХ_Списки!Y37=1,$X$44=1),ТЕХ_Списки!Y$1,""),IF(AND(ТЕХ_Списки!Z37=1,$Y$44=1),ТЕХ_Списки!Z$1,""),IF(AND(ТЕХ_Списки!AA37=1,$Z$44=1),ТЕХ_Списки!AA$1,""),IF(AND(ТЕХ_Списки!AB37=1,$AA$44=1),ТЕХ_Списки!AB$1,""),IF(AND(ТЕХ_Списки!AC37=1,$AB$44=1),ТЕХ_Списки!AC$1,""),IF(AND(ТЕХ_Списки!AD37=1,$AC$44=1),ТЕХ_Списки!AD$1,""),IF(AND(ТЕХ_Списки!AE37=1,$AD$44=1),ТЕХ_Списки!AE$1,""),IF(AND(ТЕХ_Списки!AF37=1,$AE$44=1),ТЕХ_Списки!AF$1,""),IF(AND(ТЕХ_Списки!AG37=1,$AF$44=1),ТЕХ_Списки!AG$1,""),IF(AND(ТЕХ_Списки!AH37=1,$AG$44=1),ТЕХ_Списки!AH$1,""),IF(AND(ТЕХ_Списки!AI37=1,$AH$44=1),ТЕХ_Списки!AI$1,""),IF(AND(ТЕХ_Списки!AJ37=1,$AI$44=1),ТЕХ_Списки!AJ$1,""),IF(AND(ТЕХ_Списки!AK37=1,$AJ$44=1),ТЕХ_Списки!AK$1,""),IF(AND(ТЕХ_Списки!AL37=1,$AK$44=1),ТЕХ_Списки!AL$1,""),IF(AND(ТЕХ_Списки!AM37=1,$AL$44=1),ТЕХ_Списки!AM$1,""),IF(AND(ТЕХ_Списки!AN37=1,$AM$44=1),ТЕХ_Списки!AN$1,""),IF(AND(ТЕХ_Списки!AO37=1,$AN$44=1),ТЕХ_Списки!AO$1,""),IF(AND(ТЕХ_Списки!AP37=1,$AO$44=1),ТЕХ_Списки!AP$1,""),IF(AND(ТЕХ_Списки!AQ37=1,$AP$44=1),ТЕХ_Списки!AQ$1,""),IF(AND(ТЕХ_Списки!AR37=1,$AQ$44=1),ТЕХ_Списки!AR$1,""),IF(AND(ТЕХ_Списки!AS37=1,$AR$44=1),ТЕХ_Списки!AS$1,""),IF(AND(ТЕХ_Списки!AT37=1,$AS$44=1),ТЕХ_Списки!AT$1,""),IF(AND(ТЕХ_Списки!AU37=1,$AT$44=1),ТЕХ_Списки!AU$1,""),IF(AND(ТЕХ_Списки!AV37=1,$AU$44=1),ТЕХ_Списки!AV$1,""),IF(AND(ТЕХ_Списки!AW37=1,$AV$44=1),ТЕХ_Списки!AW$1,"")))</f>
        <v>#NAME?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>
      <c r="A86" s="4" t="s">
        <v>236</v>
      </c>
      <c r="B86" s="4" t="s">
        <v>241</v>
      </c>
      <c r="C86" s="4" t="s">
        <v>78</v>
      </c>
      <c r="D86" s="4" t="s">
        <v>673</v>
      </c>
      <c r="E86" s="4">
        <f t="shared" si="4"/>
        <v>0</v>
      </c>
      <c r="F86" s="4">
        <f>SUMPRODUCT(ТЕХ_Списки!E38:AW38,$D$44:$AV$44)</f>
        <v>7</v>
      </c>
      <c r="G86" s="4">
        <f>SUMPRODUCT(ТЕХ_Списки!E38:AW38,$D$44:$AV$44,$D$45:$AV$45)</f>
        <v>14</v>
      </c>
      <c r="H86" s="4">
        <f>IF(OR('РЕЙД-КОНСТРУКТОР'!$C$3="Любая",'РЕЙД-КОНСТРУКТОР'!$C$3=C86),1,0)</f>
        <v>1</v>
      </c>
      <c r="I86" s="4">
        <f t="shared" si="5"/>
        <v>1407</v>
      </c>
      <c r="J86" s="4" t="e">
        <f ca="1">IF(I86&lt;0,"",_xludf.RANK.EQ(I86,$I$50:$I$119,0)+COUNTIF($I$50:I86,I86)-1)</f>
        <v>#NAME?</v>
      </c>
      <c r="K86" s="4" t="e">
        <f ca="1">IF(F86=0,"—",_xludf.TEXTJOIN(", ",TRUE,IF(AND(ТЕХ_Списки!E38=1,$D$44=1),ТЕХ_Списки!E$1,""),IF(AND(ТЕХ_Списки!F38=1,$E$44=1),ТЕХ_Списки!F$1,""),IF(AND(ТЕХ_Списки!G38=1,$F$44=1),ТЕХ_Списки!G$1,""),IF(AND(ТЕХ_Списки!H38=1,$G$44=1),ТЕХ_Списки!H$1,""),IF(AND(ТЕХ_Списки!I38=1,$H$44=1),ТЕХ_Списки!I$1,""),IF(AND(ТЕХ_Списки!J38=1,$I$44=1),ТЕХ_Списки!J$1,""),IF(AND(ТЕХ_Списки!K38=1,$J$44=1),ТЕХ_Списки!K$1,""),IF(AND(ТЕХ_Списки!L38=1,$K$44=1),ТЕХ_Списки!L$1,""),IF(AND(ТЕХ_Списки!M38=1,$L$44=1),ТЕХ_Списки!M$1,""),IF(AND(ТЕХ_Списки!N38=1,$M$44=1),ТЕХ_Списки!N$1,""),IF(AND(ТЕХ_Списки!O38=1,$N$44=1),ТЕХ_Списки!O$1,""),IF(AND(ТЕХ_Списки!P38=1,$O$44=1),ТЕХ_Списки!P$1,""),IF(AND(ТЕХ_Списки!Q38=1,$P$44=1),ТЕХ_Списки!Q$1,""),IF(AND(ТЕХ_Списки!R38=1,$Q$44=1),ТЕХ_Списки!R$1,""),IF(AND(ТЕХ_Списки!S38=1,$R$44=1),ТЕХ_Списки!S$1,""),IF(AND(ТЕХ_Списки!T38=1,$S$44=1),ТЕХ_Списки!T$1,""),IF(AND(ТЕХ_Списки!U38=1,$T$44=1),ТЕХ_Списки!U$1,""),IF(AND(ТЕХ_Списки!V38=1,$U$44=1),ТЕХ_Списки!V$1,""),IF(AND(ТЕХ_Списки!W38=1,$V$44=1),ТЕХ_Списки!W$1,""),IF(AND(ТЕХ_Списки!X38=1,$W$44=1),ТЕХ_Списки!X$1,""),IF(AND(ТЕХ_Списки!Y38=1,$X$44=1),ТЕХ_Списки!Y$1,""),IF(AND(ТЕХ_Списки!Z38=1,$Y$44=1),ТЕХ_Списки!Z$1,""),IF(AND(ТЕХ_Списки!AA38=1,$Z$44=1),ТЕХ_Списки!AA$1,""),IF(AND(ТЕХ_Списки!AB38=1,$AA$44=1),ТЕХ_Списки!AB$1,""),IF(AND(ТЕХ_Списки!AC38=1,$AB$44=1),ТЕХ_Списки!AC$1,""),IF(AND(ТЕХ_Списки!AD38=1,$AC$44=1),ТЕХ_Списки!AD$1,""),IF(AND(ТЕХ_Списки!AE38=1,$AD$44=1),ТЕХ_Списки!AE$1,""),IF(AND(ТЕХ_Списки!AF38=1,$AE$44=1),ТЕХ_Списки!AF$1,""),IF(AND(ТЕХ_Списки!AG38=1,$AF$44=1),ТЕХ_Списки!AG$1,""),IF(AND(ТЕХ_Списки!AH38=1,$AG$44=1),ТЕХ_Списки!AH$1,""),IF(AND(ТЕХ_Списки!AI38=1,$AH$44=1),ТЕХ_Списки!AI$1,""),IF(AND(ТЕХ_Списки!AJ38=1,$AI$44=1),ТЕХ_Списки!AJ$1,""),IF(AND(ТЕХ_Списки!AK38=1,$AJ$44=1),ТЕХ_Списки!AK$1,""),IF(AND(ТЕХ_Списки!AL38=1,$AK$44=1),ТЕХ_Списки!AL$1,""),IF(AND(ТЕХ_Списки!AM38=1,$AL$44=1),ТЕХ_Списки!AM$1,""),IF(AND(ТЕХ_Списки!AN38=1,$AM$44=1),ТЕХ_Списки!AN$1,""),IF(AND(ТЕХ_Списки!AO38=1,$AN$44=1),ТЕХ_Списки!AO$1,""),IF(AND(ТЕХ_Списки!AP38=1,$AO$44=1),ТЕХ_Списки!AP$1,""),IF(AND(ТЕХ_Списки!AQ38=1,$AP$44=1),ТЕХ_Списки!AQ$1,""),IF(AND(ТЕХ_Списки!AR38=1,$AQ$44=1),ТЕХ_Списки!AR$1,""),IF(AND(ТЕХ_Списки!AS38=1,$AR$44=1),ТЕХ_Списки!AS$1,""),IF(AND(ТЕХ_Списки!AT38=1,$AS$44=1),ТЕХ_Списки!AT$1,""),IF(AND(ТЕХ_Списки!AU38=1,$AT$44=1),ТЕХ_Списки!AU$1,""),IF(AND(ТЕХ_Списки!AV38=1,$AU$44=1),ТЕХ_Списки!AV$1,""),IF(AND(ТЕХ_Списки!AW38=1,$AV$44=1),ТЕХ_Списки!AW$1,"")))</f>
        <v>#NAME?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>
      <c r="A87" s="4" t="s">
        <v>244</v>
      </c>
      <c r="B87" s="4" t="s">
        <v>245</v>
      </c>
      <c r="C87" s="4" t="s">
        <v>135</v>
      </c>
      <c r="D87" s="4" t="s">
        <v>674</v>
      </c>
      <c r="E87" s="4">
        <f t="shared" si="4"/>
        <v>0</v>
      </c>
      <c r="F87" s="4">
        <f>SUMPRODUCT(ТЕХ_Списки!E39:AW39,$D$44:$AV$44)</f>
        <v>9</v>
      </c>
      <c r="G87" s="4">
        <f>SUMPRODUCT(ТЕХ_Списки!E39:AW39,$D$44:$AV$44,$D$45:$AV$45)</f>
        <v>16</v>
      </c>
      <c r="H87" s="4">
        <f>IF(OR('РЕЙД-КОНСТРУКТОР'!$C$3="Любая",'РЕЙД-КОНСТРУКТОР'!$C$3=C87),1,0)</f>
        <v>1</v>
      </c>
      <c r="I87" s="4">
        <f t="shared" si="5"/>
        <v>1609</v>
      </c>
      <c r="J87" s="4" t="e">
        <f ca="1">IF(I87&lt;0,"",_xludf.RANK.EQ(I87,$I$50:$I$119,0)+COUNTIF($I$50:I87,I87)-1)</f>
        <v>#NAME?</v>
      </c>
      <c r="K87" s="4" t="e">
        <f ca="1">IF(F87=0,"—",_xludf.TEXTJOIN(", ",TRUE,IF(AND(ТЕХ_Списки!E39=1,$D$44=1),ТЕХ_Списки!E$1,""),IF(AND(ТЕХ_Списки!F39=1,$E$44=1),ТЕХ_Списки!F$1,""),IF(AND(ТЕХ_Списки!G39=1,$F$44=1),ТЕХ_Списки!G$1,""),IF(AND(ТЕХ_Списки!H39=1,$G$44=1),ТЕХ_Списки!H$1,""),IF(AND(ТЕХ_Списки!I39=1,$H$44=1),ТЕХ_Списки!I$1,""),IF(AND(ТЕХ_Списки!J39=1,$I$44=1),ТЕХ_Списки!J$1,""),IF(AND(ТЕХ_Списки!K39=1,$J$44=1),ТЕХ_Списки!K$1,""),IF(AND(ТЕХ_Списки!L39=1,$K$44=1),ТЕХ_Списки!L$1,""),IF(AND(ТЕХ_Списки!M39=1,$L$44=1),ТЕХ_Списки!M$1,""),IF(AND(ТЕХ_Списки!N39=1,$M$44=1),ТЕХ_Списки!N$1,""),IF(AND(ТЕХ_Списки!O39=1,$N$44=1),ТЕХ_Списки!O$1,""),IF(AND(ТЕХ_Списки!P39=1,$O$44=1),ТЕХ_Списки!P$1,""),IF(AND(ТЕХ_Списки!Q39=1,$P$44=1),ТЕХ_Списки!Q$1,""),IF(AND(ТЕХ_Списки!R39=1,$Q$44=1),ТЕХ_Списки!R$1,""),IF(AND(ТЕХ_Списки!S39=1,$R$44=1),ТЕХ_Списки!S$1,""),IF(AND(ТЕХ_Списки!T39=1,$S$44=1),ТЕХ_Списки!T$1,""),IF(AND(ТЕХ_Списки!U39=1,$T$44=1),ТЕХ_Списки!U$1,""),IF(AND(ТЕХ_Списки!V39=1,$U$44=1),ТЕХ_Списки!V$1,""),IF(AND(ТЕХ_Списки!W39=1,$V$44=1),ТЕХ_Списки!W$1,""),IF(AND(ТЕХ_Списки!X39=1,$W$44=1),ТЕХ_Списки!X$1,""),IF(AND(ТЕХ_Списки!Y39=1,$X$44=1),ТЕХ_Списки!Y$1,""),IF(AND(ТЕХ_Списки!Z39=1,$Y$44=1),ТЕХ_Списки!Z$1,""),IF(AND(ТЕХ_Списки!AA39=1,$Z$44=1),ТЕХ_Списки!AA$1,""),IF(AND(ТЕХ_Списки!AB39=1,$AA$44=1),ТЕХ_Списки!AB$1,""),IF(AND(ТЕХ_Списки!AC39=1,$AB$44=1),ТЕХ_Списки!AC$1,""),IF(AND(ТЕХ_Списки!AD39=1,$AC$44=1),ТЕХ_Списки!AD$1,""),IF(AND(ТЕХ_Списки!AE39=1,$AD$44=1),ТЕХ_Списки!AE$1,""),IF(AND(ТЕХ_Списки!AF39=1,$AE$44=1),ТЕХ_Списки!AF$1,""),IF(AND(ТЕХ_Списки!AG39=1,$AF$44=1),ТЕХ_Списки!AG$1,""),IF(AND(ТЕХ_Списки!AH39=1,$AG$44=1),ТЕХ_Списки!AH$1,""),IF(AND(ТЕХ_Списки!AI39=1,$AH$44=1),ТЕХ_Списки!AI$1,""),IF(AND(ТЕХ_Списки!AJ39=1,$AI$44=1),ТЕХ_Списки!AJ$1,""),IF(AND(ТЕХ_Списки!AK39=1,$AJ$44=1),ТЕХ_Списки!AK$1,""),IF(AND(ТЕХ_Списки!AL39=1,$AK$44=1),ТЕХ_Списки!AL$1,""),IF(AND(ТЕХ_Списки!AM39=1,$AL$44=1),ТЕХ_Списки!AM$1,""),IF(AND(ТЕХ_Списки!AN39=1,$AM$44=1),ТЕХ_Списки!AN$1,""),IF(AND(ТЕХ_Списки!AO39=1,$AN$44=1),ТЕХ_Списки!AO$1,""),IF(AND(ТЕХ_Списки!AP39=1,$AO$44=1),ТЕХ_Списки!AP$1,""),IF(AND(ТЕХ_Списки!AQ39=1,$AP$44=1),ТЕХ_Списки!AQ$1,""),IF(AND(ТЕХ_Списки!AR39=1,$AQ$44=1),ТЕХ_Списки!AR$1,""),IF(AND(ТЕХ_Списки!AS39=1,$AR$44=1),ТЕХ_Списки!AS$1,""),IF(AND(ТЕХ_Списки!AT39=1,$AS$44=1),ТЕХ_Списки!AT$1,""),IF(AND(ТЕХ_Списки!AU39=1,$AT$44=1),ТЕХ_Списки!AU$1,""),IF(AND(ТЕХ_Списки!AV39=1,$AU$44=1),ТЕХ_Списки!AV$1,""),IF(AND(ТЕХ_Списки!AW39=1,$AV$44=1),ТЕХ_Списки!AW$1,"")))</f>
        <v>#NAME?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>
      <c r="A88" s="4" t="s">
        <v>244</v>
      </c>
      <c r="B88" s="4" t="s">
        <v>248</v>
      </c>
      <c r="C88" s="4" t="s">
        <v>78</v>
      </c>
      <c r="D88" s="4" t="s">
        <v>675</v>
      </c>
      <c r="E88" s="4">
        <f t="shared" si="4"/>
        <v>0</v>
      </c>
      <c r="F88" s="4">
        <f>SUMPRODUCT(ТЕХ_Списки!E40:AW40,$D$44:$AV$44)</f>
        <v>10</v>
      </c>
      <c r="G88" s="4">
        <f>SUMPRODUCT(ТЕХ_Списки!E40:AW40,$D$44:$AV$44,$D$45:$AV$45)</f>
        <v>19</v>
      </c>
      <c r="H88" s="4">
        <f>IF(OR('РЕЙД-КОНСТРУКТОР'!$C$3="Любая",'РЕЙД-КОНСТРУКТОР'!$C$3=C88),1,0)</f>
        <v>1</v>
      </c>
      <c r="I88" s="4">
        <f t="shared" si="5"/>
        <v>1910</v>
      </c>
      <c r="J88" s="4" t="e">
        <f ca="1">IF(I88&lt;0,"",_xludf.RANK.EQ(I88,$I$50:$I$119,0)+COUNTIF($I$50:I88,I88)-1)</f>
        <v>#NAME?</v>
      </c>
      <c r="K88" s="4" t="e">
        <f ca="1">IF(F88=0,"—",_xludf.TEXTJOIN(", ",TRUE,IF(AND(ТЕХ_Списки!E40=1,$D$44=1),ТЕХ_Списки!E$1,""),IF(AND(ТЕХ_Списки!F40=1,$E$44=1),ТЕХ_Списки!F$1,""),IF(AND(ТЕХ_Списки!G40=1,$F$44=1),ТЕХ_Списки!G$1,""),IF(AND(ТЕХ_Списки!H40=1,$G$44=1),ТЕХ_Списки!H$1,""),IF(AND(ТЕХ_Списки!I40=1,$H$44=1),ТЕХ_Списки!I$1,""),IF(AND(ТЕХ_Списки!J40=1,$I$44=1),ТЕХ_Списки!J$1,""),IF(AND(ТЕХ_Списки!K40=1,$J$44=1),ТЕХ_Списки!K$1,""),IF(AND(ТЕХ_Списки!L40=1,$K$44=1),ТЕХ_Списки!L$1,""),IF(AND(ТЕХ_Списки!M40=1,$L$44=1),ТЕХ_Списки!M$1,""),IF(AND(ТЕХ_Списки!N40=1,$M$44=1),ТЕХ_Списки!N$1,""),IF(AND(ТЕХ_Списки!O40=1,$N$44=1),ТЕХ_Списки!O$1,""),IF(AND(ТЕХ_Списки!P40=1,$O$44=1),ТЕХ_Списки!P$1,""),IF(AND(ТЕХ_Списки!Q40=1,$P$44=1),ТЕХ_Списки!Q$1,""),IF(AND(ТЕХ_Списки!R40=1,$Q$44=1),ТЕХ_Списки!R$1,""),IF(AND(ТЕХ_Списки!S40=1,$R$44=1),ТЕХ_Списки!S$1,""),IF(AND(ТЕХ_Списки!T40=1,$S$44=1),ТЕХ_Списки!T$1,""),IF(AND(ТЕХ_Списки!U40=1,$T$44=1),ТЕХ_Списки!U$1,""),IF(AND(ТЕХ_Списки!V40=1,$U$44=1),ТЕХ_Списки!V$1,""),IF(AND(ТЕХ_Списки!W40=1,$V$44=1),ТЕХ_Списки!W$1,""),IF(AND(ТЕХ_Списки!X40=1,$W$44=1),ТЕХ_Списки!X$1,""),IF(AND(ТЕХ_Списки!Y40=1,$X$44=1),ТЕХ_Списки!Y$1,""),IF(AND(ТЕХ_Списки!Z40=1,$Y$44=1),ТЕХ_Списки!Z$1,""),IF(AND(ТЕХ_Списки!AA40=1,$Z$44=1),ТЕХ_Списки!AA$1,""),IF(AND(ТЕХ_Списки!AB40=1,$AA$44=1),ТЕХ_Списки!AB$1,""),IF(AND(ТЕХ_Списки!AC40=1,$AB$44=1),ТЕХ_Списки!AC$1,""),IF(AND(ТЕХ_Списки!AD40=1,$AC$44=1),ТЕХ_Списки!AD$1,""),IF(AND(ТЕХ_Списки!AE40=1,$AD$44=1),ТЕХ_Списки!AE$1,""),IF(AND(ТЕХ_Списки!AF40=1,$AE$44=1),ТЕХ_Списки!AF$1,""),IF(AND(ТЕХ_Списки!AG40=1,$AF$44=1),ТЕХ_Списки!AG$1,""),IF(AND(ТЕХ_Списки!AH40=1,$AG$44=1),ТЕХ_Списки!AH$1,""),IF(AND(ТЕХ_Списки!AI40=1,$AH$44=1),ТЕХ_Списки!AI$1,""),IF(AND(ТЕХ_Списки!AJ40=1,$AI$44=1),ТЕХ_Списки!AJ$1,""),IF(AND(ТЕХ_Списки!AK40=1,$AJ$44=1),ТЕХ_Списки!AK$1,""),IF(AND(ТЕХ_Списки!AL40=1,$AK$44=1),ТЕХ_Списки!AL$1,""),IF(AND(ТЕХ_Списки!AM40=1,$AL$44=1),ТЕХ_Списки!AM$1,""),IF(AND(ТЕХ_Списки!AN40=1,$AM$44=1),ТЕХ_Списки!AN$1,""),IF(AND(ТЕХ_Списки!AO40=1,$AN$44=1),ТЕХ_Списки!AO$1,""),IF(AND(ТЕХ_Списки!AP40=1,$AO$44=1),ТЕХ_Списки!AP$1,""),IF(AND(ТЕХ_Списки!AQ40=1,$AP$44=1),ТЕХ_Списки!AQ$1,""),IF(AND(ТЕХ_Списки!AR40=1,$AQ$44=1),ТЕХ_Списки!AR$1,""),IF(AND(ТЕХ_Списки!AS40=1,$AR$44=1),ТЕХ_Списки!AS$1,""),IF(AND(ТЕХ_Списки!AT40=1,$AS$44=1),ТЕХ_Списки!AT$1,""),IF(AND(ТЕХ_Списки!AU40=1,$AT$44=1),ТЕХ_Списки!AU$1,""),IF(AND(ТЕХ_Списки!AV40=1,$AU$44=1),ТЕХ_Списки!AV$1,""),IF(AND(ТЕХ_Списки!AW40=1,$AV$44=1),ТЕХ_Списки!AW$1,"")))</f>
        <v>#NAME?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>
      <c r="A89" s="4" t="s">
        <v>244</v>
      </c>
      <c r="B89" s="4" t="s">
        <v>251</v>
      </c>
      <c r="C89" s="4" t="s">
        <v>139</v>
      </c>
      <c r="D89" s="4" t="s">
        <v>676</v>
      </c>
      <c r="E89" s="4">
        <f t="shared" si="4"/>
        <v>0</v>
      </c>
      <c r="F89" s="4">
        <f>SUMPRODUCT(ТЕХ_Списки!E41:AW41,$D$44:$AV$44)</f>
        <v>10</v>
      </c>
      <c r="G89" s="4">
        <f>SUMPRODUCT(ТЕХ_Списки!E41:AW41,$D$44:$AV$44,$D$45:$AV$45)</f>
        <v>19</v>
      </c>
      <c r="H89" s="4">
        <f>IF(OR('РЕЙД-КОНСТРУКТОР'!$C$3="Любая",'РЕЙД-КОНСТРУКТОР'!$C$3=C89),1,0)</f>
        <v>1</v>
      </c>
      <c r="I89" s="4">
        <f t="shared" si="5"/>
        <v>1910</v>
      </c>
      <c r="J89" s="4" t="e">
        <f ca="1">IF(I89&lt;0,"",_xludf.RANK.EQ(I89,$I$50:$I$119,0)+COUNTIF($I$50:I89,I89)-1)</f>
        <v>#NAME?</v>
      </c>
      <c r="K89" s="4" t="e">
        <f ca="1">IF(F89=0,"—",_xludf.TEXTJOIN(", ",TRUE,IF(AND(ТЕХ_Списки!E41=1,$D$44=1),ТЕХ_Списки!E$1,""),IF(AND(ТЕХ_Списки!F41=1,$E$44=1),ТЕХ_Списки!F$1,""),IF(AND(ТЕХ_Списки!G41=1,$F$44=1),ТЕХ_Списки!G$1,""),IF(AND(ТЕХ_Списки!H41=1,$G$44=1),ТЕХ_Списки!H$1,""),IF(AND(ТЕХ_Списки!I41=1,$H$44=1),ТЕХ_Списки!I$1,""),IF(AND(ТЕХ_Списки!J41=1,$I$44=1),ТЕХ_Списки!J$1,""),IF(AND(ТЕХ_Списки!K41=1,$J$44=1),ТЕХ_Списки!K$1,""),IF(AND(ТЕХ_Списки!L41=1,$K$44=1),ТЕХ_Списки!L$1,""),IF(AND(ТЕХ_Списки!M41=1,$L$44=1),ТЕХ_Списки!M$1,""),IF(AND(ТЕХ_Списки!N41=1,$M$44=1),ТЕХ_Списки!N$1,""),IF(AND(ТЕХ_Списки!O41=1,$N$44=1),ТЕХ_Списки!O$1,""),IF(AND(ТЕХ_Списки!P41=1,$O$44=1),ТЕХ_Списки!P$1,""),IF(AND(ТЕХ_Списки!Q41=1,$P$44=1),ТЕХ_Списки!Q$1,""),IF(AND(ТЕХ_Списки!R41=1,$Q$44=1),ТЕХ_Списки!R$1,""),IF(AND(ТЕХ_Списки!S41=1,$R$44=1),ТЕХ_Списки!S$1,""),IF(AND(ТЕХ_Списки!T41=1,$S$44=1),ТЕХ_Списки!T$1,""),IF(AND(ТЕХ_Списки!U41=1,$T$44=1),ТЕХ_Списки!U$1,""),IF(AND(ТЕХ_Списки!V41=1,$U$44=1),ТЕХ_Списки!V$1,""),IF(AND(ТЕХ_Списки!W41=1,$V$44=1),ТЕХ_Списки!W$1,""),IF(AND(ТЕХ_Списки!X41=1,$W$44=1),ТЕХ_Списки!X$1,""),IF(AND(ТЕХ_Списки!Y41=1,$X$44=1),ТЕХ_Списки!Y$1,""),IF(AND(ТЕХ_Списки!Z41=1,$Y$44=1),ТЕХ_Списки!Z$1,""),IF(AND(ТЕХ_Списки!AA41=1,$Z$44=1),ТЕХ_Списки!AA$1,""),IF(AND(ТЕХ_Списки!AB41=1,$AA$44=1),ТЕХ_Списки!AB$1,""),IF(AND(ТЕХ_Списки!AC41=1,$AB$44=1),ТЕХ_Списки!AC$1,""),IF(AND(ТЕХ_Списки!AD41=1,$AC$44=1),ТЕХ_Списки!AD$1,""),IF(AND(ТЕХ_Списки!AE41=1,$AD$44=1),ТЕХ_Списки!AE$1,""),IF(AND(ТЕХ_Списки!AF41=1,$AE$44=1),ТЕХ_Списки!AF$1,""),IF(AND(ТЕХ_Списки!AG41=1,$AF$44=1),ТЕХ_Списки!AG$1,""),IF(AND(ТЕХ_Списки!AH41=1,$AG$44=1),ТЕХ_Списки!AH$1,""),IF(AND(ТЕХ_Списки!AI41=1,$AH$44=1),ТЕХ_Списки!AI$1,""),IF(AND(ТЕХ_Списки!AJ41=1,$AI$44=1),ТЕХ_Списки!AJ$1,""),IF(AND(ТЕХ_Списки!AK41=1,$AJ$44=1),ТЕХ_Списки!AK$1,""),IF(AND(ТЕХ_Списки!AL41=1,$AK$44=1),ТЕХ_Списки!AL$1,""),IF(AND(ТЕХ_Списки!AM41=1,$AL$44=1),ТЕХ_Списки!AM$1,""),IF(AND(ТЕХ_Списки!AN41=1,$AM$44=1),ТЕХ_Списки!AN$1,""),IF(AND(ТЕХ_Списки!AO41=1,$AN$44=1),ТЕХ_Списки!AO$1,""),IF(AND(ТЕХ_Списки!AP41=1,$AO$44=1),ТЕХ_Списки!AP$1,""),IF(AND(ТЕХ_Списки!AQ41=1,$AP$44=1),ТЕХ_Списки!AQ$1,""),IF(AND(ТЕХ_Списки!AR41=1,$AQ$44=1),ТЕХ_Списки!AR$1,""),IF(AND(ТЕХ_Списки!AS41=1,$AR$44=1),ТЕХ_Списки!AS$1,""),IF(AND(ТЕХ_Списки!AT41=1,$AS$44=1),ТЕХ_Списки!AT$1,""),IF(AND(ТЕХ_Списки!AU41=1,$AT$44=1),ТЕХ_Списки!AU$1,""),IF(AND(ТЕХ_Списки!AV41=1,$AU$44=1),ТЕХ_Списки!AV$1,""),IF(AND(ТЕХ_Списки!AW41=1,$AV$44=1),ТЕХ_Списки!AW$1,"")))</f>
        <v>#NAME?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>
      <c r="A90" s="4" t="s">
        <v>244</v>
      </c>
      <c r="B90" s="4" t="s">
        <v>254</v>
      </c>
      <c r="C90" s="4" t="s">
        <v>84</v>
      </c>
      <c r="D90" s="4" t="s">
        <v>677</v>
      </c>
      <c r="E90" s="4">
        <f t="shared" si="4"/>
        <v>0</v>
      </c>
      <c r="F90" s="4">
        <f>SUMPRODUCT(ТЕХ_Списки!E42:AW42,$D$44:$AV$44)</f>
        <v>10</v>
      </c>
      <c r="G90" s="4">
        <f>SUMPRODUCT(ТЕХ_Списки!E42:AW42,$D$44:$AV$44,$D$45:$AV$45)</f>
        <v>19</v>
      </c>
      <c r="H90" s="4">
        <f>IF(OR('РЕЙД-КОНСТРУКТОР'!$C$3="Любая",'РЕЙД-КОНСТРУКТОР'!$C$3=C90),1,0)</f>
        <v>1</v>
      </c>
      <c r="I90" s="4">
        <f t="shared" si="5"/>
        <v>1910</v>
      </c>
      <c r="J90" s="4" t="e">
        <f ca="1">IF(I90&lt;0,"",_xludf.RANK.EQ(I90,$I$50:$I$119,0)+COUNTIF($I$50:I90,I90)-1)</f>
        <v>#NAME?</v>
      </c>
      <c r="K90" s="4" t="e">
        <f ca="1">IF(F90=0,"—",_xludf.TEXTJOIN(", ",TRUE,IF(AND(ТЕХ_Списки!E42=1,$D$44=1),ТЕХ_Списки!E$1,""),IF(AND(ТЕХ_Списки!F42=1,$E$44=1),ТЕХ_Списки!F$1,""),IF(AND(ТЕХ_Списки!G42=1,$F$44=1),ТЕХ_Списки!G$1,""),IF(AND(ТЕХ_Списки!H42=1,$G$44=1),ТЕХ_Списки!H$1,""),IF(AND(ТЕХ_Списки!I42=1,$H$44=1),ТЕХ_Списки!I$1,""),IF(AND(ТЕХ_Списки!J42=1,$I$44=1),ТЕХ_Списки!J$1,""),IF(AND(ТЕХ_Списки!K42=1,$J$44=1),ТЕХ_Списки!K$1,""),IF(AND(ТЕХ_Списки!L42=1,$K$44=1),ТЕХ_Списки!L$1,""),IF(AND(ТЕХ_Списки!M42=1,$L$44=1),ТЕХ_Списки!M$1,""),IF(AND(ТЕХ_Списки!N42=1,$M$44=1),ТЕХ_Списки!N$1,""),IF(AND(ТЕХ_Списки!O42=1,$N$44=1),ТЕХ_Списки!O$1,""),IF(AND(ТЕХ_Списки!P42=1,$O$44=1),ТЕХ_Списки!P$1,""),IF(AND(ТЕХ_Списки!Q42=1,$P$44=1),ТЕХ_Списки!Q$1,""),IF(AND(ТЕХ_Списки!R42=1,$Q$44=1),ТЕХ_Списки!R$1,""),IF(AND(ТЕХ_Списки!S42=1,$R$44=1),ТЕХ_Списки!S$1,""),IF(AND(ТЕХ_Списки!T42=1,$S$44=1),ТЕХ_Списки!T$1,""),IF(AND(ТЕХ_Списки!U42=1,$T$44=1),ТЕХ_Списки!U$1,""),IF(AND(ТЕХ_Списки!V42=1,$U$44=1),ТЕХ_Списки!V$1,""),IF(AND(ТЕХ_Списки!W42=1,$V$44=1),ТЕХ_Списки!W$1,""),IF(AND(ТЕХ_Списки!X42=1,$W$44=1),ТЕХ_Списки!X$1,""),IF(AND(ТЕХ_Списки!Y42=1,$X$44=1),ТЕХ_Списки!Y$1,""),IF(AND(ТЕХ_Списки!Z42=1,$Y$44=1),ТЕХ_Списки!Z$1,""),IF(AND(ТЕХ_Списки!AA42=1,$Z$44=1),ТЕХ_Списки!AA$1,""),IF(AND(ТЕХ_Списки!AB42=1,$AA$44=1),ТЕХ_Списки!AB$1,""),IF(AND(ТЕХ_Списки!AC42=1,$AB$44=1),ТЕХ_Списки!AC$1,""),IF(AND(ТЕХ_Списки!AD42=1,$AC$44=1),ТЕХ_Списки!AD$1,""),IF(AND(ТЕХ_Списки!AE42=1,$AD$44=1),ТЕХ_Списки!AE$1,""),IF(AND(ТЕХ_Списки!AF42=1,$AE$44=1),ТЕХ_Списки!AF$1,""),IF(AND(ТЕХ_Списки!AG42=1,$AF$44=1),ТЕХ_Списки!AG$1,""),IF(AND(ТЕХ_Списки!AH42=1,$AG$44=1),ТЕХ_Списки!AH$1,""),IF(AND(ТЕХ_Списки!AI42=1,$AH$44=1),ТЕХ_Списки!AI$1,""),IF(AND(ТЕХ_Списки!AJ42=1,$AI$44=1),ТЕХ_Списки!AJ$1,""),IF(AND(ТЕХ_Списки!AK42=1,$AJ$44=1),ТЕХ_Списки!AK$1,""),IF(AND(ТЕХ_Списки!AL42=1,$AK$44=1),ТЕХ_Списки!AL$1,""),IF(AND(ТЕХ_Списки!AM42=1,$AL$44=1),ТЕХ_Списки!AM$1,""),IF(AND(ТЕХ_Списки!AN42=1,$AM$44=1),ТЕХ_Списки!AN$1,""),IF(AND(ТЕХ_Списки!AO42=1,$AN$44=1),ТЕХ_Списки!AO$1,""),IF(AND(ТЕХ_Списки!AP42=1,$AO$44=1),ТЕХ_Списки!AP$1,""),IF(AND(ТЕХ_Списки!AQ42=1,$AP$44=1),ТЕХ_Списки!AQ$1,""),IF(AND(ТЕХ_Списки!AR42=1,$AQ$44=1),ТЕХ_Списки!AR$1,""),IF(AND(ТЕХ_Списки!AS42=1,$AR$44=1),ТЕХ_Списки!AS$1,""),IF(AND(ТЕХ_Списки!AT42=1,$AS$44=1),ТЕХ_Списки!AT$1,""),IF(AND(ТЕХ_Списки!AU42=1,$AT$44=1),ТЕХ_Списки!AU$1,""),IF(AND(ТЕХ_Списки!AV42=1,$AU$44=1),ТЕХ_Списки!AV$1,""),IF(AND(ТЕХ_Списки!AW42=1,$AV$44=1),ТЕХ_Списки!AW$1,"")))</f>
        <v>#NAME?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>
      <c r="A91" s="4" t="s">
        <v>256</v>
      </c>
      <c r="B91" s="4" t="s">
        <v>257</v>
      </c>
      <c r="C91" s="4" t="s">
        <v>139</v>
      </c>
      <c r="D91" s="4" t="s">
        <v>678</v>
      </c>
      <c r="E91" s="4">
        <f t="shared" si="4"/>
        <v>0</v>
      </c>
      <c r="F91" s="4">
        <f>SUMPRODUCT(ТЕХ_Списки!E43:AW43,$D$44:$AV$44)</f>
        <v>6</v>
      </c>
      <c r="G91" s="4">
        <f>SUMPRODUCT(ТЕХ_Списки!E43:AW43,$D$44:$AV$44,$D$45:$AV$45)</f>
        <v>13</v>
      </c>
      <c r="H91" s="4">
        <f>IF(OR('РЕЙД-КОНСТРУКТОР'!$C$3="Любая",'РЕЙД-КОНСТРУКТОР'!$C$3=C91),1,0)</f>
        <v>1</v>
      </c>
      <c r="I91" s="4">
        <f t="shared" si="5"/>
        <v>1306</v>
      </c>
      <c r="J91" s="4" t="e">
        <f ca="1">IF(I91&lt;0,"",_xludf.RANK.EQ(I91,$I$50:$I$119,0)+COUNTIF($I$50:I91,I91)-1)</f>
        <v>#NAME?</v>
      </c>
      <c r="K91" s="4" t="e">
        <f ca="1">IF(F91=0,"—",_xludf.TEXTJOIN(", ",TRUE,IF(AND(ТЕХ_Списки!E43=1,$D$44=1),ТЕХ_Списки!E$1,""),IF(AND(ТЕХ_Списки!F43=1,$E$44=1),ТЕХ_Списки!F$1,""),IF(AND(ТЕХ_Списки!G43=1,$F$44=1),ТЕХ_Списки!G$1,""),IF(AND(ТЕХ_Списки!H43=1,$G$44=1),ТЕХ_Списки!H$1,""),IF(AND(ТЕХ_Списки!I43=1,$H$44=1),ТЕХ_Списки!I$1,""),IF(AND(ТЕХ_Списки!J43=1,$I$44=1),ТЕХ_Списки!J$1,""),IF(AND(ТЕХ_Списки!K43=1,$J$44=1),ТЕХ_Списки!K$1,""),IF(AND(ТЕХ_Списки!L43=1,$K$44=1),ТЕХ_Списки!L$1,""),IF(AND(ТЕХ_Списки!M43=1,$L$44=1),ТЕХ_Списки!M$1,""),IF(AND(ТЕХ_Списки!N43=1,$M$44=1),ТЕХ_Списки!N$1,""),IF(AND(ТЕХ_Списки!O43=1,$N$44=1),ТЕХ_Списки!O$1,""),IF(AND(ТЕХ_Списки!P43=1,$O$44=1),ТЕХ_Списки!P$1,""),IF(AND(ТЕХ_Списки!Q43=1,$P$44=1),ТЕХ_Списки!Q$1,""),IF(AND(ТЕХ_Списки!R43=1,$Q$44=1),ТЕХ_Списки!R$1,""),IF(AND(ТЕХ_Списки!S43=1,$R$44=1),ТЕХ_Списки!S$1,""),IF(AND(ТЕХ_Списки!T43=1,$S$44=1),ТЕХ_Списки!T$1,""),IF(AND(ТЕХ_Списки!U43=1,$T$44=1),ТЕХ_Списки!U$1,""),IF(AND(ТЕХ_Списки!V43=1,$U$44=1),ТЕХ_Списки!V$1,""),IF(AND(ТЕХ_Списки!W43=1,$V$44=1),ТЕХ_Списки!W$1,""),IF(AND(ТЕХ_Списки!X43=1,$W$44=1),ТЕХ_Списки!X$1,""),IF(AND(ТЕХ_Списки!Y43=1,$X$44=1),ТЕХ_Списки!Y$1,""),IF(AND(ТЕХ_Списки!Z43=1,$Y$44=1),ТЕХ_Списки!Z$1,""),IF(AND(ТЕХ_Списки!AA43=1,$Z$44=1),ТЕХ_Списки!AA$1,""),IF(AND(ТЕХ_Списки!AB43=1,$AA$44=1),ТЕХ_Списки!AB$1,""),IF(AND(ТЕХ_Списки!AC43=1,$AB$44=1),ТЕХ_Списки!AC$1,""),IF(AND(ТЕХ_Списки!AD43=1,$AC$44=1),ТЕХ_Списки!AD$1,""),IF(AND(ТЕХ_Списки!AE43=1,$AD$44=1),ТЕХ_Списки!AE$1,""),IF(AND(ТЕХ_Списки!AF43=1,$AE$44=1),ТЕХ_Списки!AF$1,""),IF(AND(ТЕХ_Списки!AG43=1,$AF$44=1),ТЕХ_Списки!AG$1,""),IF(AND(ТЕХ_Списки!AH43=1,$AG$44=1),ТЕХ_Списки!AH$1,""),IF(AND(ТЕХ_Списки!AI43=1,$AH$44=1),ТЕХ_Списки!AI$1,""),IF(AND(ТЕХ_Списки!AJ43=1,$AI$44=1),ТЕХ_Списки!AJ$1,""),IF(AND(ТЕХ_Списки!AK43=1,$AJ$44=1),ТЕХ_Списки!AK$1,""),IF(AND(ТЕХ_Списки!AL43=1,$AK$44=1),ТЕХ_Списки!AL$1,""),IF(AND(ТЕХ_Списки!AM43=1,$AL$44=1),ТЕХ_Списки!AM$1,""),IF(AND(ТЕХ_Списки!AN43=1,$AM$44=1),ТЕХ_Списки!AN$1,""),IF(AND(ТЕХ_Списки!AO43=1,$AN$44=1),ТЕХ_Списки!AO$1,""),IF(AND(ТЕХ_Списки!AP43=1,$AO$44=1),ТЕХ_Списки!AP$1,""),IF(AND(ТЕХ_Списки!AQ43=1,$AP$44=1),ТЕХ_Списки!AQ$1,""),IF(AND(ТЕХ_Списки!AR43=1,$AQ$44=1),ТЕХ_Списки!AR$1,""),IF(AND(ТЕХ_Списки!AS43=1,$AR$44=1),ТЕХ_Списки!AS$1,""),IF(AND(ТЕХ_Списки!AT43=1,$AS$44=1),ТЕХ_Списки!AT$1,""),IF(AND(ТЕХ_Списки!AU43=1,$AT$44=1),ТЕХ_Списки!AU$1,""),IF(AND(ТЕХ_Списки!AV43=1,$AU$44=1),ТЕХ_Списки!AV$1,""),IF(AND(ТЕХ_Списки!AW43=1,$AV$44=1),ТЕХ_Списки!AW$1,"")))</f>
        <v>#NAME?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>
      <c r="A92" s="4" t="s">
        <v>256</v>
      </c>
      <c r="B92" s="4" t="s">
        <v>260</v>
      </c>
      <c r="C92" s="4" t="s">
        <v>84</v>
      </c>
      <c r="D92" s="4" t="s">
        <v>679</v>
      </c>
      <c r="E92" s="4">
        <f t="shared" si="4"/>
        <v>0</v>
      </c>
      <c r="F92" s="4">
        <f>SUMPRODUCT(ТЕХ_Списки!E44:AW44,$D$44:$AV$44)</f>
        <v>5</v>
      </c>
      <c r="G92" s="4">
        <f>SUMPRODUCT(ТЕХ_Списки!E44:AW44,$D$44:$AV$44,$D$45:$AV$45)</f>
        <v>10</v>
      </c>
      <c r="H92" s="4">
        <f>IF(OR('РЕЙД-КОНСТРУКТОР'!$C$3="Любая",'РЕЙД-КОНСТРУКТОР'!$C$3=C92),1,0)</f>
        <v>1</v>
      </c>
      <c r="I92" s="4">
        <f t="shared" si="5"/>
        <v>1005</v>
      </c>
      <c r="J92" s="4" t="e">
        <f ca="1">IF(I92&lt;0,"",_xludf.RANK.EQ(I92,$I$50:$I$119,0)+COUNTIF($I$50:I92,I92)-1)</f>
        <v>#NAME?</v>
      </c>
      <c r="K92" s="4" t="e">
        <f ca="1">IF(F92=0,"—",_xludf.TEXTJOIN(", ",TRUE,IF(AND(ТЕХ_Списки!E44=1,$D$44=1),ТЕХ_Списки!E$1,""),IF(AND(ТЕХ_Списки!F44=1,$E$44=1),ТЕХ_Списки!F$1,""),IF(AND(ТЕХ_Списки!G44=1,$F$44=1),ТЕХ_Списки!G$1,""),IF(AND(ТЕХ_Списки!H44=1,$G$44=1),ТЕХ_Списки!H$1,""),IF(AND(ТЕХ_Списки!I44=1,$H$44=1),ТЕХ_Списки!I$1,""),IF(AND(ТЕХ_Списки!J44=1,$I$44=1),ТЕХ_Списки!J$1,""),IF(AND(ТЕХ_Списки!K44=1,$J$44=1),ТЕХ_Списки!K$1,""),IF(AND(ТЕХ_Списки!L44=1,$K$44=1),ТЕХ_Списки!L$1,""),IF(AND(ТЕХ_Списки!M44=1,$L$44=1),ТЕХ_Списки!M$1,""),IF(AND(ТЕХ_Списки!N44=1,$M$44=1),ТЕХ_Списки!N$1,""),IF(AND(ТЕХ_Списки!O44=1,$N$44=1),ТЕХ_Списки!O$1,""),IF(AND(ТЕХ_Списки!P44=1,$O$44=1),ТЕХ_Списки!P$1,""),IF(AND(ТЕХ_Списки!Q44=1,$P$44=1),ТЕХ_Списки!Q$1,""),IF(AND(ТЕХ_Списки!R44=1,$Q$44=1),ТЕХ_Списки!R$1,""),IF(AND(ТЕХ_Списки!S44=1,$R$44=1),ТЕХ_Списки!S$1,""),IF(AND(ТЕХ_Списки!T44=1,$S$44=1),ТЕХ_Списки!T$1,""),IF(AND(ТЕХ_Списки!U44=1,$T$44=1),ТЕХ_Списки!U$1,""),IF(AND(ТЕХ_Списки!V44=1,$U$44=1),ТЕХ_Списки!V$1,""),IF(AND(ТЕХ_Списки!W44=1,$V$44=1),ТЕХ_Списки!W$1,""),IF(AND(ТЕХ_Списки!X44=1,$W$44=1),ТЕХ_Списки!X$1,""),IF(AND(ТЕХ_Списки!Y44=1,$X$44=1),ТЕХ_Списки!Y$1,""),IF(AND(ТЕХ_Списки!Z44=1,$Y$44=1),ТЕХ_Списки!Z$1,""),IF(AND(ТЕХ_Списки!AA44=1,$Z$44=1),ТЕХ_Списки!AA$1,""),IF(AND(ТЕХ_Списки!AB44=1,$AA$44=1),ТЕХ_Списки!AB$1,""),IF(AND(ТЕХ_Списки!AC44=1,$AB$44=1),ТЕХ_Списки!AC$1,""),IF(AND(ТЕХ_Списки!AD44=1,$AC$44=1),ТЕХ_Списки!AD$1,""),IF(AND(ТЕХ_Списки!AE44=1,$AD$44=1),ТЕХ_Списки!AE$1,""),IF(AND(ТЕХ_Списки!AF44=1,$AE$44=1),ТЕХ_Списки!AF$1,""),IF(AND(ТЕХ_Списки!AG44=1,$AF$44=1),ТЕХ_Списки!AG$1,""),IF(AND(ТЕХ_Списки!AH44=1,$AG$44=1),ТЕХ_Списки!AH$1,""),IF(AND(ТЕХ_Списки!AI44=1,$AH$44=1),ТЕХ_Списки!AI$1,""),IF(AND(ТЕХ_Списки!AJ44=1,$AI$44=1),ТЕХ_Списки!AJ$1,""),IF(AND(ТЕХ_Списки!AK44=1,$AJ$44=1),ТЕХ_Списки!AK$1,""),IF(AND(ТЕХ_Списки!AL44=1,$AK$44=1),ТЕХ_Списки!AL$1,""),IF(AND(ТЕХ_Списки!AM44=1,$AL$44=1),ТЕХ_Списки!AM$1,""),IF(AND(ТЕХ_Списки!AN44=1,$AM$44=1),ТЕХ_Списки!AN$1,""),IF(AND(ТЕХ_Списки!AO44=1,$AN$44=1),ТЕХ_Списки!AO$1,""),IF(AND(ТЕХ_Списки!AP44=1,$AO$44=1),ТЕХ_Списки!AP$1,""),IF(AND(ТЕХ_Списки!AQ44=1,$AP$44=1),ТЕХ_Списки!AQ$1,""),IF(AND(ТЕХ_Списки!AR44=1,$AQ$44=1),ТЕХ_Списки!AR$1,""),IF(AND(ТЕХ_Списки!AS44=1,$AR$44=1),ТЕХ_Списки!AS$1,""),IF(AND(ТЕХ_Списки!AT44=1,$AS$44=1),ТЕХ_Списки!AT$1,""),IF(AND(ТЕХ_Списки!AU44=1,$AT$44=1),ТЕХ_Списки!AU$1,""),IF(AND(ТЕХ_Списки!AV44=1,$AU$44=1),ТЕХ_Списки!AV$1,""),IF(AND(ТЕХ_Списки!AW44=1,$AV$44=1),ТЕХ_Списки!AW$1,"")))</f>
        <v>#NAME?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>
      <c r="A93" s="4" t="s">
        <v>256</v>
      </c>
      <c r="B93" s="4" t="s">
        <v>262</v>
      </c>
      <c r="C93" s="4" t="s">
        <v>135</v>
      </c>
      <c r="D93" s="4" t="s">
        <v>680</v>
      </c>
      <c r="E93" s="4">
        <f t="shared" si="4"/>
        <v>0</v>
      </c>
      <c r="F93" s="4">
        <f>SUMPRODUCT(ТЕХ_Списки!E45:AW45,$D$44:$AV$44)</f>
        <v>6</v>
      </c>
      <c r="G93" s="4">
        <f>SUMPRODUCT(ТЕХ_Списки!E45:AW45,$D$44:$AV$44,$D$45:$AV$45)</f>
        <v>11</v>
      </c>
      <c r="H93" s="4">
        <f>IF(OR('РЕЙД-КОНСТРУКТОР'!$C$3="Любая",'РЕЙД-КОНСТРУКТОР'!$C$3=C93),1,0)</f>
        <v>1</v>
      </c>
      <c r="I93" s="4">
        <f t="shared" si="5"/>
        <v>1106</v>
      </c>
      <c r="J93" s="4" t="e">
        <f ca="1">IF(I93&lt;0,"",_xludf.RANK.EQ(I93,$I$50:$I$119,0)+COUNTIF($I$50:I93,I93)-1)</f>
        <v>#NAME?</v>
      </c>
      <c r="K93" s="4" t="e">
        <f ca="1">IF(F93=0,"—",_xludf.TEXTJOIN(", ",TRUE,IF(AND(ТЕХ_Списки!E45=1,$D$44=1),ТЕХ_Списки!E$1,""),IF(AND(ТЕХ_Списки!F45=1,$E$44=1),ТЕХ_Списки!F$1,""),IF(AND(ТЕХ_Списки!G45=1,$F$44=1),ТЕХ_Списки!G$1,""),IF(AND(ТЕХ_Списки!H45=1,$G$44=1),ТЕХ_Списки!H$1,""),IF(AND(ТЕХ_Списки!I45=1,$H$44=1),ТЕХ_Списки!I$1,""),IF(AND(ТЕХ_Списки!J45=1,$I$44=1),ТЕХ_Списки!J$1,""),IF(AND(ТЕХ_Списки!K45=1,$J$44=1),ТЕХ_Списки!K$1,""),IF(AND(ТЕХ_Списки!L45=1,$K$44=1),ТЕХ_Списки!L$1,""),IF(AND(ТЕХ_Списки!M45=1,$L$44=1),ТЕХ_Списки!M$1,""),IF(AND(ТЕХ_Списки!N45=1,$M$44=1),ТЕХ_Списки!N$1,""),IF(AND(ТЕХ_Списки!O45=1,$N$44=1),ТЕХ_Списки!O$1,""),IF(AND(ТЕХ_Списки!P45=1,$O$44=1),ТЕХ_Списки!P$1,""),IF(AND(ТЕХ_Списки!Q45=1,$P$44=1),ТЕХ_Списки!Q$1,""),IF(AND(ТЕХ_Списки!R45=1,$Q$44=1),ТЕХ_Списки!R$1,""),IF(AND(ТЕХ_Списки!S45=1,$R$44=1),ТЕХ_Списки!S$1,""),IF(AND(ТЕХ_Списки!T45=1,$S$44=1),ТЕХ_Списки!T$1,""),IF(AND(ТЕХ_Списки!U45=1,$T$44=1),ТЕХ_Списки!U$1,""),IF(AND(ТЕХ_Списки!V45=1,$U$44=1),ТЕХ_Списки!V$1,""),IF(AND(ТЕХ_Списки!W45=1,$V$44=1),ТЕХ_Списки!W$1,""),IF(AND(ТЕХ_Списки!X45=1,$W$44=1),ТЕХ_Списки!X$1,""),IF(AND(ТЕХ_Списки!Y45=1,$X$44=1),ТЕХ_Списки!Y$1,""),IF(AND(ТЕХ_Списки!Z45=1,$Y$44=1),ТЕХ_Списки!Z$1,""),IF(AND(ТЕХ_Списки!AA45=1,$Z$44=1),ТЕХ_Списки!AA$1,""),IF(AND(ТЕХ_Списки!AB45=1,$AA$44=1),ТЕХ_Списки!AB$1,""),IF(AND(ТЕХ_Списки!AC45=1,$AB$44=1),ТЕХ_Списки!AC$1,""),IF(AND(ТЕХ_Списки!AD45=1,$AC$44=1),ТЕХ_Списки!AD$1,""),IF(AND(ТЕХ_Списки!AE45=1,$AD$44=1),ТЕХ_Списки!AE$1,""),IF(AND(ТЕХ_Списки!AF45=1,$AE$44=1),ТЕХ_Списки!AF$1,""),IF(AND(ТЕХ_Списки!AG45=1,$AF$44=1),ТЕХ_Списки!AG$1,""),IF(AND(ТЕХ_Списки!AH45=1,$AG$44=1),ТЕХ_Списки!AH$1,""),IF(AND(ТЕХ_Списки!AI45=1,$AH$44=1),ТЕХ_Списки!AI$1,""),IF(AND(ТЕХ_Списки!AJ45=1,$AI$44=1),ТЕХ_Списки!AJ$1,""),IF(AND(ТЕХ_Списки!AK45=1,$AJ$44=1),ТЕХ_Списки!AK$1,""),IF(AND(ТЕХ_Списки!AL45=1,$AK$44=1),ТЕХ_Списки!AL$1,""),IF(AND(ТЕХ_Списки!AM45=1,$AL$44=1),ТЕХ_Списки!AM$1,""),IF(AND(ТЕХ_Списки!AN45=1,$AM$44=1),ТЕХ_Списки!AN$1,""),IF(AND(ТЕХ_Списки!AO45=1,$AN$44=1),ТЕХ_Списки!AO$1,""),IF(AND(ТЕХ_Списки!AP45=1,$AO$44=1),ТЕХ_Списки!AP$1,""),IF(AND(ТЕХ_Списки!AQ45=1,$AP$44=1),ТЕХ_Списки!AQ$1,""),IF(AND(ТЕХ_Списки!AR45=1,$AQ$44=1),ТЕХ_Списки!AR$1,""),IF(AND(ТЕХ_Списки!AS45=1,$AR$44=1),ТЕХ_Списки!AS$1,""),IF(AND(ТЕХ_Списки!AT45=1,$AS$44=1),ТЕХ_Списки!AT$1,""),IF(AND(ТЕХ_Списки!AU45=1,$AT$44=1),ТЕХ_Списки!AU$1,""),IF(AND(ТЕХ_Списки!AV45=1,$AU$44=1),ТЕХ_Списки!AV$1,""),IF(AND(ТЕХ_Списки!AW45=1,$AV$44=1),ТЕХ_Списки!AW$1,"")))</f>
        <v>#NAME?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>
      <c r="A94" s="4" t="s">
        <v>256</v>
      </c>
      <c r="B94" s="4" t="s">
        <v>264</v>
      </c>
      <c r="C94" s="4" t="s">
        <v>78</v>
      </c>
      <c r="D94" s="4" t="s">
        <v>681</v>
      </c>
      <c r="E94" s="4">
        <f t="shared" si="4"/>
        <v>0</v>
      </c>
      <c r="F94" s="4">
        <f>SUMPRODUCT(ТЕХ_Списки!E46:AW46,$D$44:$AV$44)</f>
        <v>7</v>
      </c>
      <c r="G94" s="4">
        <f>SUMPRODUCT(ТЕХ_Списки!E46:AW46,$D$44:$AV$44,$D$45:$AV$45)</f>
        <v>12</v>
      </c>
      <c r="H94" s="4">
        <f>IF(OR('РЕЙД-КОНСТРУКТОР'!$C$3="Любая",'РЕЙД-КОНСТРУКТОР'!$C$3=C94),1,0)</f>
        <v>1</v>
      </c>
      <c r="I94" s="4">
        <f t="shared" si="5"/>
        <v>1207</v>
      </c>
      <c r="J94" s="4" t="e">
        <f ca="1">IF(I94&lt;0,"",_xludf.RANK.EQ(I94,$I$50:$I$119,0)+COUNTIF($I$50:I94,I94)-1)</f>
        <v>#NAME?</v>
      </c>
      <c r="K94" s="4" t="e">
        <f ca="1">IF(F94=0,"—",_xludf.TEXTJOIN(", ",TRUE,IF(AND(ТЕХ_Списки!E46=1,$D$44=1),ТЕХ_Списки!E$1,""),IF(AND(ТЕХ_Списки!F46=1,$E$44=1),ТЕХ_Списки!F$1,""),IF(AND(ТЕХ_Списки!G46=1,$F$44=1),ТЕХ_Списки!G$1,""),IF(AND(ТЕХ_Списки!H46=1,$G$44=1),ТЕХ_Списки!H$1,""),IF(AND(ТЕХ_Списки!I46=1,$H$44=1),ТЕХ_Списки!I$1,""),IF(AND(ТЕХ_Списки!J46=1,$I$44=1),ТЕХ_Списки!J$1,""),IF(AND(ТЕХ_Списки!K46=1,$J$44=1),ТЕХ_Списки!K$1,""),IF(AND(ТЕХ_Списки!L46=1,$K$44=1),ТЕХ_Списки!L$1,""),IF(AND(ТЕХ_Списки!M46=1,$L$44=1),ТЕХ_Списки!M$1,""),IF(AND(ТЕХ_Списки!N46=1,$M$44=1),ТЕХ_Списки!N$1,""),IF(AND(ТЕХ_Списки!O46=1,$N$44=1),ТЕХ_Списки!O$1,""),IF(AND(ТЕХ_Списки!P46=1,$O$44=1),ТЕХ_Списки!P$1,""),IF(AND(ТЕХ_Списки!Q46=1,$P$44=1),ТЕХ_Списки!Q$1,""),IF(AND(ТЕХ_Списки!R46=1,$Q$44=1),ТЕХ_Списки!R$1,""),IF(AND(ТЕХ_Списки!S46=1,$R$44=1),ТЕХ_Списки!S$1,""),IF(AND(ТЕХ_Списки!T46=1,$S$44=1),ТЕХ_Списки!T$1,""),IF(AND(ТЕХ_Списки!U46=1,$T$44=1),ТЕХ_Списки!U$1,""),IF(AND(ТЕХ_Списки!V46=1,$U$44=1),ТЕХ_Списки!V$1,""),IF(AND(ТЕХ_Списки!W46=1,$V$44=1),ТЕХ_Списки!W$1,""),IF(AND(ТЕХ_Списки!X46=1,$W$44=1),ТЕХ_Списки!X$1,""),IF(AND(ТЕХ_Списки!Y46=1,$X$44=1),ТЕХ_Списки!Y$1,""),IF(AND(ТЕХ_Списки!Z46=1,$Y$44=1),ТЕХ_Списки!Z$1,""),IF(AND(ТЕХ_Списки!AA46=1,$Z$44=1),ТЕХ_Списки!AA$1,""),IF(AND(ТЕХ_Списки!AB46=1,$AA$44=1),ТЕХ_Списки!AB$1,""),IF(AND(ТЕХ_Списки!AC46=1,$AB$44=1),ТЕХ_Списки!AC$1,""),IF(AND(ТЕХ_Списки!AD46=1,$AC$44=1),ТЕХ_Списки!AD$1,""),IF(AND(ТЕХ_Списки!AE46=1,$AD$44=1),ТЕХ_Списки!AE$1,""),IF(AND(ТЕХ_Списки!AF46=1,$AE$44=1),ТЕХ_Списки!AF$1,""),IF(AND(ТЕХ_Списки!AG46=1,$AF$44=1),ТЕХ_Списки!AG$1,""),IF(AND(ТЕХ_Списки!AH46=1,$AG$44=1),ТЕХ_Списки!AH$1,""),IF(AND(ТЕХ_Списки!AI46=1,$AH$44=1),ТЕХ_Списки!AI$1,""),IF(AND(ТЕХ_Списки!AJ46=1,$AI$44=1),ТЕХ_Списки!AJ$1,""),IF(AND(ТЕХ_Списки!AK46=1,$AJ$44=1),ТЕХ_Списки!AK$1,""),IF(AND(ТЕХ_Списки!AL46=1,$AK$44=1),ТЕХ_Списки!AL$1,""),IF(AND(ТЕХ_Списки!AM46=1,$AL$44=1),ТЕХ_Списки!AM$1,""),IF(AND(ТЕХ_Списки!AN46=1,$AM$44=1),ТЕХ_Списки!AN$1,""),IF(AND(ТЕХ_Списки!AO46=1,$AN$44=1),ТЕХ_Списки!AO$1,""),IF(AND(ТЕХ_Списки!AP46=1,$AO$44=1),ТЕХ_Списки!AP$1,""),IF(AND(ТЕХ_Списки!AQ46=1,$AP$44=1),ТЕХ_Списки!AQ$1,""),IF(AND(ТЕХ_Списки!AR46=1,$AQ$44=1),ТЕХ_Списки!AR$1,""),IF(AND(ТЕХ_Списки!AS46=1,$AR$44=1),ТЕХ_Списки!AS$1,""),IF(AND(ТЕХ_Списки!AT46=1,$AS$44=1),ТЕХ_Списки!AT$1,""),IF(AND(ТЕХ_Списки!AU46=1,$AT$44=1),ТЕХ_Списки!AU$1,""),IF(AND(ТЕХ_Списки!AV46=1,$AU$44=1),ТЕХ_Списки!AV$1,""),IF(AND(ТЕХ_Списки!AW46=1,$AV$44=1),ТЕХ_Списки!AW$1,"")))</f>
        <v>#NAME?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>
      <c r="A95" s="4" t="s">
        <v>267</v>
      </c>
      <c r="B95" s="4" t="s">
        <v>268</v>
      </c>
      <c r="C95" s="4" t="s">
        <v>81</v>
      </c>
      <c r="D95" s="4" t="s">
        <v>682</v>
      </c>
      <c r="E95" s="4">
        <f t="shared" si="4"/>
        <v>0</v>
      </c>
      <c r="F95" s="4">
        <f>SUMPRODUCT(ТЕХ_Списки!E47:AW47,$D$44:$AV$44)</f>
        <v>7</v>
      </c>
      <c r="G95" s="4">
        <f>SUMPRODUCT(ТЕХ_Списки!E47:AW47,$D$44:$AV$44,$D$45:$AV$45)</f>
        <v>11</v>
      </c>
      <c r="H95" s="4">
        <f>IF(OR('РЕЙД-КОНСТРУКТОР'!$C$3="Любая",'РЕЙД-КОНСТРУКТОР'!$C$3=C95),1,0)</f>
        <v>1</v>
      </c>
      <c r="I95" s="4">
        <f t="shared" si="5"/>
        <v>1107</v>
      </c>
      <c r="J95" s="4" t="e">
        <f ca="1">IF(I95&lt;0,"",_xludf.RANK.EQ(I95,$I$50:$I$119,0)+COUNTIF($I$50:I95,I95)-1)</f>
        <v>#NAME?</v>
      </c>
      <c r="K95" s="4" t="e">
        <f ca="1">IF(F95=0,"—",_xludf.TEXTJOIN(", ",TRUE,IF(AND(ТЕХ_Списки!E47=1,$D$44=1),ТЕХ_Списки!E$1,""),IF(AND(ТЕХ_Списки!F47=1,$E$44=1),ТЕХ_Списки!F$1,""),IF(AND(ТЕХ_Списки!G47=1,$F$44=1),ТЕХ_Списки!G$1,""),IF(AND(ТЕХ_Списки!H47=1,$G$44=1),ТЕХ_Списки!H$1,""),IF(AND(ТЕХ_Списки!I47=1,$H$44=1),ТЕХ_Списки!I$1,""),IF(AND(ТЕХ_Списки!J47=1,$I$44=1),ТЕХ_Списки!J$1,""),IF(AND(ТЕХ_Списки!K47=1,$J$44=1),ТЕХ_Списки!K$1,""),IF(AND(ТЕХ_Списки!L47=1,$K$44=1),ТЕХ_Списки!L$1,""),IF(AND(ТЕХ_Списки!M47=1,$L$44=1),ТЕХ_Списки!M$1,""),IF(AND(ТЕХ_Списки!N47=1,$M$44=1),ТЕХ_Списки!N$1,""),IF(AND(ТЕХ_Списки!O47=1,$N$44=1),ТЕХ_Списки!O$1,""),IF(AND(ТЕХ_Списки!P47=1,$O$44=1),ТЕХ_Списки!P$1,""),IF(AND(ТЕХ_Списки!Q47=1,$P$44=1),ТЕХ_Списки!Q$1,""),IF(AND(ТЕХ_Списки!R47=1,$Q$44=1),ТЕХ_Списки!R$1,""),IF(AND(ТЕХ_Списки!S47=1,$R$44=1),ТЕХ_Списки!S$1,""),IF(AND(ТЕХ_Списки!T47=1,$S$44=1),ТЕХ_Списки!T$1,""),IF(AND(ТЕХ_Списки!U47=1,$T$44=1),ТЕХ_Списки!U$1,""),IF(AND(ТЕХ_Списки!V47=1,$U$44=1),ТЕХ_Списки!V$1,""),IF(AND(ТЕХ_Списки!W47=1,$V$44=1),ТЕХ_Списки!W$1,""),IF(AND(ТЕХ_Списки!X47=1,$W$44=1),ТЕХ_Списки!X$1,""),IF(AND(ТЕХ_Списки!Y47=1,$X$44=1),ТЕХ_Списки!Y$1,""),IF(AND(ТЕХ_Списки!Z47=1,$Y$44=1),ТЕХ_Списки!Z$1,""),IF(AND(ТЕХ_Списки!AA47=1,$Z$44=1),ТЕХ_Списки!AA$1,""),IF(AND(ТЕХ_Списки!AB47=1,$AA$44=1),ТЕХ_Списки!AB$1,""),IF(AND(ТЕХ_Списки!AC47=1,$AB$44=1),ТЕХ_Списки!AC$1,""),IF(AND(ТЕХ_Списки!AD47=1,$AC$44=1),ТЕХ_Списки!AD$1,""),IF(AND(ТЕХ_Списки!AE47=1,$AD$44=1),ТЕХ_Списки!AE$1,""),IF(AND(ТЕХ_Списки!AF47=1,$AE$44=1),ТЕХ_Списки!AF$1,""),IF(AND(ТЕХ_Списки!AG47=1,$AF$44=1),ТЕХ_Списки!AG$1,""),IF(AND(ТЕХ_Списки!AH47=1,$AG$44=1),ТЕХ_Списки!AH$1,""),IF(AND(ТЕХ_Списки!AI47=1,$AH$44=1),ТЕХ_Списки!AI$1,""),IF(AND(ТЕХ_Списки!AJ47=1,$AI$44=1),ТЕХ_Списки!AJ$1,""),IF(AND(ТЕХ_Списки!AK47=1,$AJ$44=1),ТЕХ_Списки!AK$1,""),IF(AND(ТЕХ_Списки!AL47=1,$AK$44=1),ТЕХ_Списки!AL$1,""),IF(AND(ТЕХ_Списки!AM47=1,$AL$44=1),ТЕХ_Списки!AM$1,""),IF(AND(ТЕХ_Списки!AN47=1,$AM$44=1),ТЕХ_Списки!AN$1,""),IF(AND(ТЕХ_Списки!AO47=1,$AN$44=1),ТЕХ_Списки!AO$1,""),IF(AND(ТЕХ_Списки!AP47=1,$AO$44=1),ТЕХ_Списки!AP$1,""),IF(AND(ТЕХ_Списки!AQ47=1,$AP$44=1),ТЕХ_Списки!AQ$1,""),IF(AND(ТЕХ_Списки!AR47=1,$AQ$44=1),ТЕХ_Списки!AR$1,""),IF(AND(ТЕХ_Списки!AS47=1,$AR$44=1),ТЕХ_Списки!AS$1,""),IF(AND(ТЕХ_Списки!AT47=1,$AS$44=1),ТЕХ_Списки!AT$1,""),IF(AND(ТЕХ_Списки!AU47=1,$AT$44=1),ТЕХ_Списки!AU$1,""),IF(AND(ТЕХ_Списки!AV47=1,$AU$44=1),ТЕХ_Списки!AV$1,""),IF(AND(ТЕХ_Списки!AW47=1,$AV$44=1),ТЕХ_Списки!AW$1,"")))</f>
        <v>#NAME?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>
      <c r="A96" s="4" t="s">
        <v>267</v>
      </c>
      <c r="B96" s="4" t="s">
        <v>270</v>
      </c>
      <c r="C96" s="4" t="s">
        <v>139</v>
      </c>
      <c r="D96" s="4" t="s">
        <v>683</v>
      </c>
      <c r="E96" s="4">
        <f t="shared" si="4"/>
        <v>0</v>
      </c>
      <c r="F96" s="4">
        <f>SUMPRODUCT(ТЕХ_Списки!E48:AW48,$D$44:$AV$44)</f>
        <v>8</v>
      </c>
      <c r="G96" s="4">
        <f>SUMPRODUCT(ТЕХ_Списки!E48:AW48,$D$44:$AV$44,$D$45:$AV$45)</f>
        <v>14</v>
      </c>
      <c r="H96" s="4">
        <f>IF(OR('РЕЙД-КОНСТРУКТОР'!$C$3="Любая",'РЕЙД-КОНСТРУКТОР'!$C$3=C96),1,0)</f>
        <v>1</v>
      </c>
      <c r="I96" s="4">
        <f t="shared" si="5"/>
        <v>1408</v>
      </c>
      <c r="J96" s="4" t="e">
        <f ca="1">IF(I96&lt;0,"",_xludf.RANK.EQ(I96,$I$50:$I$119,0)+COUNTIF($I$50:I96,I96)-1)</f>
        <v>#NAME?</v>
      </c>
      <c r="K96" s="4" t="e">
        <f ca="1">IF(F96=0,"—",_xludf.TEXTJOIN(", ",TRUE,IF(AND(ТЕХ_Списки!E48=1,$D$44=1),ТЕХ_Списки!E$1,""),IF(AND(ТЕХ_Списки!F48=1,$E$44=1),ТЕХ_Списки!F$1,""),IF(AND(ТЕХ_Списки!G48=1,$F$44=1),ТЕХ_Списки!G$1,""),IF(AND(ТЕХ_Списки!H48=1,$G$44=1),ТЕХ_Списки!H$1,""),IF(AND(ТЕХ_Списки!I48=1,$H$44=1),ТЕХ_Списки!I$1,""),IF(AND(ТЕХ_Списки!J48=1,$I$44=1),ТЕХ_Списки!J$1,""),IF(AND(ТЕХ_Списки!K48=1,$J$44=1),ТЕХ_Списки!K$1,""),IF(AND(ТЕХ_Списки!L48=1,$K$44=1),ТЕХ_Списки!L$1,""),IF(AND(ТЕХ_Списки!M48=1,$L$44=1),ТЕХ_Списки!M$1,""),IF(AND(ТЕХ_Списки!N48=1,$M$44=1),ТЕХ_Списки!N$1,""),IF(AND(ТЕХ_Списки!O48=1,$N$44=1),ТЕХ_Списки!O$1,""),IF(AND(ТЕХ_Списки!P48=1,$O$44=1),ТЕХ_Списки!P$1,""),IF(AND(ТЕХ_Списки!Q48=1,$P$44=1),ТЕХ_Списки!Q$1,""),IF(AND(ТЕХ_Списки!R48=1,$Q$44=1),ТЕХ_Списки!R$1,""),IF(AND(ТЕХ_Списки!S48=1,$R$44=1),ТЕХ_Списки!S$1,""),IF(AND(ТЕХ_Списки!T48=1,$S$44=1),ТЕХ_Списки!T$1,""),IF(AND(ТЕХ_Списки!U48=1,$T$44=1),ТЕХ_Списки!U$1,""),IF(AND(ТЕХ_Списки!V48=1,$U$44=1),ТЕХ_Списки!V$1,""),IF(AND(ТЕХ_Списки!W48=1,$V$44=1),ТЕХ_Списки!W$1,""),IF(AND(ТЕХ_Списки!X48=1,$W$44=1),ТЕХ_Списки!X$1,""),IF(AND(ТЕХ_Списки!Y48=1,$X$44=1),ТЕХ_Списки!Y$1,""),IF(AND(ТЕХ_Списки!Z48=1,$Y$44=1),ТЕХ_Списки!Z$1,""),IF(AND(ТЕХ_Списки!AA48=1,$Z$44=1),ТЕХ_Списки!AA$1,""),IF(AND(ТЕХ_Списки!AB48=1,$AA$44=1),ТЕХ_Списки!AB$1,""),IF(AND(ТЕХ_Списки!AC48=1,$AB$44=1),ТЕХ_Списки!AC$1,""),IF(AND(ТЕХ_Списки!AD48=1,$AC$44=1),ТЕХ_Списки!AD$1,""),IF(AND(ТЕХ_Списки!AE48=1,$AD$44=1),ТЕХ_Списки!AE$1,""),IF(AND(ТЕХ_Списки!AF48=1,$AE$44=1),ТЕХ_Списки!AF$1,""),IF(AND(ТЕХ_Списки!AG48=1,$AF$44=1),ТЕХ_Списки!AG$1,""),IF(AND(ТЕХ_Списки!AH48=1,$AG$44=1),ТЕХ_Списки!AH$1,""),IF(AND(ТЕХ_Списки!AI48=1,$AH$44=1),ТЕХ_Списки!AI$1,""),IF(AND(ТЕХ_Списки!AJ48=1,$AI$44=1),ТЕХ_Списки!AJ$1,""),IF(AND(ТЕХ_Списки!AK48=1,$AJ$44=1),ТЕХ_Списки!AK$1,""),IF(AND(ТЕХ_Списки!AL48=1,$AK$44=1),ТЕХ_Списки!AL$1,""),IF(AND(ТЕХ_Списки!AM48=1,$AL$44=1),ТЕХ_Списки!AM$1,""),IF(AND(ТЕХ_Списки!AN48=1,$AM$44=1),ТЕХ_Списки!AN$1,""),IF(AND(ТЕХ_Списки!AO48=1,$AN$44=1),ТЕХ_Списки!AO$1,""),IF(AND(ТЕХ_Списки!AP48=1,$AO$44=1),ТЕХ_Списки!AP$1,""),IF(AND(ТЕХ_Списки!AQ48=1,$AP$44=1),ТЕХ_Списки!AQ$1,""),IF(AND(ТЕХ_Списки!AR48=1,$AQ$44=1),ТЕХ_Списки!AR$1,""),IF(AND(ТЕХ_Списки!AS48=1,$AR$44=1),ТЕХ_Списки!AS$1,""),IF(AND(ТЕХ_Списки!AT48=1,$AS$44=1),ТЕХ_Списки!AT$1,""),IF(AND(ТЕХ_Списки!AU48=1,$AT$44=1),ТЕХ_Списки!AU$1,""),IF(AND(ТЕХ_Списки!AV48=1,$AU$44=1),ТЕХ_Списки!AV$1,""),IF(AND(ТЕХ_Списки!AW48=1,$AV$44=1),ТЕХ_Списки!AW$1,"")))</f>
        <v>#NAME?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>
      <c r="A97" s="4" t="s">
        <v>267</v>
      </c>
      <c r="B97" s="4" t="s">
        <v>273</v>
      </c>
      <c r="C97" s="4" t="s">
        <v>139</v>
      </c>
      <c r="D97" s="4" t="s">
        <v>684</v>
      </c>
      <c r="E97" s="4">
        <f t="shared" si="4"/>
        <v>0</v>
      </c>
      <c r="F97" s="4">
        <f>SUMPRODUCT(ТЕХ_Списки!E49:AW49,$D$44:$AV$44)</f>
        <v>8</v>
      </c>
      <c r="G97" s="4">
        <f>SUMPRODUCT(ТЕХ_Списки!E49:AW49,$D$44:$AV$44,$D$45:$AV$45)</f>
        <v>14</v>
      </c>
      <c r="H97" s="4">
        <f>IF(OR('РЕЙД-КОНСТРУКТОР'!$C$3="Любая",'РЕЙД-КОНСТРУКТОР'!$C$3=C97),1,0)</f>
        <v>1</v>
      </c>
      <c r="I97" s="4">
        <f t="shared" si="5"/>
        <v>1408</v>
      </c>
      <c r="J97" s="4" t="e">
        <f ca="1">IF(I97&lt;0,"",_xludf.RANK.EQ(I97,$I$50:$I$119,0)+COUNTIF($I$50:I97,I97)-1)</f>
        <v>#NAME?</v>
      </c>
      <c r="K97" s="4" t="e">
        <f ca="1">IF(F97=0,"—",_xludf.TEXTJOIN(", ",TRUE,IF(AND(ТЕХ_Списки!E49=1,$D$44=1),ТЕХ_Списки!E$1,""),IF(AND(ТЕХ_Списки!F49=1,$E$44=1),ТЕХ_Списки!F$1,""),IF(AND(ТЕХ_Списки!G49=1,$F$44=1),ТЕХ_Списки!G$1,""),IF(AND(ТЕХ_Списки!H49=1,$G$44=1),ТЕХ_Списки!H$1,""),IF(AND(ТЕХ_Списки!I49=1,$H$44=1),ТЕХ_Списки!I$1,""),IF(AND(ТЕХ_Списки!J49=1,$I$44=1),ТЕХ_Списки!J$1,""),IF(AND(ТЕХ_Списки!K49=1,$J$44=1),ТЕХ_Списки!K$1,""),IF(AND(ТЕХ_Списки!L49=1,$K$44=1),ТЕХ_Списки!L$1,""),IF(AND(ТЕХ_Списки!M49=1,$L$44=1),ТЕХ_Списки!M$1,""),IF(AND(ТЕХ_Списки!N49=1,$M$44=1),ТЕХ_Списки!N$1,""),IF(AND(ТЕХ_Списки!O49=1,$N$44=1),ТЕХ_Списки!O$1,""),IF(AND(ТЕХ_Списки!P49=1,$O$44=1),ТЕХ_Списки!P$1,""),IF(AND(ТЕХ_Списки!Q49=1,$P$44=1),ТЕХ_Списки!Q$1,""),IF(AND(ТЕХ_Списки!R49=1,$Q$44=1),ТЕХ_Списки!R$1,""),IF(AND(ТЕХ_Списки!S49=1,$R$44=1),ТЕХ_Списки!S$1,""),IF(AND(ТЕХ_Списки!T49=1,$S$44=1),ТЕХ_Списки!T$1,""),IF(AND(ТЕХ_Списки!U49=1,$T$44=1),ТЕХ_Списки!U$1,""),IF(AND(ТЕХ_Списки!V49=1,$U$44=1),ТЕХ_Списки!V$1,""),IF(AND(ТЕХ_Списки!W49=1,$V$44=1),ТЕХ_Списки!W$1,""),IF(AND(ТЕХ_Списки!X49=1,$W$44=1),ТЕХ_Списки!X$1,""),IF(AND(ТЕХ_Списки!Y49=1,$X$44=1),ТЕХ_Списки!Y$1,""),IF(AND(ТЕХ_Списки!Z49=1,$Y$44=1),ТЕХ_Списки!Z$1,""),IF(AND(ТЕХ_Списки!AA49=1,$Z$44=1),ТЕХ_Списки!AA$1,""),IF(AND(ТЕХ_Списки!AB49=1,$AA$44=1),ТЕХ_Списки!AB$1,""),IF(AND(ТЕХ_Списки!AC49=1,$AB$44=1),ТЕХ_Списки!AC$1,""),IF(AND(ТЕХ_Списки!AD49=1,$AC$44=1),ТЕХ_Списки!AD$1,""),IF(AND(ТЕХ_Списки!AE49=1,$AD$44=1),ТЕХ_Списки!AE$1,""),IF(AND(ТЕХ_Списки!AF49=1,$AE$44=1),ТЕХ_Списки!AF$1,""),IF(AND(ТЕХ_Списки!AG49=1,$AF$44=1),ТЕХ_Списки!AG$1,""),IF(AND(ТЕХ_Списки!AH49=1,$AG$44=1),ТЕХ_Списки!AH$1,""),IF(AND(ТЕХ_Списки!AI49=1,$AH$44=1),ТЕХ_Списки!AI$1,""),IF(AND(ТЕХ_Списки!AJ49=1,$AI$44=1),ТЕХ_Списки!AJ$1,""),IF(AND(ТЕХ_Списки!AK49=1,$AJ$44=1),ТЕХ_Списки!AK$1,""),IF(AND(ТЕХ_Списки!AL49=1,$AK$44=1),ТЕХ_Списки!AL$1,""),IF(AND(ТЕХ_Списки!AM49=1,$AL$44=1),ТЕХ_Списки!AM$1,""),IF(AND(ТЕХ_Списки!AN49=1,$AM$44=1),ТЕХ_Списки!AN$1,""),IF(AND(ТЕХ_Списки!AO49=1,$AN$44=1),ТЕХ_Списки!AO$1,""),IF(AND(ТЕХ_Списки!AP49=1,$AO$44=1),ТЕХ_Списки!AP$1,""),IF(AND(ТЕХ_Списки!AQ49=1,$AP$44=1),ТЕХ_Списки!AQ$1,""),IF(AND(ТЕХ_Списки!AR49=1,$AQ$44=1),ТЕХ_Списки!AR$1,""),IF(AND(ТЕХ_Списки!AS49=1,$AR$44=1),ТЕХ_Списки!AS$1,""),IF(AND(ТЕХ_Списки!AT49=1,$AS$44=1),ТЕХ_Списки!AT$1,""),IF(AND(ТЕХ_Списки!AU49=1,$AT$44=1),ТЕХ_Списки!AU$1,""),IF(AND(ТЕХ_Списки!AV49=1,$AU$44=1),ТЕХ_Списки!AV$1,""),IF(AND(ТЕХ_Списки!AW49=1,$AV$44=1),ТЕХ_Списки!AW$1,"")))</f>
        <v>#NAME?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>
      <c r="A98" s="4" t="s">
        <v>276</v>
      </c>
      <c r="B98" s="4" t="s">
        <v>277</v>
      </c>
      <c r="C98" s="4" t="s">
        <v>135</v>
      </c>
      <c r="D98" s="4" t="s">
        <v>685</v>
      </c>
      <c r="E98" s="4">
        <f t="shared" si="4"/>
        <v>0</v>
      </c>
      <c r="F98" s="4">
        <f>SUMPRODUCT(ТЕХ_Списки!E50:AW50,$D$44:$AV$44)</f>
        <v>6</v>
      </c>
      <c r="G98" s="4">
        <f>SUMPRODUCT(ТЕХ_Списки!E50:AW50,$D$44:$AV$44,$D$45:$AV$45)</f>
        <v>10</v>
      </c>
      <c r="H98" s="4">
        <f>IF(OR('РЕЙД-КОНСТРУКТОР'!$C$3="Любая",'РЕЙД-КОНСТРУКТОР'!$C$3=C98),1,0)</f>
        <v>1</v>
      </c>
      <c r="I98" s="4">
        <f t="shared" si="5"/>
        <v>1006</v>
      </c>
      <c r="J98" s="4" t="e">
        <f ca="1">IF(I98&lt;0,"",_xludf.RANK.EQ(I98,$I$50:$I$119,0)+COUNTIF($I$50:I98,I98)-1)</f>
        <v>#NAME?</v>
      </c>
      <c r="K98" s="4" t="e">
        <f ca="1">IF(F98=0,"—",_xludf.TEXTJOIN(", ",TRUE,IF(AND(ТЕХ_Списки!E50=1,$D$44=1),ТЕХ_Списки!E$1,""),IF(AND(ТЕХ_Списки!F50=1,$E$44=1),ТЕХ_Списки!F$1,""),IF(AND(ТЕХ_Списки!G50=1,$F$44=1),ТЕХ_Списки!G$1,""),IF(AND(ТЕХ_Списки!H50=1,$G$44=1),ТЕХ_Списки!H$1,""),IF(AND(ТЕХ_Списки!I50=1,$H$44=1),ТЕХ_Списки!I$1,""),IF(AND(ТЕХ_Списки!J50=1,$I$44=1),ТЕХ_Списки!J$1,""),IF(AND(ТЕХ_Списки!K50=1,$J$44=1),ТЕХ_Списки!K$1,""),IF(AND(ТЕХ_Списки!L50=1,$K$44=1),ТЕХ_Списки!L$1,""),IF(AND(ТЕХ_Списки!M50=1,$L$44=1),ТЕХ_Списки!M$1,""),IF(AND(ТЕХ_Списки!N50=1,$M$44=1),ТЕХ_Списки!N$1,""),IF(AND(ТЕХ_Списки!O50=1,$N$44=1),ТЕХ_Списки!O$1,""),IF(AND(ТЕХ_Списки!P50=1,$O$44=1),ТЕХ_Списки!P$1,""),IF(AND(ТЕХ_Списки!Q50=1,$P$44=1),ТЕХ_Списки!Q$1,""),IF(AND(ТЕХ_Списки!R50=1,$Q$44=1),ТЕХ_Списки!R$1,""),IF(AND(ТЕХ_Списки!S50=1,$R$44=1),ТЕХ_Списки!S$1,""),IF(AND(ТЕХ_Списки!T50=1,$S$44=1),ТЕХ_Списки!T$1,""),IF(AND(ТЕХ_Списки!U50=1,$T$44=1),ТЕХ_Списки!U$1,""),IF(AND(ТЕХ_Списки!V50=1,$U$44=1),ТЕХ_Списки!V$1,""),IF(AND(ТЕХ_Списки!W50=1,$V$44=1),ТЕХ_Списки!W$1,""),IF(AND(ТЕХ_Списки!X50=1,$W$44=1),ТЕХ_Списки!X$1,""),IF(AND(ТЕХ_Списки!Y50=1,$X$44=1),ТЕХ_Списки!Y$1,""),IF(AND(ТЕХ_Списки!Z50=1,$Y$44=1),ТЕХ_Списки!Z$1,""),IF(AND(ТЕХ_Списки!AA50=1,$Z$44=1),ТЕХ_Списки!AA$1,""),IF(AND(ТЕХ_Списки!AB50=1,$AA$44=1),ТЕХ_Списки!AB$1,""),IF(AND(ТЕХ_Списки!AC50=1,$AB$44=1),ТЕХ_Списки!AC$1,""),IF(AND(ТЕХ_Списки!AD50=1,$AC$44=1),ТЕХ_Списки!AD$1,""),IF(AND(ТЕХ_Списки!AE50=1,$AD$44=1),ТЕХ_Списки!AE$1,""),IF(AND(ТЕХ_Списки!AF50=1,$AE$44=1),ТЕХ_Списки!AF$1,""),IF(AND(ТЕХ_Списки!AG50=1,$AF$44=1),ТЕХ_Списки!AG$1,""),IF(AND(ТЕХ_Списки!AH50=1,$AG$44=1),ТЕХ_Списки!AH$1,""),IF(AND(ТЕХ_Списки!AI50=1,$AH$44=1),ТЕХ_Списки!AI$1,""),IF(AND(ТЕХ_Списки!AJ50=1,$AI$44=1),ТЕХ_Списки!AJ$1,""),IF(AND(ТЕХ_Списки!AK50=1,$AJ$44=1),ТЕХ_Списки!AK$1,""),IF(AND(ТЕХ_Списки!AL50=1,$AK$44=1),ТЕХ_Списки!AL$1,""),IF(AND(ТЕХ_Списки!AM50=1,$AL$44=1),ТЕХ_Списки!AM$1,""),IF(AND(ТЕХ_Списки!AN50=1,$AM$44=1),ТЕХ_Списки!AN$1,""),IF(AND(ТЕХ_Списки!AO50=1,$AN$44=1),ТЕХ_Списки!AO$1,""),IF(AND(ТЕХ_Списки!AP50=1,$AO$44=1),ТЕХ_Списки!AP$1,""),IF(AND(ТЕХ_Списки!AQ50=1,$AP$44=1),ТЕХ_Списки!AQ$1,""),IF(AND(ТЕХ_Списки!AR50=1,$AQ$44=1),ТЕХ_Списки!AR$1,""),IF(AND(ТЕХ_Списки!AS50=1,$AR$44=1),ТЕХ_Списки!AS$1,""),IF(AND(ТЕХ_Списки!AT50=1,$AS$44=1),ТЕХ_Списки!AT$1,""),IF(AND(ТЕХ_Списки!AU50=1,$AT$44=1),ТЕХ_Списки!AU$1,""),IF(AND(ТЕХ_Списки!AV50=1,$AU$44=1),ТЕХ_Списки!AV$1,""),IF(AND(ТЕХ_Списки!AW50=1,$AV$44=1),ТЕХ_Списки!AW$1,"")))</f>
        <v>#NAME?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>
      <c r="A99" s="4" t="s">
        <v>276</v>
      </c>
      <c r="B99" s="4" t="s">
        <v>280</v>
      </c>
      <c r="C99" s="4" t="s">
        <v>139</v>
      </c>
      <c r="D99" s="4" t="s">
        <v>686</v>
      </c>
      <c r="E99" s="4">
        <f t="shared" si="4"/>
        <v>0</v>
      </c>
      <c r="F99" s="4">
        <f>SUMPRODUCT(ТЕХ_Списки!E51:AW51,$D$44:$AV$44)</f>
        <v>7</v>
      </c>
      <c r="G99" s="4">
        <f>SUMPRODUCT(ТЕХ_Списки!E51:AW51,$D$44:$AV$44,$D$45:$AV$45)</f>
        <v>13</v>
      </c>
      <c r="H99" s="4">
        <f>IF(OR('РЕЙД-КОНСТРУКТОР'!$C$3="Любая",'РЕЙД-КОНСТРУКТОР'!$C$3=C99),1,0)</f>
        <v>1</v>
      </c>
      <c r="I99" s="4">
        <f t="shared" si="5"/>
        <v>1307</v>
      </c>
      <c r="J99" s="4" t="e">
        <f ca="1">IF(I99&lt;0,"",_xludf.RANK.EQ(I99,$I$50:$I$119,0)+COUNTIF($I$50:I99,I99)-1)</f>
        <v>#NAME?</v>
      </c>
      <c r="K99" s="4" t="e">
        <f ca="1">IF(F99=0,"—",_xludf.TEXTJOIN(", ",TRUE,IF(AND(ТЕХ_Списки!E51=1,$D$44=1),ТЕХ_Списки!E$1,""),IF(AND(ТЕХ_Списки!F51=1,$E$44=1),ТЕХ_Списки!F$1,""),IF(AND(ТЕХ_Списки!G51=1,$F$44=1),ТЕХ_Списки!G$1,""),IF(AND(ТЕХ_Списки!H51=1,$G$44=1),ТЕХ_Списки!H$1,""),IF(AND(ТЕХ_Списки!I51=1,$H$44=1),ТЕХ_Списки!I$1,""),IF(AND(ТЕХ_Списки!J51=1,$I$44=1),ТЕХ_Списки!J$1,""),IF(AND(ТЕХ_Списки!K51=1,$J$44=1),ТЕХ_Списки!K$1,""),IF(AND(ТЕХ_Списки!L51=1,$K$44=1),ТЕХ_Списки!L$1,""),IF(AND(ТЕХ_Списки!M51=1,$L$44=1),ТЕХ_Списки!M$1,""),IF(AND(ТЕХ_Списки!N51=1,$M$44=1),ТЕХ_Списки!N$1,""),IF(AND(ТЕХ_Списки!O51=1,$N$44=1),ТЕХ_Списки!O$1,""),IF(AND(ТЕХ_Списки!P51=1,$O$44=1),ТЕХ_Списки!P$1,""),IF(AND(ТЕХ_Списки!Q51=1,$P$44=1),ТЕХ_Списки!Q$1,""),IF(AND(ТЕХ_Списки!R51=1,$Q$44=1),ТЕХ_Списки!R$1,""),IF(AND(ТЕХ_Списки!S51=1,$R$44=1),ТЕХ_Списки!S$1,""),IF(AND(ТЕХ_Списки!T51=1,$S$44=1),ТЕХ_Списки!T$1,""),IF(AND(ТЕХ_Списки!U51=1,$T$44=1),ТЕХ_Списки!U$1,""),IF(AND(ТЕХ_Списки!V51=1,$U$44=1),ТЕХ_Списки!V$1,""),IF(AND(ТЕХ_Списки!W51=1,$V$44=1),ТЕХ_Списки!W$1,""),IF(AND(ТЕХ_Списки!X51=1,$W$44=1),ТЕХ_Списки!X$1,""),IF(AND(ТЕХ_Списки!Y51=1,$X$44=1),ТЕХ_Списки!Y$1,""),IF(AND(ТЕХ_Списки!Z51=1,$Y$44=1),ТЕХ_Списки!Z$1,""),IF(AND(ТЕХ_Списки!AA51=1,$Z$44=1),ТЕХ_Списки!AA$1,""),IF(AND(ТЕХ_Списки!AB51=1,$AA$44=1),ТЕХ_Списки!AB$1,""),IF(AND(ТЕХ_Списки!AC51=1,$AB$44=1),ТЕХ_Списки!AC$1,""),IF(AND(ТЕХ_Списки!AD51=1,$AC$44=1),ТЕХ_Списки!AD$1,""),IF(AND(ТЕХ_Списки!AE51=1,$AD$44=1),ТЕХ_Списки!AE$1,""),IF(AND(ТЕХ_Списки!AF51=1,$AE$44=1),ТЕХ_Списки!AF$1,""),IF(AND(ТЕХ_Списки!AG51=1,$AF$44=1),ТЕХ_Списки!AG$1,""),IF(AND(ТЕХ_Списки!AH51=1,$AG$44=1),ТЕХ_Списки!AH$1,""),IF(AND(ТЕХ_Списки!AI51=1,$AH$44=1),ТЕХ_Списки!AI$1,""),IF(AND(ТЕХ_Списки!AJ51=1,$AI$44=1),ТЕХ_Списки!AJ$1,""),IF(AND(ТЕХ_Списки!AK51=1,$AJ$44=1),ТЕХ_Списки!AK$1,""),IF(AND(ТЕХ_Списки!AL51=1,$AK$44=1),ТЕХ_Списки!AL$1,""),IF(AND(ТЕХ_Списки!AM51=1,$AL$44=1),ТЕХ_Списки!AM$1,""),IF(AND(ТЕХ_Списки!AN51=1,$AM$44=1),ТЕХ_Списки!AN$1,""),IF(AND(ТЕХ_Списки!AO51=1,$AN$44=1),ТЕХ_Списки!AO$1,""),IF(AND(ТЕХ_Списки!AP51=1,$AO$44=1),ТЕХ_Списки!AP$1,""),IF(AND(ТЕХ_Списки!AQ51=1,$AP$44=1),ТЕХ_Списки!AQ$1,""),IF(AND(ТЕХ_Списки!AR51=1,$AQ$44=1),ТЕХ_Списки!AR$1,""),IF(AND(ТЕХ_Списки!AS51=1,$AR$44=1),ТЕХ_Списки!AS$1,""),IF(AND(ТЕХ_Списки!AT51=1,$AS$44=1),ТЕХ_Списки!AT$1,""),IF(AND(ТЕХ_Списки!AU51=1,$AT$44=1),ТЕХ_Списки!AU$1,""),IF(AND(ТЕХ_Списки!AV51=1,$AU$44=1),ТЕХ_Списки!AV$1,""),IF(AND(ТЕХ_Списки!AW51=1,$AV$44=1),ТЕХ_Списки!AW$1,"")))</f>
        <v>#NAME?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>
      <c r="A100" s="4" t="s">
        <v>276</v>
      </c>
      <c r="B100" s="4" t="s">
        <v>282</v>
      </c>
      <c r="C100" s="4" t="s">
        <v>84</v>
      </c>
      <c r="D100" s="4" t="s">
        <v>687</v>
      </c>
      <c r="E100" s="4">
        <f t="shared" si="4"/>
        <v>0</v>
      </c>
      <c r="F100" s="4">
        <f>SUMPRODUCT(ТЕХ_Списки!E52:AW52,$D$44:$AV$44)</f>
        <v>8</v>
      </c>
      <c r="G100" s="4">
        <f>SUMPRODUCT(ТЕХ_Списки!E52:AW52,$D$44:$AV$44,$D$45:$AV$45)</f>
        <v>18</v>
      </c>
      <c r="H100" s="4">
        <f>IF(OR('РЕЙД-КОНСТРУКТОР'!$C$3="Любая",'РЕЙД-КОНСТРУКТОР'!$C$3=C100),1,0)</f>
        <v>1</v>
      </c>
      <c r="I100" s="4">
        <f t="shared" si="5"/>
        <v>1808</v>
      </c>
      <c r="J100" s="4" t="e">
        <f ca="1">IF(I100&lt;0,"",_xludf.RANK.EQ(I100,$I$50:$I$119,0)+COUNTIF($I$50:I100,I100)-1)</f>
        <v>#NAME?</v>
      </c>
      <c r="K100" s="4" t="e">
        <f ca="1">IF(F100=0,"—",_xludf.TEXTJOIN(", ",TRUE,IF(AND(ТЕХ_Списки!E52=1,$D$44=1),ТЕХ_Списки!E$1,""),IF(AND(ТЕХ_Списки!F52=1,$E$44=1),ТЕХ_Списки!F$1,""),IF(AND(ТЕХ_Списки!G52=1,$F$44=1),ТЕХ_Списки!G$1,""),IF(AND(ТЕХ_Списки!H52=1,$G$44=1),ТЕХ_Списки!H$1,""),IF(AND(ТЕХ_Списки!I52=1,$H$44=1),ТЕХ_Списки!I$1,""),IF(AND(ТЕХ_Списки!J52=1,$I$44=1),ТЕХ_Списки!J$1,""),IF(AND(ТЕХ_Списки!K52=1,$J$44=1),ТЕХ_Списки!K$1,""),IF(AND(ТЕХ_Списки!L52=1,$K$44=1),ТЕХ_Списки!L$1,""),IF(AND(ТЕХ_Списки!M52=1,$L$44=1),ТЕХ_Списки!M$1,""),IF(AND(ТЕХ_Списки!N52=1,$M$44=1),ТЕХ_Списки!N$1,""),IF(AND(ТЕХ_Списки!O52=1,$N$44=1),ТЕХ_Списки!O$1,""),IF(AND(ТЕХ_Списки!P52=1,$O$44=1),ТЕХ_Списки!P$1,""),IF(AND(ТЕХ_Списки!Q52=1,$P$44=1),ТЕХ_Списки!Q$1,""),IF(AND(ТЕХ_Списки!R52=1,$Q$44=1),ТЕХ_Списки!R$1,""),IF(AND(ТЕХ_Списки!S52=1,$R$44=1),ТЕХ_Списки!S$1,""),IF(AND(ТЕХ_Списки!T52=1,$S$44=1),ТЕХ_Списки!T$1,""),IF(AND(ТЕХ_Списки!U52=1,$T$44=1),ТЕХ_Списки!U$1,""),IF(AND(ТЕХ_Списки!V52=1,$U$44=1),ТЕХ_Списки!V$1,""),IF(AND(ТЕХ_Списки!W52=1,$V$44=1),ТЕХ_Списки!W$1,""),IF(AND(ТЕХ_Списки!X52=1,$W$44=1),ТЕХ_Списки!X$1,""),IF(AND(ТЕХ_Списки!Y52=1,$X$44=1),ТЕХ_Списки!Y$1,""),IF(AND(ТЕХ_Списки!Z52=1,$Y$44=1),ТЕХ_Списки!Z$1,""),IF(AND(ТЕХ_Списки!AA52=1,$Z$44=1),ТЕХ_Списки!AA$1,""),IF(AND(ТЕХ_Списки!AB52=1,$AA$44=1),ТЕХ_Списки!AB$1,""),IF(AND(ТЕХ_Списки!AC52=1,$AB$44=1),ТЕХ_Списки!AC$1,""),IF(AND(ТЕХ_Списки!AD52=1,$AC$44=1),ТЕХ_Списки!AD$1,""),IF(AND(ТЕХ_Списки!AE52=1,$AD$44=1),ТЕХ_Списки!AE$1,""),IF(AND(ТЕХ_Списки!AF52=1,$AE$44=1),ТЕХ_Списки!AF$1,""),IF(AND(ТЕХ_Списки!AG52=1,$AF$44=1),ТЕХ_Списки!AG$1,""),IF(AND(ТЕХ_Списки!AH52=1,$AG$44=1),ТЕХ_Списки!AH$1,""),IF(AND(ТЕХ_Списки!AI52=1,$AH$44=1),ТЕХ_Списки!AI$1,""),IF(AND(ТЕХ_Списки!AJ52=1,$AI$44=1),ТЕХ_Списки!AJ$1,""),IF(AND(ТЕХ_Списки!AK52=1,$AJ$44=1),ТЕХ_Списки!AK$1,""),IF(AND(ТЕХ_Списки!AL52=1,$AK$44=1),ТЕХ_Списки!AL$1,""),IF(AND(ТЕХ_Списки!AM52=1,$AL$44=1),ТЕХ_Списки!AM$1,""),IF(AND(ТЕХ_Списки!AN52=1,$AM$44=1),ТЕХ_Списки!AN$1,""),IF(AND(ТЕХ_Списки!AO52=1,$AN$44=1),ТЕХ_Списки!AO$1,""),IF(AND(ТЕХ_Списки!AP52=1,$AO$44=1),ТЕХ_Списки!AP$1,""),IF(AND(ТЕХ_Списки!AQ52=1,$AP$44=1),ТЕХ_Списки!AQ$1,""),IF(AND(ТЕХ_Списки!AR52=1,$AQ$44=1),ТЕХ_Списки!AR$1,""),IF(AND(ТЕХ_Списки!AS52=1,$AR$44=1),ТЕХ_Списки!AS$1,""),IF(AND(ТЕХ_Списки!AT52=1,$AS$44=1),ТЕХ_Списки!AT$1,""),IF(AND(ТЕХ_Списки!AU52=1,$AT$44=1),ТЕХ_Списки!AU$1,""),IF(AND(ТЕХ_Списки!AV52=1,$AU$44=1),ТЕХ_Списки!AV$1,""),IF(AND(ТЕХ_Списки!AW52=1,$AV$44=1),ТЕХ_Списки!AW$1,"")))</f>
        <v>#NAME?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>
      <c r="A101" s="4" t="s">
        <v>285</v>
      </c>
      <c r="B101" s="4" t="s">
        <v>286</v>
      </c>
      <c r="C101" s="4" t="s">
        <v>135</v>
      </c>
      <c r="D101" s="4" t="s">
        <v>688</v>
      </c>
      <c r="E101" s="4">
        <f t="shared" si="4"/>
        <v>0</v>
      </c>
      <c r="F101" s="4">
        <f>SUMPRODUCT(ТЕХ_Списки!E53:AW53,$D$44:$AV$44)</f>
        <v>6</v>
      </c>
      <c r="G101" s="4">
        <f>SUMPRODUCT(ТЕХ_Списки!E53:AW53,$D$44:$AV$44,$D$45:$AV$45)</f>
        <v>12</v>
      </c>
      <c r="H101" s="4">
        <f>IF(OR('РЕЙД-КОНСТРУКТОР'!$C$3="Любая",'РЕЙД-КОНСТРУКТОР'!$C$3=C101),1,0)</f>
        <v>1</v>
      </c>
      <c r="I101" s="4">
        <f t="shared" si="5"/>
        <v>1206</v>
      </c>
      <c r="J101" s="4" t="e">
        <f ca="1">IF(I101&lt;0,"",_xludf.RANK.EQ(I101,$I$50:$I$119,0)+COUNTIF($I$50:I101,I101)-1)</f>
        <v>#NAME?</v>
      </c>
      <c r="K101" s="4" t="e">
        <f ca="1">IF(F101=0,"—",_xludf.TEXTJOIN(", ",TRUE,IF(AND(ТЕХ_Списки!E53=1,$D$44=1),ТЕХ_Списки!E$1,""),IF(AND(ТЕХ_Списки!F53=1,$E$44=1),ТЕХ_Списки!F$1,""),IF(AND(ТЕХ_Списки!G53=1,$F$44=1),ТЕХ_Списки!G$1,""),IF(AND(ТЕХ_Списки!H53=1,$G$44=1),ТЕХ_Списки!H$1,""),IF(AND(ТЕХ_Списки!I53=1,$H$44=1),ТЕХ_Списки!I$1,""),IF(AND(ТЕХ_Списки!J53=1,$I$44=1),ТЕХ_Списки!J$1,""),IF(AND(ТЕХ_Списки!K53=1,$J$44=1),ТЕХ_Списки!K$1,""),IF(AND(ТЕХ_Списки!L53=1,$K$44=1),ТЕХ_Списки!L$1,""),IF(AND(ТЕХ_Списки!M53=1,$L$44=1),ТЕХ_Списки!M$1,""),IF(AND(ТЕХ_Списки!N53=1,$M$44=1),ТЕХ_Списки!N$1,""),IF(AND(ТЕХ_Списки!O53=1,$N$44=1),ТЕХ_Списки!O$1,""),IF(AND(ТЕХ_Списки!P53=1,$O$44=1),ТЕХ_Списки!P$1,""),IF(AND(ТЕХ_Списки!Q53=1,$P$44=1),ТЕХ_Списки!Q$1,""),IF(AND(ТЕХ_Списки!R53=1,$Q$44=1),ТЕХ_Списки!R$1,""),IF(AND(ТЕХ_Списки!S53=1,$R$44=1),ТЕХ_Списки!S$1,""),IF(AND(ТЕХ_Списки!T53=1,$S$44=1),ТЕХ_Списки!T$1,""),IF(AND(ТЕХ_Списки!U53=1,$T$44=1),ТЕХ_Списки!U$1,""),IF(AND(ТЕХ_Списки!V53=1,$U$44=1),ТЕХ_Списки!V$1,""),IF(AND(ТЕХ_Списки!W53=1,$V$44=1),ТЕХ_Списки!W$1,""),IF(AND(ТЕХ_Списки!X53=1,$W$44=1),ТЕХ_Списки!X$1,""),IF(AND(ТЕХ_Списки!Y53=1,$X$44=1),ТЕХ_Списки!Y$1,""),IF(AND(ТЕХ_Списки!Z53=1,$Y$44=1),ТЕХ_Списки!Z$1,""),IF(AND(ТЕХ_Списки!AA53=1,$Z$44=1),ТЕХ_Списки!AA$1,""),IF(AND(ТЕХ_Списки!AB53=1,$AA$44=1),ТЕХ_Списки!AB$1,""),IF(AND(ТЕХ_Списки!AC53=1,$AB$44=1),ТЕХ_Списки!AC$1,""),IF(AND(ТЕХ_Списки!AD53=1,$AC$44=1),ТЕХ_Списки!AD$1,""),IF(AND(ТЕХ_Списки!AE53=1,$AD$44=1),ТЕХ_Списки!AE$1,""),IF(AND(ТЕХ_Списки!AF53=1,$AE$44=1),ТЕХ_Списки!AF$1,""),IF(AND(ТЕХ_Списки!AG53=1,$AF$44=1),ТЕХ_Списки!AG$1,""),IF(AND(ТЕХ_Списки!AH53=1,$AG$44=1),ТЕХ_Списки!AH$1,""),IF(AND(ТЕХ_Списки!AI53=1,$AH$44=1),ТЕХ_Списки!AI$1,""),IF(AND(ТЕХ_Списки!AJ53=1,$AI$44=1),ТЕХ_Списки!AJ$1,""),IF(AND(ТЕХ_Списки!AK53=1,$AJ$44=1),ТЕХ_Списки!AK$1,""),IF(AND(ТЕХ_Списки!AL53=1,$AK$44=1),ТЕХ_Списки!AL$1,""),IF(AND(ТЕХ_Списки!AM53=1,$AL$44=1),ТЕХ_Списки!AM$1,""),IF(AND(ТЕХ_Списки!AN53=1,$AM$44=1),ТЕХ_Списки!AN$1,""),IF(AND(ТЕХ_Списки!AO53=1,$AN$44=1),ТЕХ_Списки!AO$1,""),IF(AND(ТЕХ_Списки!AP53=1,$AO$44=1),ТЕХ_Списки!AP$1,""),IF(AND(ТЕХ_Списки!AQ53=1,$AP$44=1),ТЕХ_Списки!AQ$1,""),IF(AND(ТЕХ_Списки!AR53=1,$AQ$44=1),ТЕХ_Списки!AR$1,""),IF(AND(ТЕХ_Списки!AS53=1,$AR$44=1),ТЕХ_Списки!AS$1,""),IF(AND(ТЕХ_Списки!AT53=1,$AS$44=1),ТЕХ_Списки!AT$1,""),IF(AND(ТЕХ_Списки!AU53=1,$AT$44=1),ТЕХ_Списки!AU$1,""),IF(AND(ТЕХ_Списки!AV53=1,$AU$44=1),ТЕХ_Списки!AV$1,""),IF(AND(ТЕХ_Списки!AW53=1,$AV$44=1),ТЕХ_Списки!AW$1,"")))</f>
        <v>#NAME?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>
      <c r="A102" s="4" t="s">
        <v>285</v>
      </c>
      <c r="B102" s="4" t="s">
        <v>289</v>
      </c>
      <c r="C102" s="4" t="s">
        <v>135</v>
      </c>
      <c r="D102" s="4" t="s">
        <v>689</v>
      </c>
      <c r="E102" s="4">
        <f t="shared" si="4"/>
        <v>0</v>
      </c>
      <c r="F102" s="4">
        <f>SUMPRODUCT(ТЕХ_Списки!E54:AW54,$D$44:$AV$44)</f>
        <v>7</v>
      </c>
      <c r="G102" s="4">
        <f>SUMPRODUCT(ТЕХ_Списки!E54:AW54,$D$44:$AV$44,$D$45:$AV$45)</f>
        <v>13</v>
      </c>
      <c r="H102" s="4">
        <f>IF(OR('РЕЙД-КОНСТРУКТОР'!$C$3="Любая",'РЕЙД-КОНСТРУКТОР'!$C$3=C102),1,0)</f>
        <v>1</v>
      </c>
      <c r="I102" s="4">
        <f t="shared" si="5"/>
        <v>1307</v>
      </c>
      <c r="J102" s="4" t="e">
        <f ca="1">IF(I102&lt;0,"",_xludf.RANK.EQ(I102,$I$50:$I$119,0)+COUNTIF($I$50:I102,I102)-1)</f>
        <v>#NAME?</v>
      </c>
      <c r="K102" s="4" t="e">
        <f ca="1">IF(F102=0,"—",_xludf.TEXTJOIN(", ",TRUE,IF(AND(ТЕХ_Списки!E54=1,$D$44=1),ТЕХ_Списки!E$1,""),IF(AND(ТЕХ_Списки!F54=1,$E$44=1),ТЕХ_Списки!F$1,""),IF(AND(ТЕХ_Списки!G54=1,$F$44=1),ТЕХ_Списки!G$1,""),IF(AND(ТЕХ_Списки!H54=1,$G$44=1),ТЕХ_Списки!H$1,""),IF(AND(ТЕХ_Списки!I54=1,$H$44=1),ТЕХ_Списки!I$1,""),IF(AND(ТЕХ_Списки!J54=1,$I$44=1),ТЕХ_Списки!J$1,""),IF(AND(ТЕХ_Списки!K54=1,$J$44=1),ТЕХ_Списки!K$1,""),IF(AND(ТЕХ_Списки!L54=1,$K$44=1),ТЕХ_Списки!L$1,""),IF(AND(ТЕХ_Списки!M54=1,$L$44=1),ТЕХ_Списки!M$1,""),IF(AND(ТЕХ_Списки!N54=1,$M$44=1),ТЕХ_Списки!N$1,""),IF(AND(ТЕХ_Списки!O54=1,$N$44=1),ТЕХ_Списки!O$1,""),IF(AND(ТЕХ_Списки!P54=1,$O$44=1),ТЕХ_Списки!P$1,""),IF(AND(ТЕХ_Списки!Q54=1,$P$44=1),ТЕХ_Списки!Q$1,""),IF(AND(ТЕХ_Списки!R54=1,$Q$44=1),ТЕХ_Списки!R$1,""),IF(AND(ТЕХ_Списки!S54=1,$R$44=1),ТЕХ_Списки!S$1,""),IF(AND(ТЕХ_Списки!T54=1,$S$44=1),ТЕХ_Списки!T$1,""),IF(AND(ТЕХ_Списки!U54=1,$T$44=1),ТЕХ_Списки!U$1,""),IF(AND(ТЕХ_Списки!V54=1,$U$44=1),ТЕХ_Списки!V$1,""),IF(AND(ТЕХ_Списки!W54=1,$V$44=1),ТЕХ_Списки!W$1,""),IF(AND(ТЕХ_Списки!X54=1,$W$44=1),ТЕХ_Списки!X$1,""),IF(AND(ТЕХ_Списки!Y54=1,$X$44=1),ТЕХ_Списки!Y$1,""),IF(AND(ТЕХ_Списки!Z54=1,$Y$44=1),ТЕХ_Списки!Z$1,""),IF(AND(ТЕХ_Списки!AA54=1,$Z$44=1),ТЕХ_Списки!AA$1,""),IF(AND(ТЕХ_Списки!AB54=1,$AA$44=1),ТЕХ_Списки!AB$1,""),IF(AND(ТЕХ_Списки!AC54=1,$AB$44=1),ТЕХ_Списки!AC$1,""),IF(AND(ТЕХ_Списки!AD54=1,$AC$44=1),ТЕХ_Списки!AD$1,""),IF(AND(ТЕХ_Списки!AE54=1,$AD$44=1),ТЕХ_Списки!AE$1,""),IF(AND(ТЕХ_Списки!AF54=1,$AE$44=1),ТЕХ_Списки!AF$1,""),IF(AND(ТЕХ_Списки!AG54=1,$AF$44=1),ТЕХ_Списки!AG$1,""),IF(AND(ТЕХ_Списки!AH54=1,$AG$44=1),ТЕХ_Списки!AH$1,""),IF(AND(ТЕХ_Списки!AI54=1,$AH$44=1),ТЕХ_Списки!AI$1,""),IF(AND(ТЕХ_Списки!AJ54=1,$AI$44=1),ТЕХ_Списки!AJ$1,""),IF(AND(ТЕХ_Списки!AK54=1,$AJ$44=1),ТЕХ_Списки!AK$1,""),IF(AND(ТЕХ_Списки!AL54=1,$AK$44=1),ТЕХ_Списки!AL$1,""),IF(AND(ТЕХ_Списки!AM54=1,$AL$44=1),ТЕХ_Списки!AM$1,""),IF(AND(ТЕХ_Списки!AN54=1,$AM$44=1),ТЕХ_Списки!AN$1,""),IF(AND(ТЕХ_Списки!AO54=1,$AN$44=1),ТЕХ_Списки!AO$1,""),IF(AND(ТЕХ_Списки!AP54=1,$AO$44=1),ТЕХ_Списки!AP$1,""),IF(AND(ТЕХ_Списки!AQ54=1,$AP$44=1),ТЕХ_Списки!AQ$1,""),IF(AND(ТЕХ_Списки!AR54=1,$AQ$44=1),ТЕХ_Списки!AR$1,""),IF(AND(ТЕХ_Списки!AS54=1,$AR$44=1),ТЕХ_Списки!AS$1,""),IF(AND(ТЕХ_Списки!AT54=1,$AS$44=1),ТЕХ_Списки!AT$1,""),IF(AND(ТЕХ_Списки!AU54=1,$AT$44=1),ТЕХ_Списки!AU$1,""),IF(AND(ТЕХ_Списки!AV54=1,$AU$44=1),ТЕХ_Списки!AV$1,""),IF(AND(ТЕХ_Списки!AW54=1,$AV$44=1),ТЕХ_Списки!AW$1,"")))</f>
        <v>#NAME?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>
      <c r="A103" s="4" t="s">
        <v>285</v>
      </c>
      <c r="B103" s="4" t="s">
        <v>292</v>
      </c>
      <c r="C103" s="4" t="s">
        <v>78</v>
      </c>
      <c r="D103" s="4" t="s">
        <v>690</v>
      </c>
      <c r="E103" s="4">
        <f t="shared" si="4"/>
        <v>0</v>
      </c>
      <c r="F103" s="4">
        <f>SUMPRODUCT(ТЕХ_Списки!E55:AW55,$D$44:$AV$44)</f>
        <v>8</v>
      </c>
      <c r="G103" s="4">
        <f>SUMPRODUCT(ТЕХ_Списки!E55:AW55,$D$44:$AV$44,$D$45:$AV$45)</f>
        <v>18</v>
      </c>
      <c r="H103" s="4">
        <f>IF(OR('РЕЙД-КОНСТРУКТОР'!$C$3="Любая",'РЕЙД-КОНСТРУКТОР'!$C$3=C103),1,0)</f>
        <v>1</v>
      </c>
      <c r="I103" s="4">
        <f t="shared" si="5"/>
        <v>1808</v>
      </c>
      <c r="J103" s="4" t="e">
        <f ca="1">IF(I103&lt;0,"",_xludf.RANK.EQ(I103,$I$50:$I$119,0)+COUNTIF($I$50:I103,I103)-1)</f>
        <v>#NAME?</v>
      </c>
      <c r="K103" s="4" t="e">
        <f ca="1">IF(F103=0,"—",_xludf.TEXTJOIN(", ",TRUE,IF(AND(ТЕХ_Списки!E55=1,$D$44=1),ТЕХ_Списки!E$1,""),IF(AND(ТЕХ_Списки!F55=1,$E$44=1),ТЕХ_Списки!F$1,""),IF(AND(ТЕХ_Списки!G55=1,$F$44=1),ТЕХ_Списки!G$1,""),IF(AND(ТЕХ_Списки!H55=1,$G$44=1),ТЕХ_Списки!H$1,""),IF(AND(ТЕХ_Списки!I55=1,$H$44=1),ТЕХ_Списки!I$1,""),IF(AND(ТЕХ_Списки!J55=1,$I$44=1),ТЕХ_Списки!J$1,""),IF(AND(ТЕХ_Списки!K55=1,$J$44=1),ТЕХ_Списки!K$1,""),IF(AND(ТЕХ_Списки!L55=1,$K$44=1),ТЕХ_Списки!L$1,""),IF(AND(ТЕХ_Списки!M55=1,$L$44=1),ТЕХ_Списки!M$1,""),IF(AND(ТЕХ_Списки!N55=1,$M$44=1),ТЕХ_Списки!N$1,""),IF(AND(ТЕХ_Списки!O55=1,$N$44=1),ТЕХ_Списки!O$1,""),IF(AND(ТЕХ_Списки!P55=1,$O$44=1),ТЕХ_Списки!P$1,""),IF(AND(ТЕХ_Списки!Q55=1,$P$44=1),ТЕХ_Списки!Q$1,""),IF(AND(ТЕХ_Списки!R55=1,$Q$44=1),ТЕХ_Списки!R$1,""),IF(AND(ТЕХ_Списки!S55=1,$R$44=1),ТЕХ_Списки!S$1,""),IF(AND(ТЕХ_Списки!T55=1,$S$44=1),ТЕХ_Списки!T$1,""),IF(AND(ТЕХ_Списки!U55=1,$T$44=1),ТЕХ_Списки!U$1,""),IF(AND(ТЕХ_Списки!V55=1,$U$44=1),ТЕХ_Списки!V$1,""),IF(AND(ТЕХ_Списки!W55=1,$V$44=1),ТЕХ_Списки!W$1,""),IF(AND(ТЕХ_Списки!X55=1,$W$44=1),ТЕХ_Списки!X$1,""),IF(AND(ТЕХ_Списки!Y55=1,$X$44=1),ТЕХ_Списки!Y$1,""),IF(AND(ТЕХ_Списки!Z55=1,$Y$44=1),ТЕХ_Списки!Z$1,""),IF(AND(ТЕХ_Списки!AA55=1,$Z$44=1),ТЕХ_Списки!AA$1,""),IF(AND(ТЕХ_Списки!AB55=1,$AA$44=1),ТЕХ_Списки!AB$1,""),IF(AND(ТЕХ_Списки!AC55=1,$AB$44=1),ТЕХ_Списки!AC$1,""),IF(AND(ТЕХ_Списки!AD55=1,$AC$44=1),ТЕХ_Списки!AD$1,""),IF(AND(ТЕХ_Списки!AE55=1,$AD$44=1),ТЕХ_Списки!AE$1,""),IF(AND(ТЕХ_Списки!AF55=1,$AE$44=1),ТЕХ_Списки!AF$1,""),IF(AND(ТЕХ_Списки!AG55=1,$AF$44=1),ТЕХ_Списки!AG$1,""),IF(AND(ТЕХ_Списки!AH55=1,$AG$44=1),ТЕХ_Списки!AH$1,""),IF(AND(ТЕХ_Списки!AI55=1,$AH$44=1),ТЕХ_Списки!AI$1,""),IF(AND(ТЕХ_Списки!AJ55=1,$AI$44=1),ТЕХ_Списки!AJ$1,""),IF(AND(ТЕХ_Списки!AK55=1,$AJ$44=1),ТЕХ_Списки!AK$1,""),IF(AND(ТЕХ_Списки!AL55=1,$AK$44=1),ТЕХ_Списки!AL$1,""),IF(AND(ТЕХ_Списки!AM55=1,$AL$44=1),ТЕХ_Списки!AM$1,""),IF(AND(ТЕХ_Списки!AN55=1,$AM$44=1),ТЕХ_Списки!AN$1,""),IF(AND(ТЕХ_Списки!AO55=1,$AN$44=1),ТЕХ_Списки!AO$1,""),IF(AND(ТЕХ_Списки!AP55=1,$AO$44=1),ТЕХ_Списки!AP$1,""),IF(AND(ТЕХ_Списки!AQ55=1,$AP$44=1),ТЕХ_Списки!AQ$1,""),IF(AND(ТЕХ_Списки!AR55=1,$AQ$44=1),ТЕХ_Списки!AR$1,""),IF(AND(ТЕХ_Списки!AS55=1,$AR$44=1),ТЕХ_Списки!AS$1,""),IF(AND(ТЕХ_Списки!AT55=1,$AS$44=1),ТЕХ_Списки!AT$1,""),IF(AND(ТЕХ_Списки!AU55=1,$AT$44=1),ТЕХ_Списки!AU$1,""),IF(AND(ТЕХ_Списки!AV55=1,$AU$44=1),ТЕХ_Списки!AV$1,""),IF(AND(ТЕХ_Списки!AW55=1,$AV$44=1),ТЕХ_Списки!AW$1,"")))</f>
        <v>#NAME?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>
      <c r="A104" s="4" t="s">
        <v>294</v>
      </c>
      <c r="B104" s="4" t="s">
        <v>295</v>
      </c>
      <c r="C104" s="4" t="s">
        <v>139</v>
      </c>
      <c r="D104" s="4" t="s">
        <v>691</v>
      </c>
      <c r="E104" s="4">
        <f t="shared" si="4"/>
        <v>0</v>
      </c>
      <c r="F104" s="4">
        <f>SUMPRODUCT(ТЕХ_Списки!E56:AW56,$D$44:$AV$44)</f>
        <v>11</v>
      </c>
      <c r="G104" s="4">
        <f>SUMPRODUCT(ТЕХ_Списки!E56:AW56,$D$44:$AV$44,$D$45:$AV$45)</f>
        <v>18</v>
      </c>
      <c r="H104" s="4">
        <f>IF(OR('РЕЙД-КОНСТРУКТОР'!$C$3="Любая",'РЕЙД-КОНСТРУКТОР'!$C$3=C104),1,0)</f>
        <v>1</v>
      </c>
      <c r="I104" s="4">
        <f t="shared" si="5"/>
        <v>1811</v>
      </c>
      <c r="J104" s="4" t="e">
        <f ca="1">IF(I104&lt;0,"",_xludf.RANK.EQ(I104,$I$50:$I$119,0)+COUNTIF($I$50:I104,I104)-1)</f>
        <v>#NAME?</v>
      </c>
      <c r="K104" s="4" t="e">
        <f ca="1">IF(F104=0,"—",_xludf.TEXTJOIN(", ",TRUE,IF(AND(ТЕХ_Списки!E56=1,$D$44=1),ТЕХ_Списки!E$1,""),IF(AND(ТЕХ_Списки!F56=1,$E$44=1),ТЕХ_Списки!F$1,""),IF(AND(ТЕХ_Списки!G56=1,$F$44=1),ТЕХ_Списки!G$1,""),IF(AND(ТЕХ_Списки!H56=1,$G$44=1),ТЕХ_Списки!H$1,""),IF(AND(ТЕХ_Списки!I56=1,$H$44=1),ТЕХ_Списки!I$1,""),IF(AND(ТЕХ_Списки!J56=1,$I$44=1),ТЕХ_Списки!J$1,""),IF(AND(ТЕХ_Списки!K56=1,$J$44=1),ТЕХ_Списки!K$1,""),IF(AND(ТЕХ_Списки!L56=1,$K$44=1),ТЕХ_Списки!L$1,""),IF(AND(ТЕХ_Списки!M56=1,$L$44=1),ТЕХ_Списки!M$1,""),IF(AND(ТЕХ_Списки!N56=1,$M$44=1),ТЕХ_Списки!N$1,""),IF(AND(ТЕХ_Списки!O56=1,$N$44=1),ТЕХ_Списки!O$1,""),IF(AND(ТЕХ_Списки!P56=1,$O$44=1),ТЕХ_Списки!P$1,""),IF(AND(ТЕХ_Списки!Q56=1,$P$44=1),ТЕХ_Списки!Q$1,""),IF(AND(ТЕХ_Списки!R56=1,$Q$44=1),ТЕХ_Списки!R$1,""),IF(AND(ТЕХ_Списки!S56=1,$R$44=1),ТЕХ_Списки!S$1,""),IF(AND(ТЕХ_Списки!T56=1,$S$44=1),ТЕХ_Списки!T$1,""),IF(AND(ТЕХ_Списки!U56=1,$T$44=1),ТЕХ_Списки!U$1,""),IF(AND(ТЕХ_Списки!V56=1,$U$44=1),ТЕХ_Списки!V$1,""),IF(AND(ТЕХ_Списки!W56=1,$V$44=1),ТЕХ_Списки!W$1,""),IF(AND(ТЕХ_Списки!X56=1,$W$44=1),ТЕХ_Списки!X$1,""),IF(AND(ТЕХ_Списки!Y56=1,$X$44=1),ТЕХ_Списки!Y$1,""),IF(AND(ТЕХ_Списки!Z56=1,$Y$44=1),ТЕХ_Списки!Z$1,""),IF(AND(ТЕХ_Списки!AA56=1,$Z$44=1),ТЕХ_Списки!AA$1,""),IF(AND(ТЕХ_Списки!AB56=1,$AA$44=1),ТЕХ_Списки!AB$1,""),IF(AND(ТЕХ_Списки!AC56=1,$AB$44=1),ТЕХ_Списки!AC$1,""),IF(AND(ТЕХ_Списки!AD56=1,$AC$44=1),ТЕХ_Списки!AD$1,""),IF(AND(ТЕХ_Списки!AE56=1,$AD$44=1),ТЕХ_Списки!AE$1,""),IF(AND(ТЕХ_Списки!AF56=1,$AE$44=1),ТЕХ_Списки!AF$1,""),IF(AND(ТЕХ_Списки!AG56=1,$AF$44=1),ТЕХ_Списки!AG$1,""),IF(AND(ТЕХ_Списки!AH56=1,$AG$44=1),ТЕХ_Списки!AH$1,""),IF(AND(ТЕХ_Списки!AI56=1,$AH$44=1),ТЕХ_Списки!AI$1,""),IF(AND(ТЕХ_Списки!AJ56=1,$AI$44=1),ТЕХ_Списки!AJ$1,""),IF(AND(ТЕХ_Списки!AK56=1,$AJ$44=1),ТЕХ_Списки!AK$1,""),IF(AND(ТЕХ_Списки!AL56=1,$AK$44=1),ТЕХ_Списки!AL$1,""),IF(AND(ТЕХ_Списки!AM56=1,$AL$44=1),ТЕХ_Списки!AM$1,""),IF(AND(ТЕХ_Списки!AN56=1,$AM$44=1),ТЕХ_Списки!AN$1,""),IF(AND(ТЕХ_Списки!AO56=1,$AN$44=1),ТЕХ_Списки!AO$1,""),IF(AND(ТЕХ_Списки!AP56=1,$AO$44=1),ТЕХ_Списки!AP$1,""),IF(AND(ТЕХ_Списки!AQ56=1,$AP$44=1),ТЕХ_Списки!AQ$1,""),IF(AND(ТЕХ_Списки!AR56=1,$AQ$44=1),ТЕХ_Списки!AR$1,""),IF(AND(ТЕХ_Списки!AS56=1,$AR$44=1),ТЕХ_Списки!AS$1,""),IF(AND(ТЕХ_Списки!AT56=1,$AS$44=1),ТЕХ_Списки!AT$1,""),IF(AND(ТЕХ_Списки!AU56=1,$AT$44=1),ТЕХ_Списки!AU$1,""),IF(AND(ТЕХ_Списки!AV56=1,$AU$44=1),ТЕХ_Списки!AV$1,""),IF(AND(ТЕХ_Списки!AW56=1,$AV$44=1),ТЕХ_Списки!AW$1,"")))</f>
        <v>#NAME?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>
      <c r="A105" s="4" t="s">
        <v>294</v>
      </c>
      <c r="B105" s="4" t="s">
        <v>298</v>
      </c>
      <c r="C105" s="4" t="s">
        <v>135</v>
      </c>
      <c r="D105" s="4" t="s">
        <v>692</v>
      </c>
      <c r="E105" s="4">
        <f t="shared" si="4"/>
        <v>0</v>
      </c>
      <c r="F105" s="4">
        <f>SUMPRODUCT(ТЕХ_Списки!E57:AW57,$D$44:$AV$44)</f>
        <v>11</v>
      </c>
      <c r="G105" s="4">
        <f>SUMPRODUCT(ТЕХ_Списки!E57:AW57,$D$44:$AV$44,$D$45:$AV$45)</f>
        <v>18</v>
      </c>
      <c r="H105" s="4">
        <f>IF(OR('РЕЙД-КОНСТРУКТОР'!$C$3="Любая",'РЕЙД-КОНСТРУКТОР'!$C$3=C105),1,0)</f>
        <v>1</v>
      </c>
      <c r="I105" s="4">
        <f t="shared" si="5"/>
        <v>1811</v>
      </c>
      <c r="J105" s="4" t="e">
        <f ca="1">IF(I105&lt;0,"",_xludf.RANK.EQ(I105,$I$50:$I$119,0)+COUNTIF($I$50:I105,I105)-1)</f>
        <v>#NAME?</v>
      </c>
      <c r="K105" s="4" t="e">
        <f ca="1">IF(F105=0,"—",_xludf.TEXTJOIN(", ",TRUE,IF(AND(ТЕХ_Списки!E57=1,$D$44=1),ТЕХ_Списки!E$1,""),IF(AND(ТЕХ_Списки!F57=1,$E$44=1),ТЕХ_Списки!F$1,""),IF(AND(ТЕХ_Списки!G57=1,$F$44=1),ТЕХ_Списки!G$1,""),IF(AND(ТЕХ_Списки!H57=1,$G$44=1),ТЕХ_Списки!H$1,""),IF(AND(ТЕХ_Списки!I57=1,$H$44=1),ТЕХ_Списки!I$1,""),IF(AND(ТЕХ_Списки!J57=1,$I$44=1),ТЕХ_Списки!J$1,""),IF(AND(ТЕХ_Списки!K57=1,$J$44=1),ТЕХ_Списки!K$1,""),IF(AND(ТЕХ_Списки!L57=1,$K$44=1),ТЕХ_Списки!L$1,""),IF(AND(ТЕХ_Списки!M57=1,$L$44=1),ТЕХ_Списки!M$1,""),IF(AND(ТЕХ_Списки!N57=1,$M$44=1),ТЕХ_Списки!N$1,""),IF(AND(ТЕХ_Списки!O57=1,$N$44=1),ТЕХ_Списки!O$1,""),IF(AND(ТЕХ_Списки!P57=1,$O$44=1),ТЕХ_Списки!P$1,""),IF(AND(ТЕХ_Списки!Q57=1,$P$44=1),ТЕХ_Списки!Q$1,""),IF(AND(ТЕХ_Списки!R57=1,$Q$44=1),ТЕХ_Списки!R$1,""),IF(AND(ТЕХ_Списки!S57=1,$R$44=1),ТЕХ_Списки!S$1,""),IF(AND(ТЕХ_Списки!T57=1,$S$44=1),ТЕХ_Списки!T$1,""),IF(AND(ТЕХ_Списки!U57=1,$T$44=1),ТЕХ_Списки!U$1,""),IF(AND(ТЕХ_Списки!V57=1,$U$44=1),ТЕХ_Списки!V$1,""),IF(AND(ТЕХ_Списки!W57=1,$V$44=1),ТЕХ_Списки!W$1,""),IF(AND(ТЕХ_Списки!X57=1,$W$44=1),ТЕХ_Списки!X$1,""),IF(AND(ТЕХ_Списки!Y57=1,$X$44=1),ТЕХ_Списки!Y$1,""),IF(AND(ТЕХ_Списки!Z57=1,$Y$44=1),ТЕХ_Списки!Z$1,""),IF(AND(ТЕХ_Списки!AA57=1,$Z$44=1),ТЕХ_Списки!AA$1,""),IF(AND(ТЕХ_Списки!AB57=1,$AA$44=1),ТЕХ_Списки!AB$1,""),IF(AND(ТЕХ_Списки!AC57=1,$AB$44=1),ТЕХ_Списки!AC$1,""),IF(AND(ТЕХ_Списки!AD57=1,$AC$44=1),ТЕХ_Списки!AD$1,""),IF(AND(ТЕХ_Списки!AE57=1,$AD$44=1),ТЕХ_Списки!AE$1,""),IF(AND(ТЕХ_Списки!AF57=1,$AE$44=1),ТЕХ_Списки!AF$1,""),IF(AND(ТЕХ_Списки!AG57=1,$AF$44=1),ТЕХ_Списки!AG$1,""),IF(AND(ТЕХ_Списки!AH57=1,$AG$44=1),ТЕХ_Списки!AH$1,""),IF(AND(ТЕХ_Списки!AI57=1,$AH$44=1),ТЕХ_Списки!AI$1,""),IF(AND(ТЕХ_Списки!AJ57=1,$AI$44=1),ТЕХ_Списки!AJ$1,""),IF(AND(ТЕХ_Списки!AK57=1,$AJ$44=1),ТЕХ_Списки!AK$1,""),IF(AND(ТЕХ_Списки!AL57=1,$AK$44=1),ТЕХ_Списки!AL$1,""),IF(AND(ТЕХ_Списки!AM57=1,$AL$44=1),ТЕХ_Списки!AM$1,""),IF(AND(ТЕХ_Списки!AN57=1,$AM$44=1),ТЕХ_Списки!AN$1,""),IF(AND(ТЕХ_Списки!AO57=1,$AN$44=1),ТЕХ_Списки!AO$1,""),IF(AND(ТЕХ_Списки!AP57=1,$AO$44=1),ТЕХ_Списки!AP$1,""),IF(AND(ТЕХ_Списки!AQ57=1,$AP$44=1),ТЕХ_Списки!AQ$1,""),IF(AND(ТЕХ_Списки!AR57=1,$AQ$44=1),ТЕХ_Списки!AR$1,""),IF(AND(ТЕХ_Списки!AS57=1,$AR$44=1),ТЕХ_Списки!AS$1,""),IF(AND(ТЕХ_Списки!AT57=1,$AS$44=1),ТЕХ_Списки!AT$1,""),IF(AND(ТЕХ_Списки!AU57=1,$AT$44=1),ТЕХ_Списки!AU$1,""),IF(AND(ТЕХ_Списки!AV57=1,$AU$44=1),ТЕХ_Списки!AV$1,""),IF(AND(ТЕХ_Списки!AW57=1,$AV$44=1),ТЕХ_Списки!AW$1,"")))</f>
        <v>#NAME?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>
      <c r="A106" s="4" t="s">
        <v>294</v>
      </c>
      <c r="B106" s="4" t="s">
        <v>300</v>
      </c>
      <c r="C106" s="4" t="s">
        <v>135</v>
      </c>
      <c r="D106" s="4" t="s">
        <v>693</v>
      </c>
      <c r="E106" s="4">
        <f t="shared" si="4"/>
        <v>0</v>
      </c>
      <c r="F106" s="4">
        <f>SUMPRODUCT(ТЕХ_Списки!E58:AW58,$D$44:$AV$44)</f>
        <v>12</v>
      </c>
      <c r="G106" s="4">
        <f>SUMPRODUCT(ТЕХ_Списки!E58:AW58,$D$44:$AV$44,$D$45:$AV$45)</f>
        <v>21</v>
      </c>
      <c r="H106" s="4">
        <f>IF(OR('РЕЙД-КОНСТРУКТОР'!$C$3="Любая",'РЕЙД-КОНСТРУКТОР'!$C$3=C106),1,0)</f>
        <v>1</v>
      </c>
      <c r="I106" s="4">
        <f t="shared" si="5"/>
        <v>2112</v>
      </c>
      <c r="J106" s="4" t="e">
        <f ca="1">IF(I106&lt;0,"",_xludf.RANK.EQ(I106,$I$50:$I$119,0)+COUNTIF($I$50:I106,I106)-1)</f>
        <v>#NAME?</v>
      </c>
      <c r="K106" s="4" t="e">
        <f ca="1">IF(F106=0,"—",_xludf.TEXTJOIN(", ",TRUE,IF(AND(ТЕХ_Списки!E58=1,$D$44=1),ТЕХ_Списки!E$1,""),IF(AND(ТЕХ_Списки!F58=1,$E$44=1),ТЕХ_Списки!F$1,""),IF(AND(ТЕХ_Списки!G58=1,$F$44=1),ТЕХ_Списки!G$1,""),IF(AND(ТЕХ_Списки!H58=1,$G$44=1),ТЕХ_Списки!H$1,""),IF(AND(ТЕХ_Списки!I58=1,$H$44=1),ТЕХ_Списки!I$1,""),IF(AND(ТЕХ_Списки!J58=1,$I$44=1),ТЕХ_Списки!J$1,""),IF(AND(ТЕХ_Списки!K58=1,$J$44=1),ТЕХ_Списки!K$1,""),IF(AND(ТЕХ_Списки!L58=1,$K$44=1),ТЕХ_Списки!L$1,""),IF(AND(ТЕХ_Списки!M58=1,$L$44=1),ТЕХ_Списки!M$1,""),IF(AND(ТЕХ_Списки!N58=1,$M$44=1),ТЕХ_Списки!N$1,""),IF(AND(ТЕХ_Списки!O58=1,$N$44=1),ТЕХ_Списки!O$1,""),IF(AND(ТЕХ_Списки!P58=1,$O$44=1),ТЕХ_Списки!P$1,""),IF(AND(ТЕХ_Списки!Q58=1,$P$44=1),ТЕХ_Списки!Q$1,""),IF(AND(ТЕХ_Списки!R58=1,$Q$44=1),ТЕХ_Списки!R$1,""),IF(AND(ТЕХ_Списки!S58=1,$R$44=1),ТЕХ_Списки!S$1,""),IF(AND(ТЕХ_Списки!T58=1,$S$44=1),ТЕХ_Списки!T$1,""),IF(AND(ТЕХ_Списки!U58=1,$T$44=1),ТЕХ_Списки!U$1,""),IF(AND(ТЕХ_Списки!V58=1,$U$44=1),ТЕХ_Списки!V$1,""),IF(AND(ТЕХ_Списки!W58=1,$V$44=1),ТЕХ_Списки!W$1,""),IF(AND(ТЕХ_Списки!X58=1,$W$44=1),ТЕХ_Списки!X$1,""),IF(AND(ТЕХ_Списки!Y58=1,$X$44=1),ТЕХ_Списки!Y$1,""),IF(AND(ТЕХ_Списки!Z58=1,$Y$44=1),ТЕХ_Списки!Z$1,""),IF(AND(ТЕХ_Списки!AA58=1,$Z$44=1),ТЕХ_Списки!AA$1,""),IF(AND(ТЕХ_Списки!AB58=1,$AA$44=1),ТЕХ_Списки!AB$1,""),IF(AND(ТЕХ_Списки!AC58=1,$AB$44=1),ТЕХ_Списки!AC$1,""),IF(AND(ТЕХ_Списки!AD58=1,$AC$44=1),ТЕХ_Списки!AD$1,""),IF(AND(ТЕХ_Списки!AE58=1,$AD$44=1),ТЕХ_Списки!AE$1,""),IF(AND(ТЕХ_Списки!AF58=1,$AE$44=1),ТЕХ_Списки!AF$1,""),IF(AND(ТЕХ_Списки!AG58=1,$AF$44=1),ТЕХ_Списки!AG$1,""),IF(AND(ТЕХ_Списки!AH58=1,$AG$44=1),ТЕХ_Списки!AH$1,""),IF(AND(ТЕХ_Списки!AI58=1,$AH$44=1),ТЕХ_Списки!AI$1,""),IF(AND(ТЕХ_Списки!AJ58=1,$AI$44=1),ТЕХ_Списки!AJ$1,""),IF(AND(ТЕХ_Списки!AK58=1,$AJ$44=1),ТЕХ_Списки!AK$1,""),IF(AND(ТЕХ_Списки!AL58=1,$AK$44=1),ТЕХ_Списки!AL$1,""),IF(AND(ТЕХ_Списки!AM58=1,$AL$44=1),ТЕХ_Списки!AM$1,""),IF(AND(ТЕХ_Списки!AN58=1,$AM$44=1),ТЕХ_Списки!AN$1,""),IF(AND(ТЕХ_Списки!AO58=1,$AN$44=1),ТЕХ_Списки!AO$1,""),IF(AND(ТЕХ_Списки!AP58=1,$AO$44=1),ТЕХ_Списки!AP$1,""),IF(AND(ТЕХ_Списки!AQ58=1,$AP$44=1),ТЕХ_Списки!AQ$1,""),IF(AND(ТЕХ_Списки!AR58=1,$AQ$44=1),ТЕХ_Списки!AR$1,""),IF(AND(ТЕХ_Списки!AS58=1,$AR$44=1),ТЕХ_Списки!AS$1,""),IF(AND(ТЕХ_Списки!AT58=1,$AS$44=1),ТЕХ_Списки!AT$1,""),IF(AND(ТЕХ_Списки!AU58=1,$AT$44=1),ТЕХ_Списки!AU$1,""),IF(AND(ТЕХ_Списки!AV58=1,$AU$44=1),ТЕХ_Списки!AV$1,""),IF(AND(ТЕХ_Списки!AW58=1,$AV$44=1),ТЕХ_Списки!AW$1,"")))</f>
        <v>#NAME?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>
      <c r="A107" s="4" t="s">
        <v>303</v>
      </c>
      <c r="B107" s="4" t="s">
        <v>304</v>
      </c>
      <c r="C107" s="4" t="s">
        <v>81</v>
      </c>
      <c r="D107" s="4" t="s">
        <v>694</v>
      </c>
      <c r="E107" s="4">
        <f t="shared" si="4"/>
        <v>0</v>
      </c>
      <c r="F107" s="4">
        <f>SUMPRODUCT(ТЕХ_Списки!E59:AW59,$D$44:$AV$44)</f>
        <v>7</v>
      </c>
      <c r="G107" s="4">
        <f>SUMPRODUCT(ТЕХ_Списки!E59:AW59,$D$44:$AV$44,$D$45:$AV$45)</f>
        <v>13</v>
      </c>
      <c r="H107" s="4">
        <f>IF(OR('РЕЙД-КОНСТРУКТОР'!$C$3="Любая",'РЕЙД-КОНСТРУКТОР'!$C$3=C107),1,0)</f>
        <v>1</v>
      </c>
      <c r="I107" s="4">
        <f t="shared" si="5"/>
        <v>1307</v>
      </c>
      <c r="J107" s="4" t="e">
        <f ca="1">IF(I107&lt;0,"",_xludf.RANK.EQ(I107,$I$50:$I$119,0)+COUNTIF($I$50:I107,I107)-1)</f>
        <v>#NAME?</v>
      </c>
      <c r="K107" s="4" t="e">
        <f ca="1">IF(F107=0,"—",_xludf.TEXTJOIN(", ",TRUE,IF(AND(ТЕХ_Списки!E59=1,$D$44=1),ТЕХ_Списки!E$1,""),IF(AND(ТЕХ_Списки!F59=1,$E$44=1),ТЕХ_Списки!F$1,""),IF(AND(ТЕХ_Списки!G59=1,$F$44=1),ТЕХ_Списки!G$1,""),IF(AND(ТЕХ_Списки!H59=1,$G$44=1),ТЕХ_Списки!H$1,""),IF(AND(ТЕХ_Списки!I59=1,$H$44=1),ТЕХ_Списки!I$1,""),IF(AND(ТЕХ_Списки!J59=1,$I$44=1),ТЕХ_Списки!J$1,""),IF(AND(ТЕХ_Списки!K59=1,$J$44=1),ТЕХ_Списки!K$1,""),IF(AND(ТЕХ_Списки!L59=1,$K$44=1),ТЕХ_Списки!L$1,""),IF(AND(ТЕХ_Списки!M59=1,$L$44=1),ТЕХ_Списки!M$1,""),IF(AND(ТЕХ_Списки!N59=1,$M$44=1),ТЕХ_Списки!N$1,""),IF(AND(ТЕХ_Списки!O59=1,$N$44=1),ТЕХ_Списки!O$1,""),IF(AND(ТЕХ_Списки!P59=1,$O$44=1),ТЕХ_Списки!P$1,""),IF(AND(ТЕХ_Списки!Q59=1,$P$44=1),ТЕХ_Списки!Q$1,""),IF(AND(ТЕХ_Списки!R59=1,$Q$44=1),ТЕХ_Списки!R$1,""),IF(AND(ТЕХ_Списки!S59=1,$R$44=1),ТЕХ_Списки!S$1,""),IF(AND(ТЕХ_Списки!T59=1,$S$44=1),ТЕХ_Списки!T$1,""),IF(AND(ТЕХ_Списки!U59=1,$T$44=1),ТЕХ_Списки!U$1,""),IF(AND(ТЕХ_Списки!V59=1,$U$44=1),ТЕХ_Списки!V$1,""),IF(AND(ТЕХ_Списки!W59=1,$V$44=1),ТЕХ_Списки!W$1,""),IF(AND(ТЕХ_Списки!X59=1,$W$44=1),ТЕХ_Списки!X$1,""),IF(AND(ТЕХ_Списки!Y59=1,$X$44=1),ТЕХ_Списки!Y$1,""),IF(AND(ТЕХ_Списки!Z59=1,$Y$44=1),ТЕХ_Списки!Z$1,""),IF(AND(ТЕХ_Списки!AA59=1,$Z$44=1),ТЕХ_Списки!AA$1,""),IF(AND(ТЕХ_Списки!AB59=1,$AA$44=1),ТЕХ_Списки!AB$1,""),IF(AND(ТЕХ_Списки!AC59=1,$AB$44=1),ТЕХ_Списки!AC$1,""),IF(AND(ТЕХ_Списки!AD59=1,$AC$44=1),ТЕХ_Списки!AD$1,""),IF(AND(ТЕХ_Списки!AE59=1,$AD$44=1),ТЕХ_Списки!AE$1,""),IF(AND(ТЕХ_Списки!AF59=1,$AE$44=1),ТЕХ_Списки!AF$1,""),IF(AND(ТЕХ_Списки!AG59=1,$AF$44=1),ТЕХ_Списки!AG$1,""),IF(AND(ТЕХ_Списки!AH59=1,$AG$44=1),ТЕХ_Списки!AH$1,""),IF(AND(ТЕХ_Списки!AI59=1,$AH$44=1),ТЕХ_Списки!AI$1,""),IF(AND(ТЕХ_Списки!AJ59=1,$AI$44=1),ТЕХ_Списки!AJ$1,""),IF(AND(ТЕХ_Списки!AK59=1,$AJ$44=1),ТЕХ_Списки!AK$1,""),IF(AND(ТЕХ_Списки!AL59=1,$AK$44=1),ТЕХ_Списки!AL$1,""),IF(AND(ТЕХ_Списки!AM59=1,$AL$44=1),ТЕХ_Списки!AM$1,""),IF(AND(ТЕХ_Списки!AN59=1,$AM$44=1),ТЕХ_Списки!AN$1,""),IF(AND(ТЕХ_Списки!AO59=1,$AN$44=1),ТЕХ_Списки!AO$1,""),IF(AND(ТЕХ_Списки!AP59=1,$AO$44=1),ТЕХ_Списки!AP$1,""),IF(AND(ТЕХ_Списки!AQ59=1,$AP$44=1),ТЕХ_Списки!AQ$1,""),IF(AND(ТЕХ_Списки!AR59=1,$AQ$44=1),ТЕХ_Списки!AR$1,""),IF(AND(ТЕХ_Списки!AS59=1,$AR$44=1),ТЕХ_Списки!AS$1,""),IF(AND(ТЕХ_Списки!AT59=1,$AS$44=1),ТЕХ_Списки!AT$1,""),IF(AND(ТЕХ_Списки!AU59=1,$AT$44=1),ТЕХ_Списки!AU$1,""),IF(AND(ТЕХ_Списки!AV59=1,$AU$44=1),ТЕХ_Списки!AV$1,""),IF(AND(ТЕХ_Списки!AW59=1,$AV$44=1),ТЕХ_Списки!AW$1,"")))</f>
        <v>#NAME?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>
      <c r="A108" s="4" t="s">
        <v>303</v>
      </c>
      <c r="B108" s="4" t="s">
        <v>306</v>
      </c>
      <c r="C108" s="4" t="s">
        <v>139</v>
      </c>
      <c r="D108" s="4" t="s">
        <v>695</v>
      </c>
      <c r="E108" s="4">
        <f t="shared" si="4"/>
        <v>0</v>
      </c>
      <c r="F108" s="4">
        <f>SUMPRODUCT(ТЕХ_Списки!E60:AW60,$D$44:$AV$44)</f>
        <v>9</v>
      </c>
      <c r="G108" s="4">
        <f>SUMPRODUCT(ТЕХ_Списки!E60:AW60,$D$44:$AV$44,$D$45:$AV$45)</f>
        <v>17</v>
      </c>
      <c r="H108" s="4">
        <f>IF(OR('РЕЙД-КОНСТРУКТОР'!$C$3="Любая",'РЕЙД-КОНСТРУКТОР'!$C$3=C108),1,0)</f>
        <v>1</v>
      </c>
      <c r="I108" s="4">
        <f t="shared" si="5"/>
        <v>1709</v>
      </c>
      <c r="J108" s="4" t="e">
        <f ca="1">IF(I108&lt;0,"",_xludf.RANK.EQ(I108,$I$50:$I$119,0)+COUNTIF($I$50:I108,I108)-1)</f>
        <v>#NAME?</v>
      </c>
      <c r="K108" s="4" t="e">
        <f ca="1">IF(F108=0,"—",_xludf.TEXTJOIN(", ",TRUE,IF(AND(ТЕХ_Списки!E60=1,$D$44=1),ТЕХ_Списки!E$1,""),IF(AND(ТЕХ_Списки!F60=1,$E$44=1),ТЕХ_Списки!F$1,""),IF(AND(ТЕХ_Списки!G60=1,$F$44=1),ТЕХ_Списки!G$1,""),IF(AND(ТЕХ_Списки!H60=1,$G$44=1),ТЕХ_Списки!H$1,""),IF(AND(ТЕХ_Списки!I60=1,$H$44=1),ТЕХ_Списки!I$1,""),IF(AND(ТЕХ_Списки!J60=1,$I$44=1),ТЕХ_Списки!J$1,""),IF(AND(ТЕХ_Списки!K60=1,$J$44=1),ТЕХ_Списки!K$1,""),IF(AND(ТЕХ_Списки!L60=1,$K$44=1),ТЕХ_Списки!L$1,""),IF(AND(ТЕХ_Списки!M60=1,$L$44=1),ТЕХ_Списки!M$1,""),IF(AND(ТЕХ_Списки!N60=1,$M$44=1),ТЕХ_Списки!N$1,""),IF(AND(ТЕХ_Списки!O60=1,$N$44=1),ТЕХ_Списки!O$1,""),IF(AND(ТЕХ_Списки!P60=1,$O$44=1),ТЕХ_Списки!P$1,""),IF(AND(ТЕХ_Списки!Q60=1,$P$44=1),ТЕХ_Списки!Q$1,""),IF(AND(ТЕХ_Списки!R60=1,$Q$44=1),ТЕХ_Списки!R$1,""),IF(AND(ТЕХ_Списки!S60=1,$R$44=1),ТЕХ_Списки!S$1,""),IF(AND(ТЕХ_Списки!T60=1,$S$44=1),ТЕХ_Списки!T$1,""),IF(AND(ТЕХ_Списки!U60=1,$T$44=1),ТЕХ_Списки!U$1,""),IF(AND(ТЕХ_Списки!V60=1,$U$44=1),ТЕХ_Списки!V$1,""),IF(AND(ТЕХ_Списки!W60=1,$V$44=1),ТЕХ_Списки!W$1,""),IF(AND(ТЕХ_Списки!X60=1,$W$44=1),ТЕХ_Списки!X$1,""),IF(AND(ТЕХ_Списки!Y60=1,$X$44=1),ТЕХ_Списки!Y$1,""),IF(AND(ТЕХ_Списки!Z60=1,$Y$44=1),ТЕХ_Списки!Z$1,""),IF(AND(ТЕХ_Списки!AA60=1,$Z$44=1),ТЕХ_Списки!AA$1,""),IF(AND(ТЕХ_Списки!AB60=1,$AA$44=1),ТЕХ_Списки!AB$1,""),IF(AND(ТЕХ_Списки!AC60=1,$AB$44=1),ТЕХ_Списки!AC$1,""),IF(AND(ТЕХ_Списки!AD60=1,$AC$44=1),ТЕХ_Списки!AD$1,""),IF(AND(ТЕХ_Списки!AE60=1,$AD$44=1),ТЕХ_Списки!AE$1,""),IF(AND(ТЕХ_Списки!AF60=1,$AE$44=1),ТЕХ_Списки!AF$1,""),IF(AND(ТЕХ_Списки!AG60=1,$AF$44=1),ТЕХ_Списки!AG$1,""),IF(AND(ТЕХ_Списки!AH60=1,$AG$44=1),ТЕХ_Списки!AH$1,""),IF(AND(ТЕХ_Списки!AI60=1,$AH$44=1),ТЕХ_Списки!AI$1,""),IF(AND(ТЕХ_Списки!AJ60=1,$AI$44=1),ТЕХ_Списки!AJ$1,""),IF(AND(ТЕХ_Списки!AK60=1,$AJ$44=1),ТЕХ_Списки!AK$1,""),IF(AND(ТЕХ_Списки!AL60=1,$AK$44=1),ТЕХ_Списки!AL$1,""),IF(AND(ТЕХ_Списки!AM60=1,$AL$44=1),ТЕХ_Списки!AM$1,""),IF(AND(ТЕХ_Списки!AN60=1,$AM$44=1),ТЕХ_Списки!AN$1,""),IF(AND(ТЕХ_Списки!AO60=1,$AN$44=1),ТЕХ_Списки!AO$1,""),IF(AND(ТЕХ_Списки!AP60=1,$AO$44=1),ТЕХ_Списки!AP$1,""),IF(AND(ТЕХ_Списки!AQ60=1,$AP$44=1),ТЕХ_Списки!AQ$1,""),IF(AND(ТЕХ_Списки!AR60=1,$AQ$44=1),ТЕХ_Списки!AR$1,""),IF(AND(ТЕХ_Списки!AS60=1,$AR$44=1),ТЕХ_Списки!AS$1,""),IF(AND(ТЕХ_Списки!AT60=1,$AS$44=1),ТЕХ_Списки!AT$1,""),IF(AND(ТЕХ_Списки!AU60=1,$AT$44=1),ТЕХ_Списки!AU$1,""),IF(AND(ТЕХ_Списки!AV60=1,$AU$44=1),ТЕХ_Списки!AV$1,""),IF(AND(ТЕХ_Списки!AW60=1,$AV$44=1),ТЕХ_Списки!AW$1,"")))</f>
        <v>#NAME?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>
      <c r="A109" s="4" t="s">
        <v>303</v>
      </c>
      <c r="B109" s="4" t="s">
        <v>309</v>
      </c>
      <c r="C109" s="4" t="s">
        <v>139</v>
      </c>
      <c r="D109" s="4" t="s">
        <v>696</v>
      </c>
      <c r="E109" s="4">
        <f t="shared" si="4"/>
        <v>0</v>
      </c>
      <c r="F109" s="4">
        <f>SUMPRODUCT(ТЕХ_Списки!E61:AW61,$D$44:$AV$44)</f>
        <v>9</v>
      </c>
      <c r="G109" s="4">
        <f>SUMPRODUCT(ТЕХ_Списки!E61:AW61,$D$44:$AV$44,$D$45:$AV$45)</f>
        <v>17</v>
      </c>
      <c r="H109" s="4">
        <f>IF(OR('РЕЙД-КОНСТРУКТОР'!$C$3="Любая",'РЕЙД-КОНСТРУКТОР'!$C$3=C109),1,0)</f>
        <v>1</v>
      </c>
      <c r="I109" s="4">
        <f t="shared" si="5"/>
        <v>1709</v>
      </c>
      <c r="J109" s="4" t="e">
        <f ca="1">IF(I109&lt;0,"",_xludf.RANK.EQ(I109,$I$50:$I$119,0)+COUNTIF($I$50:I109,I109)-1)</f>
        <v>#NAME?</v>
      </c>
      <c r="K109" s="4" t="e">
        <f ca="1">IF(F109=0,"—",_xludf.TEXTJOIN(", ",TRUE,IF(AND(ТЕХ_Списки!E61=1,$D$44=1),ТЕХ_Списки!E$1,""),IF(AND(ТЕХ_Списки!F61=1,$E$44=1),ТЕХ_Списки!F$1,""),IF(AND(ТЕХ_Списки!G61=1,$F$44=1),ТЕХ_Списки!G$1,""),IF(AND(ТЕХ_Списки!H61=1,$G$44=1),ТЕХ_Списки!H$1,""),IF(AND(ТЕХ_Списки!I61=1,$H$44=1),ТЕХ_Списки!I$1,""),IF(AND(ТЕХ_Списки!J61=1,$I$44=1),ТЕХ_Списки!J$1,""),IF(AND(ТЕХ_Списки!K61=1,$J$44=1),ТЕХ_Списки!K$1,""),IF(AND(ТЕХ_Списки!L61=1,$K$44=1),ТЕХ_Списки!L$1,""),IF(AND(ТЕХ_Списки!M61=1,$L$44=1),ТЕХ_Списки!M$1,""),IF(AND(ТЕХ_Списки!N61=1,$M$44=1),ТЕХ_Списки!N$1,""),IF(AND(ТЕХ_Списки!O61=1,$N$44=1),ТЕХ_Списки!O$1,""),IF(AND(ТЕХ_Списки!P61=1,$O$44=1),ТЕХ_Списки!P$1,""),IF(AND(ТЕХ_Списки!Q61=1,$P$44=1),ТЕХ_Списки!Q$1,""),IF(AND(ТЕХ_Списки!R61=1,$Q$44=1),ТЕХ_Списки!R$1,""),IF(AND(ТЕХ_Списки!S61=1,$R$44=1),ТЕХ_Списки!S$1,""),IF(AND(ТЕХ_Списки!T61=1,$S$44=1),ТЕХ_Списки!T$1,""),IF(AND(ТЕХ_Списки!U61=1,$T$44=1),ТЕХ_Списки!U$1,""),IF(AND(ТЕХ_Списки!V61=1,$U$44=1),ТЕХ_Списки!V$1,""),IF(AND(ТЕХ_Списки!W61=1,$V$44=1),ТЕХ_Списки!W$1,""),IF(AND(ТЕХ_Списки!X61=1,$W$44=1),ТЕХ_Списки!X$1,""),IF(AND(ТЕХ_Списки!Y61=1,$X$44=1),ТЕХ_Списки!Y$1,""),IF(AND(ТЕХ_Списки!Z61=1,$Y$44=1),ТЕХ_Списки!Z$1,""),IF(AND(ТЕХ_Списки!AA61=1,$Z$44=1),ТЕХ_Списки!AA$1,""),IF(AND(ТЕХ_Списки!AB61=1,$AA$44=1),ТЕХ_Списки!AB$1,""),IF(AND(ТЕХ_Списки!AC61=1,$AB$44=1),ТЕХ_Списки!AC$1,""),IF(AND(ТЕХ_Списки!AD61=1,$AC$44=1),ТЕХ_Списки!AD$1,""),IF(AND(ТЕХ_Списки!AE61=1,$AD$44=1),ТЕХ_Списки!AE$1,""),IF(AND(ТЕХ_Списки!AF61=1,$AE$44=1),ТЕХ_Списки!AF$1,""),IF(AND(ТЕХ_Списки!AG61=1,$AF$44=1),ТЕХ_Списки!AG$1,""),IF(AND(ТЕХ_Списки!AH61=1,$AG$44=1),ТЕХ_Списки!AH$1,""),IF(AND(ТЕХ_Списки!AI61=1,$AH$44=1),ТЕХ_Списки!AI$1,""),IF(AND(ТЕХ_Списки!AJ61=1,$AI$44=1),ТЕХ_Списки!AJ$1,""),IF(AND(ТЕХ_Списки!AK61=1,$AJ$44=1),ТЕХ_Списки!AK$1,""),IF(AND(ТЕХ_Списки!AL61=1,$AK$44=1),ТЕХ_Списки!AL$1,""),IF(AND(ТЕХ_Списки!AM61=1,$AL$44=1),ТЕХ_Списки!AM$1,""),IF(AND(ТЕХ_Списки!AN61=1,$AM$44=1),ТЕХ_Списки!AN$1,""),IF(AND(ТЕХ_Списки!AO61=1,$AN$44=1),ТЕХ_Списки!AO$1,""),IF(AND(ТЕХ_Списки!AP61=1,$AO$44=1),ТЕХ_Списки!AP$1,""),IF(AND(ТЕХ_Списки!AQ61=1,$AP$44=1),ТЕХ_Списки!AQ$1,""),IF(AND(ТЕХ_Списки!AR61=1,$AQ$44=1),ТЕХ_Списки!AR$1,""),IF(AND(ТЕХ_Списки!AS61=1,$AR$44=1),ТЕХ_Списки!AS$1,""),IF(AND(ТЕХ_Списки!AT61=1,$AS$44=1),ТЕХ_Списки!AT$1,""),IF(AND(ТЕХ_Списки!AU61=1,$AT$44=1),ТЕХ_Списки!AU$1,""),IF(AND(ТЕХ_Списки!AV61=1,$AU$44=1),ТЕХ_Списки!AV$1,""),IF(AND(ТЕХ_Списки!AW61=1,$AV$44=1),ТЕХ_Списки!AW$1,"")))</f>
        <v>#NAME?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>
      <c r="A110" s="4" t="s">
        <v>312</v>
      </c>
      <c r="B110" s="4" t="s">
        <v>313</v>
      </c>
      <c r="C110" s="4" t="s">
        <v>139</v>
      </c>
      <c r="D110" s="4" t="s">
        <v>697</v>
      </c>
      <c r="E110" s="4">
        <f t="shared" si="4"/>
        <v>0</v>
      </c>
      <c r="F110" s="4">
        <f>SUMPRODUCT(ТЕХ_Списки!E62:AW62,$D$44:$AV$44)</f>
        <v>8</v>
      </c>
      <c r="G110" s="4">
        <f>SUMPRODUCT(ТЕХ_Списки!E62:AW62,$D$44:$AV$44,$D$45:$AV$45)</f>
        <v>18</v>
      </c>
      <c r="H110" s="4">
        <f>IF(OR('РЕЙД-КОНСТРУКТОР'!$C$3="Любая",'РЕЙД-КОНСТРУКТОР'!$C$3=C110),1,0)</f>
        <v>1</v>
      </c>
      <c r="I110" s="4">
        <f t="shared" si="5"/>
        <v>1808</v>
      </c>
      <c r="J110" s="4" t="e">
        <f ca="1">IF(I110&lt;0,"",_xludf.RANK.EQ(I110,$I$50:$I$119,0)+COUNTIF($I$50:I110,I110)-1)</f>
        <v>#NAME?</v>
      </c>
      <c r="K110" s="4" t="e">
        <f ca="1">IF(F110=0,"—",_xludf.TEXTJOIN(", ",TRUE,IF(AND(ТЕХ_Списки!E62=1,$D$44=1),ТЕХ_Списки!E$1,""),IF(AND(ТЕХ_Списки!F62=1,$E$44=1),ТЕХ_Списки!F$1,""),IF(AND(ТЕХ_Списки!G62=1,$F$44=1),ТЕХ_Списки!G$1,""),IF(AND(ТЕХ_Списки!H62=1,$G$44=1),ТЕХ_Списки!H$1,""),IF(AND(ТЕХ_Списки!I62=1,$H$44=1),ТЕХ_Списки!I$1,""),IF(AND(ТЕХ_Списки!J62=1,$I$44=1),ТЕХ_Списки!J$1,""),IF(AND(ТЕХ_Списки!K62=1,$J$44=1),ТЕХ_Списки!K$1,""),IF(AND(ТЕХ_Списки!L62=1,$K$44=1),ТЕХ_Списки!L$1,""),IF(AND(ТЕХ_Списки!M62=1,$L$44=1),ТЕХ_Списки!M$1,""),IF(AND(ТЕХ_Списки!N62=1,$M$44=1),ТЕХ_Списки!N$1,""),IF(AND(ТЕХ_Списки!O62=1,$N$44=1),ТЕХ_Списки!O$1,""),IF(AND(ТЕХ_Списки!P62=1,$O$44=1),ТЕХ_Списки!P$1,""),IF(AND(ТЕХ_Списки!Q62=1,$P$44=1),ТЕХ_Списки!Q$1,""),IF(AND(ТЕХ_Списки!R62=1,$Q$44=1),ТЕХ_Списки!R$1,""),IF(AND(ТЕХ_Списки!S62=1,$R$44=1),ТЕХ_Списки!S$1,""),IF(AND(ТЕХ_Списки!T62=1,$S$44=1),ТЕХ_Списки!T$1,""),IF(AND(ТЕХ_Списки!U62=1,$T$44=1),ТЕХ_Списки!U$1,""),IF(AND(ТЕХ_Списки!V62=1,$U$44=1),ТЕХ_Списки!V$1,""),IF(AND(ТЕХ_Списки!W62=1,$V$44=1),ТЕХ_Списки!W$1,""),IF(AND(ТЕХ_Списки!X62=1,$W$44=1),ТЕХ_Списки!X$1,""),IF(AND(ТЕХ_Списки!Y62=1,$X$44=1),ТЕХ_Списки!Y$1,""),IF(AND(ТЕХ_Списки!Z62=1,$Y$44=1),ТЕХ_Списки!Z$1,""),IF(AND(ТЕХ_Списки!AA62=1,$Z$44=1),ТЕХ_Списки!AA$1,""),IF(AND(ТЕХ_Списки!AB62=1,$AA$44=1),ТЕХ_Списки!AB$1,""),IF(AND(ТЕХ_Списки!AC62=1,$AB$44=1),ТЕХ_Списки!AC$1,""),IF(AND(ТЕХ_Списки!AD62=1,$AC$44=1),ТЕХ_Списки!AD$1,""),IF(AND(ТЕХ_Списки!AE62=1,$AD$44=1),ТЕХ_Списки!AE$1,""),IF(AND(ТЕХ_Списки!AF62=1,$AE$44=1),ТЕХ_Списки!AF$1,""),IF(AND(ТЕХ_Списки!AG62=1,$AF$44=1),ТЕХ_Списки!AG$1,""),IF(AND(ТЕХ_Списки!AH62=1,$AG$44=1),ТЕХ_Списки!AH$1,""),IF(AND(ТЕХ_Списки!AI62=1,$AH$44=1),ТЕХ_Списки!AI$1,""),IF(AND(ТЕХ_Списки!AJ62=1,$AI$44=1),ТЕХ_Списки!AJ$1,""),IF(AND(ТЕХ_Списки!AK62=1,$AJ$44=1),ТЕХ_Списки!AK$1,""),IF(AND(ТЕХ_Списки!AL62=1,$AK$44=1),ТЕХ_Списки!AL$1,""),IF(AND(ТЕХ_Списки!AM62=1,$AL$44=1),ТЕХ_Списки!AM$1,""),IF(AND(ТЕХ_Списки!AN62=1,$AM$44=1),ТЕХ_Списки!AN$1,""),IF(AND(ТЕХ_Списки!AO62=1,$AN$44=1),ТЕХ_Списки!AO$1,""),IF(AND(ТЕХ_Списки!AP62=1,$AO$44=1),ТЕХ_Списки!AP$1,""),IF(AND(ТЕХ_Списки!AQ62=1,$AP$44=1),ТЕХ_Списки!AQ$1,""),IF(AND(ТЕХ_Списки!AR62=1,$AQ$44=1),ТЕХ_Списки!AR$1,""),IF(AND(ТЕХ_Списки!AS62=1,$AR$44=1),ТЕХ_Списки!AS$1,""),IF(AND(ТЕХ_Списки!AT62=1,$AS$44=1),ТЕХ_Списки!AT$1,""),IF(AND(ТЕХ_Списки!AU62=1,$AT$44=1),ТЕХ_Списки!AU$1,""),IF(AND(ТЕХ_Списки!AV62=1,$AU$44=1),ТЕХ_Списки!AV$1,""),IF(AND(ТЕХ_Списки!AW62=1,$AV$44=1),ТЕХ_Списки!AW$1,"")))</f>
        <v>#NAME?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>
      <c r="A111" s="4" t="s">
        <v>312</v>
      </c>
      <c r="B111" s="4" t="s">
        <v>316</v>
      </c>
      <c r="C111" s="4" t="s">
        <v>139</v>
      </c>
      <c r="D111" s="4" t="s">
        <v>698</v>
      </c>
      <c r="E111" s="4">
        <f t="shared" si="4"/>
        <v>0</v>
      </c>
      <c r="F111" s="4">
        <f>SUMPRODUCT(ТЕХ_Списки!E63:AW63,$D$44:$AV$44)</f>
        <v>9</v>
      </c>
      <c r="G111" s="4">
        <f>SUMPRODUCT(ТЕХ_Списки!E63:AW63,$D$44:$AV$44,$D$45:$AV$45)</f>
        <v>21</v>
      </c>
      <c r="H111" s="4">
        <f>IF(OR('РЕЙД-КОНСТРУКТОР'!$C$3="Любая",'РЕЙД-КОНСТРУКТОР'!$C$3=C111),1,0)</f>
        <v>1</v>
      </c>
      <c r="I111" s="4">
        <f t="shared" si="5"/>
        <v>2109</v>
      </c>
      <c r="J111" s="4" t="e">
        <f ca="1">IF(I111&lt;0,"",_xludf.RANK.EQ(I111,$I$50:$I$119,0)+COUNTIF($I$50:I111,I111)-1)</f>
        <v>#NAME?</v>
      </c>
      <c r="K111" s="4" t="e">
        <f ca="1">IF(F111=0,"—",_xludf.TEXTJOIN(", ",TRUE,IF(AND(ТЕХ_Списки!E63=1,$D$44=1),ТЕХ_Списки!E$1,""),IF(AND(ТЕХ_Списки!F63=1,$E$44=1),ТЕХ_Списки!F$1,""),IF(AND(ТЕХ_Списки!G63=1,$F$44=1),ТЕХ_Списки!G$1,""),IF(AND(ТЕХ_Списки!H63=1,$G$44=1),ТЕХ_Списки!H$1,""),IF(AND(ТЕХ_Списки!I63=1,$H$44=1),ТЕХ_Списки!I$1,""),IF(AND(ТЕХ_Списки!J63=1,$I$44=1),ТЕХ_Списки!J$1,""),IF(AND(ТЕХ_Списки!K63=1,$J$44=1),ТЕХ_Списки!K$1,""),IF(AND(ТЕХ_Списки!L63=1,$K$44=1),ТЕХ_Списки!L$1,""),IF(AND(ТЕХ_Списки!M63=1,$L$44=1),ТЕХ_Списки!M$1,""),IF(AND(ТЕХ_Списки!N63=1,$M$44=1),ТЕХ_Списки!N$1,""),IF(AND(ТЕХ_Списки!O63=1,$N$44=1),ТЕХ_Списки!O$1,""),IF(AND(ТЕХ_Списки!P63=1,$O$44=1),ТЕХ_Списки!P$1,""),IF(AND(ТЕХ_Списки!Q63=1,$P$44=1),ТЕХ_Списки!Q$1,""),IF(AND(ТЕХ_Списки!R63=1,$Q$44=1),ТЕХ_Списки!R$1,""),IF(AND(ТЕХ_Списки!S63=1,$R$44=1),ТЕХ_Списки!S$1,""),IF(AND(ТЕХ_Списки!T63=1,$S$44=1),ТЕХ_Списки!T$1,""),IF(AND(ТЕХ_Списки!U63=1,$T$44=1),ТЕХ_Списки!U$1,""),IF(AND(ТЕХ_Списки!V63=1,$U$44=1),ТЕХ_Списки!V$1,""),IF(AND(ТЕХ_Списки!W63=1,$V$44=1),ТЕХ_Списки!W$1,""),IF(AND(ТЕХ_Списки!X63=1,$W$44=1),ТЕХ_Списки!X$1,""),IF(AND(ТЕХ_Списки!Y63=1,$X$44=1),ТЕХ_Списки!Y$1,""),IF(AND(ТЕХ_Списки!Z63=1,$Y$44=1),ТЕХ_Списки!Z$1,""),IF(AND(ТЕХ_Списки!AA63=1,$Z$44=1),ТЕХ_Списки!AA$1,""),IF(AND(ТЕХ_Списки!AB63=1,$AA$44=1),ТЕХ_Списки!AB$1,""),IF(AND(ТЕХ_Списки!AC63=1,$AB$44=1),ТЕХ_Списки!AC$1,""),IF(AND(ТЕХ_Списки!AD63=1,$AC$44=1),ТЕХ_Списки!AD$1,""),IF(AND(ТЕХ_Списки!AE63=1,$AD$44=1),ТЕХ_Списки!AE$1,""),IF(AND(ТЕХ_Списки!AF63=1,$AE$44=1),ТЕХ_Списки!AF$1,""),IF(AND(ТЕХ_Списки!AG63=1,$AF$44=1),ТЕХ_Списки!AG$1,""),IF(AND(ТЕХ_Списки!AH63=1,$AG$44=1),ТЕХ_Списки!AH$1,""),IF(AND(ТЕХ_Списки!AI63=1,$AH$44=1),ТЕХ_Списки!AI$1,""),IF(AND(ТЕХ_Списки!AJ63=1,$AI$44=1),ТЕХ_Списки!AJ$1,""),IF(AND(ТЕХ_Списки!AK63=1,$AJ$44=1),ТЕХ_Списки!AK$1,""),IF(AND(ТЕХ_Списки!AL63=1,$AK$44=1),ТЕХ_Списки!AL$1,""),IF(AND(ТЕХ_Списки!AM63=1,$AL$44=1),ТЕХ_Списки!AM$1,""),IF(AND(ТЕХ_Списки!AN63=1,$AM$44=1),ТЕХ_Списки!AN$1,""),IF(AND(ТЕХ_Списки!AO63=1,$AN$44=1),ТЕХ_Списки!AO$1,""),IF(AND(ТЕХ_Списки!AP63=1,$AO$44=1),ТЕХ_Списки!AP$1,""),IF(AND(ТЕХ_Списки!AQ63=1,$AP$44=1),ТЕХ_Списки!AQ$1,""),IF(AND(ТЕХ_Списки!AR63=1,$AQ$44=1),ТЕХ_Списки!AR$1,""),IF(AND(ТЕХ_Списки!AS63=1,$AR$44=1),ТЕХ_Списки!AS$1,""),IF(AND(ТЕХ_Списки!AT63=1,$AS$44=1),ТЕХ_Списки!AT$1,""),IF(AND(ТЕХ_Списки!AU63=1,$AT$44=1),ТЕХ_Списки!AU$1,""),IF(AND(ТЕХ_Списки!AV63=1,$AU$44=1),ТЕХ_Списки!AV$1,""),IF(AND(ТЕХ_Списки!AW63=1,$AV$44=1),ТЕХ_Списки!AW$1,"")))</f>
        <v>#NAME?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>
      <c r="A112" s="4" t="s">
        <v>312</v>
      </c>
      <c r="B112" s="4" t="s">
        <v>319</v>
      </c>
      <c r="C112" s="4" t="s">
        <v>139</v>
      </c>
      <c r="D112" s="4" t="s">
        <v>699</v>
      </c>
      <c r="E112" s="4">
        <f t="shared" si="4"/>
        <v>0</v>
      </c>
      <c r="F112" s="4">
        <f>SUMPRODUCT(ТЕХ_Списки!E64:AW64,$D$44:$AV$44)</f>
        <v>9</v>
      </c>
      <c r="G112" s="4">
        <f>SUMPRODUCT(ТЕХ_Списки!E64:AW64,$D$44:$AV$44,$D$45:$AV$45)</f>
        <v>21</v>
      </c>
      <c r="H112" s="4">
        <f>IF(OR('РЕЙД-КОНСТРУКТОР'!$C$3="Любая",'РЕЙД-КОНСТРУКТОР'!$C$3=C112),1,0)</f>
        <v>1</v>
      </c>
      <c r="I112" s="4">
        <f t="shared" si="5"/>
        <v>2109</v>
      </c>
      <c r="J112" s="4" t="e">
        <f ca="1">IF(I112&lt;0,"",_xludf.RANK.EQ(I112,$I$50:$I$119,0)+COUNTIF($I$50:I112,I112)-1)</f>
        <v>#NAME?</v>
      </c>
      <c r="K112" s="4" t="e">
        <f ca="1">IF(F112=0,"—",_xludf.TEXTJOIN(", ",TRUE,IF(AND(ТЕХ_Списки!E64=1,$D$44=1),ТЕХ_Списки!E$1,""),IF(AND(ТЕХ_Списки!F64=1,$E$44=1),ТЕХ_Списки!F$1,""),IF(AND(ТЕХ_Списки!G64=1,$F$44=1),ТЕХ_Списки!G$1,""),IF(AND(ТЕХ_Списки!H64=1,$G$44=1),ТЕХ_Списки!H$1,""),IF(AND(ТЕХ_Списки!I64=1,$H$44=1),ТЕХ_Списки!I$1,""),IF(AND(ТЕХ_Списки!J64=1,$I$44=1),ТЕХ_Списки!J$1,""),IF(AND(ТЕХ_Списки!K64=1,$J$44=1),ТЕХ_Списки!K$1,""),IF(AND(ТЕХ_Списки!L64=1,$K$44=1),ТЕХ_Списки!L$1,""),IF(AND(ТЕХ_Списки!M64=1,$L$44=1),ТЕХ_Списки!M$1,""),IF(AND(ТЕХ_Списки!N64=1,$M$44=1),ТЕХ_Списки!N$1,""),IF(AND(ТЕХ_Списки!O64=1,$N$44=1),ТЕХ_Списки!O$1,""),IF(AND(ТЕХ_Списки!P64=1,$O$44=1),ТЕХ_Списки!P$1,""),IF(AND(ТЕХ_Списки!Q64=1,$P$44=1),ТЕХ_Списки!Q$1,""),IF(AND(ТЕХ_Списки!R64=1,$Q$44=1),ТЕХ_Списки!R$1,""),IF(AND(ТЕХ_Списки!S64=1,$R$44=1),ТЕХ_Списки!S$1,""),IF(AND(ТЕХ_Списки!T64=1,$S$44=1),ТЕХ_Списки!T$1,""),IF(AND(ТЕХ_Списки!U64=1,$T$44=1),ТЕХ_Списки!U$1,""),IF(AND(ТЕХ_Списки!V64=1,$U$44=1),ТЕХ_Списки!V$1,""),IF(AND(ТЕХ_Списки!W64=1,$V$44=1),ТЕХ_Списки!W$1,""),IF(AND(ТЕХ_Списки!X64=1,$W$44=1),ТЕХ_Списки!X$1,""),IF(AND(ТЕХ_Списки!Y64=1,$X$44=1),ТЕХ_Списки!Y$1,""),IF(AND(ТЕХ_Списки!Z64=1,$Y$44=1),ТЕХ_Списки!Z$1,""),IF(AND(ТЕХ_Списки!AA64=1,$Z$44=1),ТЕХ_Списки!AA$1,""),IF(AND(ТЕХ_Списки!AB64=1,$AA$44=1),ТЕХ_Списки!AB$1,""),IF(AND(ТЕХ_Списки!AC64=1,$AB$44=1),ТЕХ_Списки!AC$1,""),IF(AND(ТЕХ_Списки!AD64=1,$AC$44=1),ТЕХ_Списки!AD$1,""),IF(AND(ТЕХ_Списки!AE64=1,$AD$44=1),ТЕХ_Списки!AE$1,""),IF(AND(ТЕХ_Списки!AF64=1,$AE$44=1),ТЕХ_Списки!AF$1,""),IF(AND(ТЕХ_Списки!AG64=1,$AF$44=1),ТЕХ_Списки!AG$1,""),IF(AND(ТЕХ_Списки!AH64=1,$AG$44=1),ТЕХ_Списки!AH$1,""),IF(AND(ТЕХ_Списки!AI64=1,$AH$44=1),ТЕХ_Списки!AI$1,""),IF(AND(ТЕХ_Списки!AJ64=1,$AI$44=1),ТЕХ_Списки!AJ$1,""),IF(AND(ТЕХ_Списки!AK64=1,$AJ$44=1),ТЕХ_Списки!AK$1,""),IF(AND(ТЕХ_Списки!AL64=1,$AK$44=1),ТЕХ_Списки!AL$1,""),IF(AND(ТЕХ_Списки!AM64=1,$AL$44=1),ТЕХ_Списки!AM$1,""),IF(AND(ТЕХ_Списки!AN64=1,$AM$44=1),ТЕХ_Списки!AN$1,""),IF(AND(ТЕХ_Списки!AO64=1,$AN$44=1),ТЕХ_Списки!AO$1,""),IF(AND(ТЕХ_Списки!AP64=1,$AO$44=1),ТЕХ_Списки!AP$1,""),IF(AND(ТЕХ_Списки!AQ64=1,$AP$44=1),ТЕХ_Списки!AQ$1,""),IF(AND(ТЕХ_Списки!AR64=1,$AQ$44=1),ТЕХ_Списки!AR$1,""),IF(AND(ТЕХ_Списки!AS64=1,$AR$44=1),ТЕХ_Списки!AS$1,""),IF(AND(ТЕХ_Списки!AT64=1,$AS$44=1),ТЕХ_Списки!AT$1,""),IF(AND(ТЕХ_Списки!AU64=1,$AT$44=1),ТЕХ_Списки!AU$1,""),IF(AND(ТЕХ_Списки!AV64=1,$AU$44=1),ТЕХ_Списки!AV$1,""),IF(AND(ТЕХ_Списки!AW64=1,$AV$44=1),ТЕХ_Списки!AW$1,"")))</f>
        <v>#NAME?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>
      <c r="A113" s="4" t="s">
        <v>322</v>
      </c>
      <c r="B113" s="4" t="s">
        <v>323</v>
      </c>
      <c r="C113" s="4" t="s">
        <v>135</v>
      </c>
      <c r="D113" s="4" t="s">
        <v>700</v>
      </c>
      <c r="E113" s="4">
        <f t="shared" si="4"/>
        <v>0</v>
      </c>
      <c r="F113" s="4">
        <f>SUMPRODUCT(ТЕХ_Списки!E65:AW65,$D$44:$AV$44)</f>
        <v>7</v>
      </c>
      <c r="G113" s="4">
        <f>SUMPRODUCT(ТЕХ_Списки!E65:AW65,$D$44:$AV$44,$D$45:$AV$45)</f>
        <v>14</v>
      </c>
      <c r="H113" s="4">
        <f>IF(OR('РЕЙД-КОНСТРУКТОР'!$C$3="Любая",'РЕЙД-КОНСТРУКТОР'!$C$3=C113),1,0)</f>
        <v>1</v>
      </c>
      <c r="I113" s="4">
        <f t="shared" si="5"/>
        <v>1407</v>
      </c>
      <c r="J113" s="4" t="e">
        <f ca="1">IF(I113&lt;0,"",_xludf.RANK.EQ(I113,$I$50:$I$119,0)+COUNTIF($I$50:I113,I113)-1)</f>
        <v>#NAME?</v>
      </c>
      <c r="K113" s="4" t="e">
        <f ca="1">IF(F113=0,"—",_xludf.TEXTJOIN(", ",TRUE,IF(AND(ТЕХ_Списки!E65=1,$D$44=1),ТЕХ_Списки!E$1,""),IF(AND(ТЕХ_Списки!F65=1,$E$44=1),ТЕХ_Списки!F$1,""),IF(AND(ТЕХ_Списки!G65=1,$F$44=1),ТЕХ_Списки!G$1,""),IF(AND(ТЕХ_Списки!H65=1,$G$44=1),ТЕХ_Списки!H$1,""),IF(AND(ТЕХ_Списки!I65=1,$H$44=1),ТЕХ_Списки!I$1,""),IF(AND(ТЕХ_Списки!J65=1,$I$44=1),ТЕХ_Списки!J$1,""),IF(AND(ТЕХ_Списки!K65=1,$J$44=1),ТЕХ_Списки!K$1,""),IF(AND(ТЕХ_Списки!L65=1,$K$44=1),ТЕХ_Списки!L$1,""),IF(AND(ТЕХ_Списки!M65=1,$L$44=1),ТЕХ_Списки!M$1,""),IF(AND(ТЕХ_Списки!N65=1,$M$44=1),ТЕХ_Списки!N$1,""),IF(AND(ТЕХ_Списки!O65=1,$N$44=1),ТЕХ_Списки!O$1,""),IF(AND(ТЕХ_Списки!P65=1,$O$44=1),ТЕХ_Списки!P$1,""),IF(AND(ТЕХ_Списки!Q65=1,$P$44=1),ТЕХ_Списки!Q$1,""),IF(AND(ТЕХ_Списки!R65=1,$Q$44=1),ТЕХ_Списки!R$1,""),IF(AND(ТЕХ_Списки!S65=1,$R$44=1),ТЕХ_Списки!S$1,""),IF(AND(ТЕХ_Списки!T65=1,$S$44=1),ТЕХ_Списки!T$1,""),IF(AND(ТЕХ_Списки!U65=1,$T$44=1),ТЕХ_Списки!U$1,""),IF(AND(ТЕХ_Списки!V65=1,$U$44=1),ТЕХ_Списки!V$1,""),IF(AND(ТЕХ_Списки!W65=1,$V$44=1),ТЕХ_Списки!W$1,""),IF(AND(ТЕХ_Списки!X65=1,$W$44=1),ТЕХ_Списки!X$1,""),IF(AND(ТЕХ_Списки!Y65=1,$X$44=1),ТЕХ_Списки!Y$1,""),IF(AND(ТЕХ_Списки!Z65=1,$Y$44=1),ТЕХ_Списки!Z$1,""),IF(AND(ТЕХ_Списки!AA65=1,$Z$44=1),ТЕХ_Списки!AA$1,""),IF(AND(ТЕХ_Списки!AB65=1,$AA$44=1),ТЕХ_Списки!AB$1,""),IF(AND(ТЕХ_Списки!AC65=1,$AB$44=1),ТЕХ_Списки!AC$1,""),IF(AND(ТЕХ_Списки!AD65=1,$AC$44=1),ТЕХ_Списки!AD$1,""),IF(AND(ТЕХ_Списки!AE65=1,$AD$44=1),ТЕХ_Списки!AE$1,""),IF(AND(ТЕХ_Списки!AF65=1,$AE$44=1),ТЕХ_Списки!AF$1,""),IF(AND(ТЕХ_Списки!AG65=1,$AF$44=1),ТЕХ_Списки!AG$1,""),IF(AND(ТЕХ_Списки!AH65=1,$AG$44=1),ТЕХ_Списки!AH$1,""),IF(AND(ТЕХ_Списки!AI65=1,$AH$44=1),ТЕХ_Списки!AI$1,""),IF(AND(ТЕХ_Списки!AJ65=1,$AI$44=1),ТЕХ_Списки!AJ$1,""),IF(AND(ТЕХ_Списки!AK65=1,$AJ$44=1),ТЕХ_Списки!AK$1,""),IF(AND(ТЕХ_Списки!AL65=1,$AK$44=1),ТЕХ_Списки!AL$1,""),IF(AND(ТЕХ_Списки!AM65=1,$AL$44=1),ТЕХ_Списки!AM$1,""),IF(AND(ТЕХ_Списки!AN65=1,$AM$44=1),ТЕХ_Списки!AN$1,""),IF(AND(ТЕХ_Списки!AO65=1,$AN$44=1),ТЕХ_Списки!AO$1,""),IF(AND(ТЕХ_Списки!AP65=1,$AO$44=1),ТЕХ_Списки!AP$1,""),IF(AND(ТЕХ_Списки!AQ65=1,$AP$44=1),ТЕХ_Списки!AQ$1,""),IF(AND(ТЕХ_Списки!AR65=1,$AQ$44=1),ТЕХ_Списки!AR$1,""),IF(AND(ТЕХ_Списки!AS65=1,$AR$44=1),ТЕХ_Списки!AS$1,""),IF(AND(ТЕХ_Списки!AT65=1,$AS$44=1),ТЕХ_Списки!AT$1,""),IF(AND(ТЕХ_Списки!AU65=1,$AT$44=1),ТЕХ_Списки!AU$1,""),IF(AND(ТЕХ_Списки!AV65=1,$AU$44=1),ТЕХ_Списки!AV$1,""),IF(AND(ТЕХ_Списки!AW65=1,$AV$44=1),ТЕХ_Списки!AW$1,"")))</f>
        <v>#NAME?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>
      <c r="A114" s="4" t="s">
        <v>322</v>
      </c>
      <c r="B114" s="4" t="s">
        <v>326</v>
      </c>
      <c r="C114" s="4" t="s">
        <v>81</v>
      </c>
      <c r="D114" s="4" t="s">
        <v>701</v>
      </c>
      <c r="E114" s="4">
        <f t="shared" ref="E114:E145" si="6">COUNTIF($A$2:$A$26,D114)</f>
        <v>0</v>
      </c>
      <c r="F114" s="4">
        <f>SUMPRODUCT(ТЕХ_Списки!E66:AW66,$D$44:$AV$44)</f>
        <v>7</v>
      </c>
      <c r="G114" s="4">
        <f>SUMPRODUCT(ТЕХ_Списки!E66:AW66,$D$44:$AV$44,$D$45:$AV$45)</f>
        <v>12</v>
      </c>
      <c r="H114" s="4">
        <f>IF(OR('РЕЙД-КОНСТРУКТОР'!$C$3="Любая",'РЕЙД-КОНСТРУКТОР'!$C$3=C114),1,0)</f>
        <v>1</v>
      </c>
      <c r="I114" s="4">
        <f t="shared" ref="I114:I145" si="7">IF(OR(E114&gt;0,H114=0,F114=0),-1,G114*100+F114)</f>
        <v>1207</v>
      </c>
      <c r="J114" s="4" t="e">
        <f ca="1">IF(I114&lt;0,"",_xludf.RANK.EQ(I114,$I$50:$I$119,0)+COUNTIF($I$50:I114,I114)-1)</f>
        <v>#NAME?</v>
      </c>
      <c r="K114" s="4" t="e">
        <f ca="1">IF(F114=0,"—",_xludf.TEXTJOIN(", ",TRUE,IF(AND(ТЕХ_Списки!E66=1,$D$44=1),ТЕХ_Списки!E$1,""),IF(AND(ТЕХ_Списки!F66=1,$E$44=1),ТЕХ_Списки!F$1,""),IF(AND(ТЕХ_Списки!G66=1,$F$44=1),ТЕХ_Списки!G$1,""),IF(AND(ТЕХ_Списки!H66=1,$G$44=1),ТЕХ_Списки!H$1,""),IF(AND(ТЕХ_Списки!I66=1,$H$44=1),ТЕХ_Списки!I$1,""),IF(AND(ТЕХ_Списки!J66=1,$I$44=1),ТЕХ_Списки!J$1,""),IF(AND(ТЕХ_Списки!K66=1,$J$44=1),ТЕХ_Списки!K$1,""),IF(AND(ТЕХ_Списки!L66=1,$K$44=1),ТЕХ_Списки!L$1,""),IF(AND(ТЕХ_Списки!M66=1,$L$44=1),ТЕХ_Списки!M$1,""),IF(AND(ТЕХ_Списки!N66=1,$M$44=1),ТЕХ_Списки!N$1,""),IF(AND(ТЕХ_Списки!O66=1,$N$44=1),ТЕХ_Списки!O$1,""),IF(AND(ТЕХ_Списки!P66=1,$O$44=1),ТЕХ_Списки!P$1,""),IF(AND(ТЕХ_Списки!Q66=1,$P$44=1),ТЕХ_Списки!Q$1,""),IF(AND(ТЕХ_Списки!R66=1,$Q$44=1),ТЕХ_Списки!R$1,""),IF(AND(ТЕХ_Списки!S66=1,$R$44=1),ТЕХ_Списки!S$1,""),IF(AND(ТЕХ_Списки!T66=1,$S$44=1),ТЕХ_Списки!T$1,""),IF(AND(ТЕХ_Списки!U66=1,$T$44=1),ТЕХ_Списки!U$1,""),IF(AND(ТЕХ_Списки!V66=1,$U$44=1),ТЕХ_Списки!V$1,""),IF(AND(ТЕХ_Списки!W66=1,$V$44=1),ТЕХ_Списки!W$1,""),IF(AND(ТЕХ_Списки!X66=1,$W$44=1),ТЕХ_Списки!X$1,""),IF(AND(ТЕХ_Списки!Y66=1,$X$44=1),ТЕХ_Списки!Y$1,""),IF(AND(ТЕХ_Списки!Z66=1,$Y$44=1),ТЕХ_Списки!Z$1,""),IF(AND(ТЕХ_Списки!AA66=1,$Z$44=1),ТЕХ_Списки!AA$1,""),IF(AND(ТЕХ_Списки!AB66=1,$AA$44=1),ТЕХ_Списки!AB$1,""),IF(AND(ТЕХ_Списки!AC66=1,$AB$44=1),ТЕХ_Списки!AC$1,""),IF(AND(ТЕХ_Списки!AD66=1,$AC$44=1),ТЕХ_Списки!AD$1,""),IF(AND(ТЕХ_Списки!AE66=1,$AD$44=1),ТЕХ_Списки!AE$1,""),IF(AND(ТЕХ_Списки!AF66=1,$AE$44=1),ТЕХ_Списки!AF$1,""),IF(AND(ТЕХ_Списки!AG66=1,$AF$44=1),ТЕХ_Списки!AG$1,""),IF(AND(ТЕХ_Списки!AH66=1,$AG$44=1),ТЕХ_Списки!AH$1,""),IF(AND(ТЕХ_Списки!AI66=1,$AH$44=1),ТЕХ_Списки!AI$1,""),IF(AND(ТЕХ_Списки!AJ66=1,$AI$44=1),ТЕХ_Списки!AJ$1,""),IF(AND(ТЕХ_Списки!AK66=1,$AJ$44=1),ТЕХ_Списки!AK$1,""),IF(AND(ТЕХ_Списки!AL66=1,$AK$44=1),ТЕХ_Списки!AL$1,""),IF(AND(ТЕХ_Списки!AM66=1,$AL$44=1),ТЕХ_Списки!AM$1,""),IF(AND(ТЕХ_Списки!AN66=1,$AM$44=1),ТЕХ_Списки!AN$1,""),IF(AND(ТЕХ_Списки!AO66=1,$AN$44=1),ТЕХ_Списки!AO$1,""),IF(AND(ТЕХ_Списки!AP66=1,$AO$44=1),ТЕХ_Списки!AP$1,""),IF(AND(ТЕХ_Списки!AQ66=1,$AP$44=1),ТЕХ_Списки!AQ$1,""),IF(AND(ТЕХ_Списки!AR66=1,$AQ$44=1),ТЕХ_Списки!AR$1,""),IF(AND(ТЕХ_Списки!AS66=1,$AR$44=1),ТЕХ_Списки!AS$1,""),IF(AND(ТЕХ_Списки!AT66=1,$AS$44=1),ТЕХ_Списки!AT$1,""),IF(AND(ТЕХ_Списки!AU66=1,$AT$44=1),ТЕХ_Списки!AU$1,""),IF(AND(ТЕХ_Списки!AV66=1,$AU$44=1),ТЕХ_Списки!AV$1,""),IF(AND(ТЕХ_Списки!AW66=1,$AV$44=1),ТЕХ_Списки!AW$1,"")))</f>
        <v>#NAME?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>
      <c r="A115" s="4" t="s">
        <v>322</v>
      </c>
      <c r="B115" s="4" t="s">
        <v>328</v>
      </c>
      <c r="C115" s="4" t="s">
        <v>78</v>
      </c>
      <c r="D115" s="4" t="s">
        <v>702</v>
      </c>
      <c r="E115" s="4">
        <f t="shared" si="6"/>
        <v>0</v>
      </c>
      <c r="F115" s="4">
        <f>SUMPRODUCT(ТЕХ_Списки!E67:AW67,$D$44:$AV$44)</f>
        <v>8</v>
      </c>
      <c r="G115" s="4">
        <f>SUMPRODUCT(ТЕХ_Списки!E67:AW67,$D$44:$AV$44,$D$45:$AV$45)</f>
        <v>15</v>
      </c>
      <c r="H115" s="4">
        <f>IF(OR('РЕЙД-КОНСТРУКТОР'!$C$3="Любая",'РЕЙД-КОНСТРУКТОР'!$C$3=C115),1,0)</f>
        <v>1</v>
      </c>
      <c r="I115" s="4">
        <f t="shared" si="7"/>
        <v>1508</v>
      </c>
      <c r="J115" s="4" t="e">
        <f ca="1">IF(I115&lt;0,"",_xludf.RANK.EQ(I115,$I$50:$I$119,0)+COUNTIF($I$50:I115,I115)-1)</f>
        <v>#NAME?</v>
      </c>
      <c r="K115" s="4" t="e">
        <f ca="1">IF(F115=0,"—",_xludf.TEXTJOIN(", ",TRUE,IF(AND(ТЕХ_Списки!E67=1,$D$44=1),ТЕХ_Списки!E$1,""),IF(AND(ТЕХ_Списки!F67=1,$E$44=1),ТЕХ_Списки!F$1,""),IF(AND(ТЕХ_Списки!G67=1,$F$44=1),ТЕХ_Списки!G$1,""),IF(AND(ТЕХ_Списки!H67=1,$G$44=1),ТЕХ_Списки!H$1,""),IF(AND(ТЕХ_Списки!I67=1,$H$44=1),ТЕХ_Списки!I$1,""),IF(AND(ТЕХ_Списки!J67=1,$I$44=1),ТЕХ_Списки!J$1,""),IF(AND(ТЕХ_Списки!K67=1,$J$44=1),ТЕХ_Списки!K$1,""),IF(AND(ТЕХ_Списки!L67=1,$K$44=1),ТЕХ_Списки!L$1,""),IF(AND(ТЕХ_Списки!M67=1,$L$44=1),ТЕХ_Списки!M$1,""),IF(AND(ТЕХ_Списки!N67=1,$M$44=1),ТЕХ_Списки!N$1,""),IF(AND(ТЕХ_Списки!O67=1,$N$44=1),ТЕХ_Списки!O$1,""),IF(AND(ТЕХ_Списки!P67=1,$O$44=1),ТЕХ_Списки!P$1,""),IF(AND(ТЕХ_Списки!Q67=1,$P$44=1),ТЕХ_Списки!Q$1,""),IF(AND(ТЕХ_Списки!R67=1,$Q$44=1),ТЕХ_Списки!R$1,""),IF(AND(ТЕХ_Списки!S67=1,$R$44=1),ТЕХ_Списки!S$1,""),IF(AND(ТЕХ_Списки!T67=1,$S$44=1),ТЕХ_Списки!T$1,""),IF(AND(ТЕХ_Списки!U67=1,$T$44=1),ТЕХ_Списки!U$1,""),IF(AND(ТЕХ_Списки!V67=1,$U$44=1),ТЕХ_Списки!V$1,""),IF(AND(ТЕХ_Списки!W67=1,$V$44=1),ТЕХ_Списки!W$1,""),IF(AND(ТЕХ_Списки!X67=1,$W$44=1),ТЕХ_Списки!X$1,""),IF(AND(ТЕХ_Списки!Y67=1,$X$44=1),ТЕХ_Списки!Y$1,""),IF(AND(ТЕХ_Списки!Z67=1,$Y$44=1),ТЕХ_Списки!Z$1,""),IF(AND(ТЕХ_Списки!AA67=1,$Z$44=1),ТЕХ_Списки!AA$1,""),IF(AND(ТЕХ_Списки!AB67=1,$AA$44=1),ТЕХ_Списки!AB$1,""),IF(AND(ТЕХ_Списки!AC67=1,$AB$44=1),ТЕХ_Списки!AC$1,""),IF(AND(ТЕХ_Списки!AD67=1,$AC$44=1),ТЕХ_Списки!AD$1,""),IF(AND(ТЕХ_Списки!AE67=1,$AD$44=1),ТЕХ_Списки!AE$1,""),IF(AND(ТЕХ_Списки!AF67=1,$AE$44=1),ТЕХ_Списки!AF$1,""),IF(AND(ТЕХ_Списки!AG67=1,$AF$44=1),ТЕХ_Списки!AG$1,""),IF(AND(ТЕХ_Списки!AH67=1,$AG$44=1),ТЕХ_Списки!AH$1,""),IF(AND(ТЕХ_Списки!AI67=1,$AH$44=1),ТЕХ_Списки!AI$1,""),IF(AND(ТЕХ_Списки!AJ67=1,$AI$44=1),ТЕХ_Списки!AJ$1,""),IF(AND(ТЕХ_Списки!AK67=1,$AJ$44=1),ТЕХ_Списки!AK$1,""),IF(AND(ТЕХ_Списки!AL67=1,$AK$44=1),ТЕХ_Списки!AL$1,""),IF(AND(ТЕХ_Списки!AM67=1,$AL$44=1),ТЕХ_Списки!AM$1,""),IF(AND(ТЕХ_Списки!AN67=1,$AM$44=1),ТЕХ_Списки!AN$1,""),IF(AND(ТЕХ_Списки!AO67=1,$AN$44=1),ТЕХ_Списки!AO$1,""),IF(AND(ТЕХ_Списки!AP67=1,$AO$44=1),ТЕХ_Списки!AP$1,""),IF(AND(ТЕХ_Списки!AQ67=1,$AP$44=1),ТЕХ_Списки!AQ$1,""),IF(AND(ТЕХ_Списки!AR67=1,$AQ$44=1),ТЕХ_Списки!AR$1,""),IF(AND(ТЕХ_Списки!AS67=1,$AR$44=1),ТЕХ_Списки!AS$1,""),IF(AND(ТЕХ_Списки!AT67=1,$AS$44=1),ТЕХ_Списки!AT$1,""),IF(AND(ТЕХ_Списки!AU67=1,$AT$44=1),ТЕХ_Списки!AU$1,""),IF(AND(ТЕХ_Списки!AV67=1,$AU$44=1),ТЕХ_Списки!AV$1,""),IF(AND(ТЕХ_Списки!AW67=1,$AV$44=1),ТЕХ_Списки!AW$1,"")))</f>
        <v>#NAME?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>
      <c r="A116" s="4" t="s">
        <v>322</v>
      </c>
      <c r="B116" s="4" t="s">
        <v>331</v>
      </c>
      <c r="C116" s="4" t="s">
        <v>139</v>
      </c>
      <c r="D116" s="4" t="s">
        <v>703</v>
      </c>
      <c r="E116" s="4">
        <f t="shared" si="6"/>
        <v>0</v>
      </c>
      <c r="F116" s="4">
        <f>SUMPRODUCT(ТЕХ_Списки!E68:AW68,$D$44:$AV$44)</f>
        <v>8</v>
      </c>
      <c r="G116" s="4">
        <f>SUMPRODUCT(ТЕХ_Списки!E68:AW68,$D$44:$AV$44,$D$45:$AV$45)</f>
        <v>15</v>
      </c>
      <c r="H116" s="4">
        <f>IF(OR('РЕЙД-КОНСТРУКТОР'!$C$3="Любая",'РЕЙД-КОНСТРУКТОР'!$C$3=C116),1,0)</f>
        <v>1</v>
      </c>
      <c r="I116" s="4">
        <f t="shared" si="7"/>
        <v>1508</v>
      </c>
      <c r="J116" s="4" t="e">
        <f ca="1">IF(I116&lt;0,"",_xludf.RANK.EQ(I116,$I$50:$I$119,0)+COUNTIF($I$50:I116,I116)-1)</f>
        <v>#NAME?</v>
      </c>
      <c r="K116" s="4" t="e">
        <f ca="1">IF(F116=0,"—",_xludf.TEXTJOIN(", ",TRUE,IF(AND(ТЕХ_Списки!E68=1,$D$44=1),ТЕХ_Списки!E$1,""),IF(AND(ТЕХ_Списки!F68=1,$E$44=1),ТЕХ_Списки!F$1,""),IF(AND(ТЕХ_Списки!G68=1,$F$44=1),ТЕХ_Списки!G$1,""),IF(AND(ТЕХ_Списки!H68=1,$G$44=1),ТЕХ_Списки!H$1,""),IF(AND(ТЕХ_Списки!I68=1,$H$44=1),ТЕХ_Списки!I$1,""),IF(AND(ТЕХ_Списки!J68=1,$I$44=1),ТЕХ_Списки!J$1,""),IF(AND(ТЕХ_Списки!K68=1,$J$44=1),ТЕХ_Списки!K$1,""),IF(AND(ТЕХ_Списки!L68=1,$K$44=1),ТЕХ_Списки!L$1,""),IF(AND(ТЕХ_Списки!M68=1,$L$44=1),ТЕХ_Списки!M$1,""),IF(AND(ТЕХ_Списки!N68=1,$M$44=1),ТЕХ_Списки!N$1,""),IF(AND(ТЕХ_Списки!O68=1,$N$44=1),ТЕХ_Списки!O$1,""),IF(AND(ТЕХ_Списки!P68=1,$O$44=1),ТЕХ_Списки!P$1,""),IF(AND(ТЕХ_Списки!Q68=1,$P$44=1),ТЕХ_Списки!Q$1,""),IF(AND(ТЕХ_Списки!R68=1,$Q$44=1),ТЕХ_Списки!R$1,""),IF(AND(ТЕХ_Списки!S68=1,$R$44=1),ТЕХ_Списки!S$1,""),IF(AND(ТЕХ_Списки!T68=1,$S$44=1),ТЕХ_Списки!T$1,""),IF(AND(ТЕХ_Списки!U68=1,$T$44=1),ТЕХ_Списки!U$1,""),IF(AND(ТЕХ_Списки!V68=1,$U$44=1),ТЕХ_Списки!V$1,""),IF(AND(ТЕХ_Списки!W68=1,$V$44=1),ТЕХ_Списки!W$1,""),IF(AND(ТЕХ_Списки!X68=1,$W$44=1),ТЕХ_Списки!X$1,""),IF(AND(ТЕХ_Списки!Y68=1,$X$44=1),ТЕХ_Списки!Y$1,""),IF(AND(ТЕХ_Списки!Z68=1,$Y$44=1),ТЕХ_Списки!Z$1,""),IF(AND(ТЕХ_Списки!AA68=1,$Z$44=1),ТЕХ_Списки!AA$1,""),IF(AND(ТЕХ_Списки!AB68=1,$AA$44=1),ТЕХ_Списки!AB$1,""),IF(AND(ТЕХ_Списки!AC68=1,$AB$44=1),ТЕХ_Списки!AC$1,""),IF(AND(ТЕХ_Списки!AD68=1,$AC$44=1),ТЕХ_Списки!AD$1,""),IF(AND(ТЕХ_Списки!AE68=1,$AD$44=1),ТЕХ_Списки!AE$1,""),IF(AND(ТЕХ_Списки!AF68=1,$AE$44=1),ТЕХ_Списки!AF$1,""),IF(AND(ТЕХ_Списки!AG68=1,$AF$44=1),ТЕХ_Списки!AG$1,""),IF(AND(ТЕХ_Списки!AH68=1,$AG$44=1),ТЕХ_Списки!AH$1,""),IF(AND(ТЕХ_Списки!AI68=1,$AH$44=1),ТЕХ_Списки!AI$1,""),IF(AND(ТЕХ_Списки!AJ68=1,$AI$44=1),ТЕХ_Списки!AJ$1,""),IF(AND(ТЕХ_Списки!AK68=1,$AJ$44=1),ТЕХ_Списки!AK$1,""),IF(AND(ТЕХ_Списки!AL68=1,$AK$44=1),ТЕХ_Списки!AL$1,""),IF(AND(ТЕХ_Списки!AM68=1,$AL$44=1),ТЕХ_Списки!AM$1,""),IF(AND(ТЕХ_Списки!AN68=1,$AM$44=1),ТЕХ_Списки!AN$1,""),IF(AND(ТЕХ_Списки!AO68=1,$AN$44=1),ТЕХ_Списки!AO$1,""),IF(AND(ТЕХ_Списки!AP68=1,$AO$44=1),ТЕХ_Списки!AP$1,""),IF(AND(ТЕХ_Списки!AQ68=1,$AP$44=1),ТЕХ_Списки!AQ$1,""),IF(AND(ТЕХ_Списки!AR68=1,$AQ$44=1),ТЕХ_Списки!AR$1,""),IF(AND(ТЕХ_Списки!AS68=1,$AR$44=1),ТЕХ_Списки!AS$1,""),IF(AND(ТЕХ_Списки!AT68=1,$AS$44=1),ТЕХ_Списки!AT$1,""),IF(AND(ТЕХ_Списки!AU68=1,$AT$44=1),ТЕХ_Списки!AU$1,""),IF(AND(ТЕХ_Списки!AV68=1,$AU$44=1),ТЕХ_Списки!AV$1,""),IF(AND(ТЕХ_Списки!AW68=1,$AV$44=1),ТЕХ_Списки!AW$1,"")))</f>
        <v>#NAME?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>
      <c r="A117" s="4" t="s">
        <v>334</v>
      </c>
      <c r="B117" s="4" t="s">
        <v>335</v>
      </c>
      <c r="C117" s="4" t="s">
        <v>139</v>
      </c>
      <c r="D117" s="4" t="s">
        <v>704</v>
      </c>
      <c r="E117" s="4">
        <f t="shared" si="6"/>
        <v>0</v>
      </c>
      <c r="F117" s="4">
        <f>SUMPRODUCT(ТЕХ_Списки!E69:AW69,$D$44:$AV$44)</f>
        <v>7</v>
      </c>
      <c r="G117" s="4">
        <f>SUMPRODUCT(ТЕХ_Списки!E69:AW69,$D$44:$AV$44,$D$45:$AV$45)</f>
        <v>13</v>
      </c>
      <c r="H117" s="4">
        <f>IF(OR('РЕЙД-КОНСТРУКТОР'!$C$3="Любая",'РЕЙД-КОНСТРУКТОР'!$C$3=C117),1,0)</f>
        <v>1</v>
      </c>
      <c r="I117" s="4">
        <f t="shared" si="7"/>
        <v>1307</v>
      </c>
      <c r="J117" s="4" t="e">
        <f ca="1">IF(I117&lt;0,"",_xludf.RANK.EQ(I117,$I$50:$I$119,0)+COUNTIF($I$50:I117,I117)-1)</f>
        <v>#NAME?</v>
      </c>
      <c r="K117" s="4" t="e">
        <f ca="1">IF(F117=0,"—",_xludf.TEXTJOIN(", ",TRUE,IF(AND(ТЕХ_Списки!E69=1,$D$44=1),ТЕХ_Списки!E$1,""),IF(AND(ТЕХ_Списки!F69=1,$E$44=1),ТЕХ_Списки!F$1,""),IF(AND(ТЕХ_Списки!G69=1,$F$44=1),ТЕХ_Списки!G$1,""),IF(AND(ТЕХ_Списки!H69=1,$G$44=1),ТЕХ_Списки!H$1,""),IF(AND(ТЕХ_Списки!I69=1,$H$44=1),ТЕХ_Списки!I$1,""),IF(AND(ТЕХ_Списки!J69=1,$I$44=1),ТЕХ_Списки!J$1,""),IF(AND(ТЕХ_Списки!K69=1,$J$44=1),ТЕХ_Списки!K$1,""),IF(AND(ТЕХ_Списки!L69=1,$K$44=1),ТЕХ_Списки!L$1,""),IF(AND(ТЕХ_Списки!M69=1,$L$44=1),ТЕХ_Списки!M$1,""),IF(AND(ТЕХ_Списки!N69=1,$M$44=1),ТЕХ_Списки!N$1,""),IF(AND(ТЕХ_Списки!O69=1,$N$44=1),ТЕХ_Списки!O$1,""),IF(AND(ТЕХ_Списки!P69=1,$O$44=1),ТЕХ_Списки!P$1,""),IF(AND(ТЕХ_Списки!Q69=1,$P$44=1),ТЕХ_Списки!Q$1,""),IF(AND(ТЕХ_Списки!R69=1,$Q$44=1),ТЕХ_Списки!R$1,""),IF(AND(ТЕХ_Списки!S69=1,$R$44=1),ТЕХ_Списки!S$1,""),IF(AND(ТЕХ_Списки!T69=1,$S$44=1),ТЕХ_Списки!T$1,""),IF(AND(ТЕХ_Списки!U69=1,$T$44=1),ТЕХ_Списки!U$1,""),IF(AND(ТЕХ_Списки!V69=1,$U$44=1),ТЕХ_Списки!V$1,""),IF(AND(ТЕХ_Списки!W69=1,$V$44=1),ТЕХ_Списки!W$1,""),IF(AND(ТЕХ_Списки!X69=1,$W$44=1),ТЕХ_Списки!X$1,""),IF(AND(ТЕХ_Списки!Y69=1,$X$44=1),ТЕХ_Списки!Y$1,""),IF(AND(ТЕХ_Списки!Z69=1,$Y$44=1),ТЕХ_Списки!Z$1,""),IF(AND(ТЕХ_Списки!AA69=1,$Z$44=1),ТЕХ_Списки!AA$1,""),IF(AND(ТЕХ_Списки!AB69=1,$AA$44=1),ТЕХ_Списки!AB$1,""),IF(AND(ТЕХ_Списки!AC69=1,$AB$44=1),ТЕХ_Списки!AC$1,""),IF(AND(ТЕХ_Списки!AD69=1,$AC$44=1),ТЕХ_Списки!AD$1,""),IF(AND(ТЕХ_Списки!AE69=1,$AD$44=1),ТЕХ_Списки!AE$1,""),IF(AND(ТЕХ_Списки!AF69=1,$AE$44=1),ТЕХ_Списки!AF$1,""),IF(AND(ТЕХ_Списки!AG69=1,$AF$44=1),ТЕХ_Списки!AG$1,""),IF(AND(ТЕХ_Списки!AH69=1,$AG$44=1),ТЕХ_Списки!AH$1,""),IF(AND(ТЕХ_Списки!AI69=1,$AH$44=1),ТЕХ_Списки!AI$1,""),IF(AND(ТЕХ_Списки!AJ69=1,$AI$44=1),ТЕХ_Списки!AJ$1,""),IF(AND(ТЕХ_Списки!AK69=1,$AJ$44=1),ТЕХ_Списки!AK$1,""),IF(AND(ТЕХ_Списки!AL69=1,$AK$44=1),ТЕХ_Списки!AL$1,""),IF(AND(ТЕХ_Списки!AM69=1,$AL$44=1),ТЕХ_Списки!AM$1,""),IF(AND(ТЕХ_Списки!AN69=1,$AM$44=1),ТЕХ_Списки!AN$1,""),IF(AND(ТЕХ_Списки!AO69=1,$AN$44=1),ТЕХ_Списки!AO$1,""),IF(AND(ТЕХ_Списки!AP69=1,$AO$44=1),ТЕХ_Списки!AP$1,""),IF(AND(ТЕХ_Списки!AQ69=1,$AP$44=1),ТЕХ_Списки!AQ$1,""),IF(AND(ТЕХ_Списки!AR69=1,$AQ$44=1),ТЕХ_Списки!AR$1,""),IF(AND(ТЕХ_Списки!AS69=1,$AR$44=1),ТЕХ_Списки!AS$1,""),IF(AND(ТЕХ_Списки!AT69=1,$AS$44=1),ТЕХ_Списки!AT$1,""),IF(AND(ТЕХ_Списки!AU69=1,$AT$44=1),ТЕХ_Списки!AU$1,""),IF(AND(ТЕХ_Списки!AV69=1,$AU$44=1),ТЕХ_Списки!AV$1,""),IF(AND(ТЕХ_Списки!AW69=1,$AV$44=1),ТЕХ_Списки!AW$1,"")))</f>
        <v>#NAME?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>
      <c r="A118" s="4" t="s">
        <v>334</v>
      </c>
      <c r="B118" s="4" t="s">
        <v>337</v>
      </c>
      <c r="C118" s="4" t="s">
        <v>139</v>
      </c>
      <c r="D118" s="4" t="s">
        <v>705</v>
      </c>
      <c r="E118" s="4">
        <f t="shared" si="6"/>
        <v>0</v>
      </c>
      <c r="F118" s="4">
        <f>SUMPRODUCT(ТЕХ_Списки!E70:AW70,$D$44:$AV$44)</f>
        <v>7</v>
      </c>
      <c r="G118" s="4">
        <f>SUMPRODUCT(ТЕХ_Списки!E70:AW70,$D$44:$AV$44,$D$45:$AV$45)</f>
        <v>13</v>
      </c>
      <c r="H118" s="4">
        <f>IF(OR('РЕЙД-КОНСТРУКТОР'!$C$3="Любая",'РЕЙД-КОНСТРУКТОР'!$C$3=C118),1,0)</f>
        <v>1</v>
      </c>
      <c r="I118" s="4">
        <f t="shared" si="7"/>
        <v>1307</v>
      </c>
      <c r="J118" s="4" t="e">
        <f ca="1">IF(I118&lt;0,"",_xludf.RANK.EQ(I118,$I$50:$I$119,0)+COUNTIF($I$50:I118,I118)-1)</f>
        <v>#NAME?</v>
      </c>
      <c r="K118" s="4" t="e">
        <f ca="1">IF(F118=0,"—",_xludf.TEXTJOIN(", ",TRUE,IF(AND(ТЕХ_Списки!E70=1,$D$44=1),ТЕХ_Списки!E$1,""),IF(AND(ТЕХ_Списки!F70=1,$E$44=1),ТЕХ_Списки!F$1,""),IF(AND(ТЕХ_Списки!G70=1,$F$44=1),ТЕХ_Списки!G$1,""),IF(AND(ТЕХ_Списки!H70=1,$G$44=1),ТЕХ_Списки!H$1,""),IF(AND(ТЕХ_Списки!I70=1,$H$44=1),ТЕХ_Списки!I$1,""),IF(AND(ТЕХ_Списки!J70=1,$I$44=1),ТЕХ_Списки!J$1,""),IF(AND(ТЕХ_Списки!K70=1,$J$44=1),ТЕХ_Списки!K$1,""),IF(AND(ТЕХ_Списки!L70=1,$K$44=1),ТЕХ_Списки!L$1,""),IF(AND(ТЕХ_Списки!M70=1,$L$44=1),ТЕХ_Списки!M$1,""),IF(AND(ТЕХ_Списки!N70=1,$M$44=1),ТЕХ_Списки!N$1,""),IF(AND(ТЕХ_Списки!O70=1,$N$44=1),ТЕХ_Списки!O$1,""),IF(AND(ТЕХ_Списки!P70=1,$O$44=1),ТЕХ_Списки!P$1,""),IF(AND(ТЕХ_Списки!Q70=1,$P$44=1),ТЕХ_Списки!Q$1,""),IF(AND(ТЕХ_Списки!R70=1,$Q$44=1),ТЕХ_Списки!R$1,""),IF(AND(ТЕХ_Списки!S70=1,$R$44=1),ТЕХ_Списки!S$1,""),IF(AND(ТЕХ_Списки!T70=1,$S$44=1),ТЕХ_Списки!T$1,""),IF(AND(ТЕХ_Списки!U70=1,$T$44=1),ТЕХ_Списки!U$1,""),IF(AND(ТЕХ_Списки!V70=1,$U$44=1),ТЕХ_Списки!V$1,""),IF(AND(ТЕХ_Списки!W70=1,$V$44=1),ТЕХ_Списки!W$1,""),IF(AND(ТЕХ_Списки!X70=1,$W$44=1),ТЕХ_Списки!X$1,""),IF(AND(ТЕХ_Списки!Y70=1,$X$44=1),ТЕХ_Списки!Y$1,""),IF(AND(ТЕХ_Списки!Z70=1,$Y$44=1),ТЕХ_Списки!Z$1,""),IF(AND(ТЕХ_Списки!AA70=1,$Z$44=1),ТЕХ_Списки!AA$1,""),IF(AND(ТЕХ_Списки!AB70=1,$AA$44=1),ТЕХ_Списки!AB$1,""),IF(AND(ТЕХ_Списки!AC70=1,$AB$44=1),ТЕХ_Списки!AC$1,""),IF(AND(ТЕХ_Списки!AD70=1,$AC$44=1),ТЕХ_Списки!AD$1,""),IF(AND(ТЕХ_Списки!AE70=1,$AD$44=1),ТЕХ_Списки!AE$1,""),IF(AND(ТЕХ_Списки!AF70=1,$AE$44=1),ТЕХ_Списки!AF$1,""),IF(AND(ТЕХ_Списки!AG70=1,$AF$44=1),ТЕХ_Списки!AG$1,""),IF(AND(ТЕХ_Списки!AH70=1,$AG$44=1),ТЕХ_Списки!AH$1,""),IF(AND(ТЕХ_Списки!AI70=1,$AH$44=1),ТЕХ_Списки!AI$1,""),IF(AND(ТЕХ_Списки!AJ70=1,$AI$44=1),ТЕХ_Списки!AJ$1,""),IF(AND(ТЕХ_Списки!AK70=1,$AJ$44=1),ТЕХ_Списки!AK$1,""),IF(AND(ТЕХ_Списки!AL70=1,$AK$44=1),ТЕХ_Списки!AL$1,""),IF(AND(ТЕХ_Списки!AM70=1,$AL$44=1),ТЕХ_Списки!AM$1,""),IF(AND(ТЕХ_Списки!AN70=1,$AM$44=1),ТЕХ_Списки!AN$1,""),IF(AND(ТЕХ_Списки!AO70=1,$AN$44=1),ТЕХ_Списки!AO$1,""),IF(AND(ТЕХ_Списки!AP70=1,$AO$44=1),ТЕХ_Списки!AP$1,""),IF(AND(ТЕХ_Списки!AQ70=1,$AP$44=1),ТЕХ_Списки!AQ$1,""),IF(AND(ТЕХ_Списки!AR70=1,$AQ$44=1),ТЕХ_Списки!AR$1,""),IF(AND(ТЕХ_Списки!AS70=1,$AR$44=1),ТЕХ_Списки!AS$1,""),IF(AND(ТЕХ_Списки!AT70=1,$AS$44=1),ТЕХ_Списки!AT$1,""),IF(AND(ТЕХ_Списки!AU70=1,$AT$44=1),ТЕХ_Списки!AU$1,""),IF(AND(ТЕХ_Списки!AV70=1,$AU$44=1),ТЕХ_Списки!AV$1,""),IF(AND(ТЕХ_Списки!AW70=1,$AV$44=1),ТЕХ_Списки!AW$1,"")))</f>
        <v>#NAME?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>
      <c r="A119" s="4" t="s">
        <v>334</v>
      </c>
      <c r="B119" s="4" t="s">
        <v>339</v>
      </c>
      <c r="C119" s="4" t="s">
        <v>81</v>
      </c>
      <c r="D119" s="4" t="s">
        <v>706</v>
      </c>
      <c r="E119" s="4">
        <f t="shared" si="6"/>
        <v>0</v>
      </c>
      <c r="F119" s="4">
        <f>SUMPRODUCT(ТЕХ_Списки!E71:AW71,$D$44:$AV$44)</f>
        <v>8</v>
      </c>
      <c r="G119" s="4">
        <f>SUMPRODUCT(ТЕХ_Списки!E71:AW71,$D$44:$AV$44,$D$45:$AV$45)</f>
        <v>14</v>
      </c>
      <c r="H119" s="4">
        <f>IF(OR('РЕЙД-КОНСТРУКТОР'!$C$3="Любая",'РЕЙД-КОНСТРУКТОР'!$C$3=C119),1,0)</f>
        <v>1</v>
      </c>
      <c r="I119" s="4">
        <f t="shared" si="7"/>
        <v>1408</v>
      </c>
      <c r="J119" s="4" t="e">
        <f ca="1">IF(I119&lt;0,"",_xludf.RANK.EQ(I119,$I$50:$I$119,0)+COUNTIF($I$50:I119,I119)-1)</f>
        <v>#NAME?</v>
      </c>
      <c r="K119" s="4" t="e">
        <f ca="1">IF(F119=0,"—",_xludf.TEXTJOIN(", ",TRUE,IF(AND(ТЕХ_Списки!E71=1,$D$44=1),ТЕХ_Списки!E$1,""),IF(AND(ТЕХ_Списки!F71=1,$E$44=1),ТЕХ_Списки!F$1,""),IF(AND(ТЕХ_Списки!G71=1,$F$44=1),ТЕХ_Списки!G$1,""),IF(AND(ТЕХ_Списки!H71=1,$G$44=1),ТЕХ_Списки!H$1,""),IF(AND(ТЕХ_Списки!I71=1,$H$44=1),ТЕХ_Списки!I$1,""),IF(AND(ТЕХ_Списки!J71=1,$I$44=1),ТЕХ_Списки!J$1,""),IF(AND(ТЕХ_Списки!K71=1,$J$44=1),ТЕХ_Списки!K$1,""),IF(AND(ТЕХ_Списки!L71=1,$K$44=1),ТЕХ_Списки!L$1,""),IF(AND(ТЕХ_Списки!M71=1,$L$44=1),ТЕХ_Списки!M$1,""),IF(AND(ТЕХ_Списки!N71=1,$M$44=1),ТЕХ_Списки!N$1,""),IF(AND(ТЕХ_Списки!O71=1,$N$44=1),ТЕХ_Списки!O$1,""),IF(AND(ТЕХ_Списки!P71=1,$O$44=1),ТЕХ_Списки!P$1,""),IF(AND(ТЕХ_Списки!Q71=1,$P$44=1),ТЕХ_Списки!Q$1,""),IF(AND(ТЕХ_Списки!R71=1,$Q$44=1),ТЕХ_Списки!R$1,""),IF(AND(ТЕХ_Списки!S71=1,$R$44=1),ТЕХ_Списки!S$1,""),IF(AND(ТЕХ_Списки!T71=1,$S$44=1),ТЕХ_Списки!T$1,""),IF(AND(ТЕХ_Списки!U71=1,$T$44=1),ТЕХ_Списки!U$1,""),IF(AND(ТЕХ_Списки!V71=1,$U$44=1),ТЕХ_Списки!V$1,""),IF(AND(ТЕХ_Списки!W71=1,$V$44=1),ТЕХ_Списки!W$1,""),IF(AND(ТЕХ_Списки!X71=1,$W$44=1),ТЕХ_Списки!X$1,""),IF(AND(ТЕХ_Списки!Y71=1,$X$44=1),ТЕХ_Списки!Y$1,""),IF(AND(ТЕХ_Списки!Z71=1,$Y$44=1),ТЕХ_Списки!Z$1,""),IF(AND(ТЕХ_Списки!AA71=1,$Z$44=1),ТЕХ_Списки!AA$1,""),IF(AND(ТЕХ_Списки!AB71=1,$AA$44=1),ТЕХ_Списки!AB$1,""),IF(AND(ТЕХ_Списки!AC71=1,$AB$44=1),ТЕХ_Списки!AC$1,""),IF(AND(ТЕХ_Списки!AD71=1,$AC$44=1),ТЕХ_Списки!AD$1,""),IF(AND(ТЕХ_Списки!AE71=1,$AD$44=1),ТЕХ_Списки!AE$1,""),IF(AND(ТЕХ_Списки!AF71=1,$AE$44=1),ТЕХ_Списки!AF$1,""),IF(AND(ТЕХ_Списки!AG71=1,$AF$44=1),ТЕХ_Списки!AG$1,""),IF(AND(ТЕХ_Списки!AH71=1,$AG$44=1),ТЕХ_Списки!AH$1,""),IF(AND(ТЕХ_Списки!AI71=1,$AH$44=1),ТЕХ_Списки!AI$1,""),IF(AND(ТЕХ_Списки!AJ71=1,$AI$44=1),ТЕХ_Списки!AJ$1,""),IF(AND(ТЕХ_Списки!AK71=1,$AJ$44=1),ТЕХ_Списки!AK$1,""),IF(AND(ТЕХ_Списки!AL71=1,$AK$44=1),ТЕХ_Списки!AL$1,""),IF(AND(ТЕХ_Списки!AM71=1,$AL$44=1),ТЕХ_Списки!AM$1,""),IF(AND(ТЕХ_Списки!AN71=1,$AM$44=1),ТЕХ_Списки!AN$1,""),IF(AND(ТЕХ_Списки!AO71=1,$AN$44=1),ТЕХ_Списки!AO$1,""),IF(AND(ТЕХ_Списки!AP71=1,$AO$44=1),ТЕХ_Списки!AP$1,""),IF(AND(ТЕХ_Списки!AQ71=1,$AP$44=1),ТЕХ_Списки!AQ$1,""),IF(AND(ТЕХ_Списки!AR71=1,$AQ$44=1),ТЕХ_Списки!AR$1,""),IF(AND(ТЕХ_Списки!AS71=1,$AR$44=1),ТЕХ_Списки!AS$1,""),IF(AND(ТЕХ_Списки!AT71=1,$AS$44=1),ТЕХ_Списки!AT$1,""),IF(AND(ТЕХ_Списки!AU71=1,$AT$44=1),ТЕХ_Списки!AU$1,""),IF(AND(ТЕХ_Списки!AV71=1,$AU$44=1),ТЕХ_Списки!AV$1,""),IF(AND(ТЕХ_Списки!AW71=1,$AV$44=1),ТЕХ_Списки!AW$1,"")))</f>
        <v>#NAME?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41"/>
  <sheetViews>
    <sheetView workbookViewId="0"/>
  </sheetViews>
  <sheetFormatPr defaultRowHeight="14.25"/>
  <cols>
    <col min="1" max="1" width="18" customWidth="1"/>
    <col min="2" max="2" width="29" customWidth="1"/>
    <col min="3" max="3" width="12" customWidth="1"/>
    <col min="4" max="4" width="17" customWidth="1"/>
    <col min="5" max="5" width="22" customWidth="1"/>
    <col min="6" max="6" width="18" customWidth="1"/>
    <col min="7" max="7" width="28" customWidth="1"/>
    <col min="8" max="8" width="12" customWidth="1"/>
    <col min="9" max="9" width="11" customWidth="1"/>
    <col min="10" max="10" width="10" customWidth="1"/>
    <col min="11" max="11" width="11" customWidth="1"/>
    <col min="12" max="13" width="12" customWidth="1"/>
    <col min="14" max="14" width="11" customWidth="1"/>
    <col min="15" max="15" width="12" customWidth="1"/>
    <col min="16" max="16" width="9" customWidth="1"/>
    <col min="17" max="17" width="14" customWidth="1"/>
    <col min="18" max="18" width="24" customWidth="1"/>
    <col min="19" max="19" width="46" customWidth="1"/>
  </cols>
  <sheetData>
    <row r="1" spans="1:19" ht="32.1" customHeight="1">
      <c r="A1" s="22" t="s">
        <v>29</v>
      </c>
      <c r="B1" s="22" t="s">
        <v>30</v>
      </c>
      <c r="C1" s="22" t="s">
        <v>572</v>
      </c>
      <c r="D1" s="22" t="s">
        <v>23</v>
      </c>
      <c r="E1" s="22" t="s">
        <v>24</v>
      </c>
      <c r="F1" s="22" t="s">
        <v>25</v>
      </c>
      <c r="G1" s="22" t="s">
        <v>718</v>
      </c>
      <c r="H1" s="22" t="s">
        <v>719</v>
      </c>
      <c r="I1" s="22" t="s">
        <v>720</v>
      </c>
      <c r="J1" s="22" t="s">
        <v>721</v>
      </c>
      <c r="K1" s="22" t="s">
        <v>616</v>
      </c>
      <c r="L1" s="22" t="s">
        <v>722</v>
      </c>
      <c r="M1" s="22" t="s">
        <v>723</v>
      </c>
      <c r="N1" s="22" t="s">
        <v>724</v>
      </c>
      <c r="O1" s="22" t="s">
        <v>725</v>
      </c>
      <c r="P1" s="22" t="s">
        <v>127</v>
      </c>
      <c r="Q1" s="22" t="s">
        <v>726</v>
      </c>
      <c r="R1" s="22" t="s">
        <v>727</v>
      </c>
      <c r="S1" s="22" t="s">
        <v>605</v>
      </c>
    </row>
    <row r="2" spans="1:19">
      <c r="A2" s="23" t="s">
        <v>36</v>
      </c>
      <c r="B2" s="23" t="s">
        <v>43</v>
      </c>
      <c r="C2" s="23" t="s">
        <v>23</v>
      </c>
      <c r="D2" s="23" t="s">
        <v>130</v>
      </c>
      <c r="E2" s="23" t="s">
        <v>728</v>
      </c>
      <c r="F2" s="23" t="s">
        <v>729</v>
      </c>
      <c r="G2" s="23" t="s">
        <v>730</v>
      </c>
      <c r="H2" s="23" t="s">
        <v>731</v>
      </c>
      <c r="I2" s="25">
        <v>146</v>
      </c>
      <c r="J2" s="25">
        <v>120</v>
      </c>
      <c r="K2" s="24">
        <v>0.82191780821917804</v>
      </c>
      <c r="L2" s="24">
        <v>1</v>
      </c>
      <c r="M2" s="24">
        <v>1</v>
      </c>
      <c r="N2" s="24">
        <v>0</v>
      </c>
      <c r="O2" s="23" t="s">
        <v>732</v>
      </c>
      <c r="P2" s="26">
        <v>0.9</v>
      </c>
      <c r="Q2" s="23" t="s">
        <v>733</v>
      </c>
      <c r="R2" s="23" t="s">
        <v>363</v>
      </c>
      <c r="S2" s="23" t="s">
        <v>734</v>
      </c>
    </row>
    <row r="3" spans="1:19">
      <c r="A3" s="23" t="s">
        <v>36</v>
      </c>
      <c r="B3" s="23" t="s">
        <v>44</v>
      </c>
      <c r="C3" s="23" t="s">
        <v>23</v>
      </c>
      <c r="D3" s="23" t="s">
        <v>130</v>
      </c>
      <c r="E3" s="23" t="s">
        <v>728</v>
      </c>
      <c r="F3" s="23" t="s">
        <v>729</v>
      </c>
      <c r="G3" s="23" t="s">
        <v>730</v>
      </c>
      <c r="H3" s="23" t="s">
        <v>731</v>
      </c>
      <c r="I3" s="25">
        <v>146</v>
      </c>
      <c r="J3" s="25">
        <v>120</v>
      </c>
      <c r="K3" s="24">
        <v>0.82191780821917804</v>
      </c>
      <c r="L3" s="24">
        <v>1</v>
      </c>
      <c r="M3" s="24">
        <v>1</v>
      </c>
      <c r="N3" s="24">
        <v>0</v>
      </c>
      <c r="O3" s="23" t="s">
        <v>732</v>
      </c>
      <c r="P3" s="26">
        <v>0.9</v>
      </c>
      <c r="Q3" s="23" t="s">
        <v>733</v>
      </c>
      <c r="R3" s="23" t="s">
        <v>366</v>
      </c>
      <c r="S3" s="23" t="s">
        <v>734</v>
      </c>
    </row>
    <row r="4" spans="1:19">
      <c r="A4" s="23" t="s">
        <v>36</v>
      </c>
      <c r="B4" s="23" t="s">
        <v>45</v>
      </c>
      <c r="C4" s="23" t="s">
        <v>23</v>
      </c>
      <c r="D4" s="23" t="s">
        <v>130</v>
      </c>
      <c r="E4" s="23" t="s">
        <v>728</v>
      </c>
      <c r="F4" s="23" t="s">
        <v>729</v>
      </c>
      <c r="G4" s="23" t="s">
        <v>730</v>
      </c>
      <c r="H4" s="23" t="s">
        <v>731</v>
      </c>
      <c r="I4" s="25">
        <v>146</v>
      </c>
      <c r="J4" s="25">
        <v>120</v>
      </c>
      <c r="K4" s="24">
        <v>0.82191780821917804</v>
      </c>
      <c r="L4" s="24">
        <v>1</v>
      </c>
      <c r="M4" s="24">
        <v>1</v>
      </c>
      <c r="N4" s="24">
        <v>0</v>
      </c>
      <c r="O4" s="23" t="s">
        <v>732</v>
      </c>
      <c r="P4" s="26">
        <v>0.9</v>
      </c>
      <c r="Q4" s="23" t="s">
        <v>733</v>
      </c>
      <c r="R4" s="23" t="s">
        <v>369</v>
      </c>
      <c r="S4" s="23" t="s">
        <v>734</v>
      </c>
    </row>
    <row r="5" spans="1:19">
      <c r="A5" s="23" t="s">
        <v>59</v>
      </c>
      <c r="B5" s="23" t="s">
        <v>83</v>
      </c>
      <c r="C5" s="23" t="s">
        <v>23</v>
      </c>
      <c r="D5" s="23" t="s">
        <v>130</v>
      </c>
      <c r="E5" s="23" t="s">
        <v>728</v>
      </c>
      <c r="F5" s="23" t="s">
        <v>729</v>
      </c>
      <c r="G5" s="23" t="s">
        <v>730</v>
      </c>
      <c r="H5" s="23" t="s">
        <v>731</v>
      </c>
      <c r="I5" s="25">
        <v>146</v>
      </c>
      <c r="J5" s="25">
        <v>120</v>
      </c>
      <c r="K5" s="24">
        <v>0.82191780821917804</v>
      </c>
      <c r="L5" s="24">
        <v>1</v>
      </c>
      <c r="M5" s="24">
        <v>1</v>
      </c>
      <c r="N5" s="24">
        <v>0</v>
      </c>
      <c r="O5" s="23" t="s">
        <v>732</v>
      </c>
      <c r="P5" s="26">
        <v>0.9</v>
      </c>
      <c r="Q5" s="23" t="s">
        <v>733</v>
      </c>
      <c r="R5" s="23" t="s">
        <v>578</v>
      </c>
      <c r="S5" s="23" t="s">
        <v>734</v>
      </c>
    </row>
    <row r="6" spans="1:19">
      <c r="A6" s="23" t="s">
        <v>59</v>
      </c>
      <c r="B6" s="23" t="s">
        <v>91</v>
      </c>
      <c r="C6" s="23" t="s">
        <v>579</v>
      </c>
      <c r="D6" s="23" t="s">
        <v>130</v>
      </c>
      <c r="E6" s="23" t="s">
        <v>131</v>
      </c>
      <c r="F6" s="23" t="s">
        <v>84</v>
      </c>
      <c r="G6" s="23" t="s">
        <v>735</v>
      </c>
      <c r="H6" s="23" t="s">
        <v>736</v>
      </c>
      <c r="I6" s="25">
        <v>43</v>
      </c>
      <c r="J6" s="25">
        <v>41</v>
      </c>
      <c r="K6" s="24">
        <v>0.95348837209302328</v>
      </c>
      <c r="L6" s="24">
        <v>1</v>
      </c>
      <c r="M6" s="24">
        <v>1</v>
      </c>
      <c r="N6" s="24">
        <v>0</v>
      </c>
      <c r="O6" s="23" t="s">
        <v>732</v>
      </c>
      <c r="P6" s="26">
        <v>0.9</v>
      </c>
      <c r="Q6" s="23" t="s">
        <v>733</v>
      </c>
      <c r="R6" s="23" t="s">
        <v>444</v>
      </c>
      <c r="S6" s="23" t="s">
        <v>734</v>
      </c>
    </row>
    <row r="7" spans="1:19">
      <c r="A7" s="23" t="s">
        <v>59</v>
      </c>
      <c r="B7" s="23" t="s">
        <v>93</v>
      </c>
      <c r="C7" s="23" t="s">
        <v>579</v>
      </c>
      <c r="D7" s="23" t="s">
        <v>130</v>
      </c>
      <c r="E7" s="23" t="s">
        <v>131</v>
      </c>
      <c r="F7" s="23" t="s">
        <v>84</v>
      </c>
      <c r="G7" s="23" t="s">
        <v>735</v>
      </c>
      <c r="H7" s="23" t="s">
        <v>736</v>
      </c>
      <c r="I7" s="25">
        <v>43</v>
      </c>
      <c r="J7" s="25">
        <v>41</v>
      </c>
      <c r="K7" s="24">
        <v>0.95348837209302328</v>
      </c>
      <c r="L7" s="24">
        <v>1</v>
      </c>
      <c r="M7" s="24">
        <v>1</v>
      </c>
      <c r="N7" s="24">
        <v>0</v>
      </c>
      <c r="O7" s="23" t="s">
        <v>732</v>
      </c>
      <c r="P7" s="26">
        <v>0.9</v>
      </c>
      <c r="Q7" s="23" t="s">
        <v>733</v>
      </c>
      <c r="R7" s="23" t="s">
        <v>450</v>
      </c>
      <c r="S7" s="23" t="s">
        <v>734</v>
      </c>
    </row>
    <row r="8" spans="1:19">
      <c r="A8" s="23" t="s">
        <v>98</v>
      </c>
      <c r="B8" s="23" t="s">
        <v>102</v>
      </c>
      <c r="C8" s="23" t="s">
        <v>579</v>
      </c>
      <c r="D8" s="23" t="s">
        <v>130</v>
      </c>
      <c r="E8" s="23" t="s">
        <v>131</v>
      </c>
      <c r="F8" s="23" t="s">
        <v>84</v>
      </c>
      <c r="G8" s="23" t="s">
        <v>737</v>
      </c>
      <c r="H8" s="23" t="s">
        <v>738</v>
      </c>
      <c r="I8" s="25">
        <v>43</v>
      </c>
      <c r="J8" s="25">
        <v>39</v>
      </c>
      <c r="K8" s="24">
        <v>0.90697674418604646</v>
      </c>
      <c r="L8" s="24">
        <v>1</v>
      </c>
      <c r="M8" s="24">
        <v>0</v>
      </c>
      <c r="N8" s="24">
        <v>1</v>
      </c>
      <c r="O8" s="23" t="s">
        <v>732</v>
      </c>
      <c r="P8" s="26">
        <v>0.9</v>
      </c>
      <c r="Q8" s="23" t="s">
        <v>733</v>
      </c>
      <c r="R8" s="23" t="s">
        <v>472</v>
      </c>
      <c r="S8" s="23" t="s">
        <v>734</v>
      </c>
    </row>
    <row r="9" spans="1:19">
      <c r="A9" s="23" t="s">
        <v>36</v>
      </c>
      <c r="B9" s="23" t="s">
        <v>46</v>
      </c>
      <c r="C9" s="23" t="s">
        <v>579</v>
      </c>
      <c r="D9" s="23" t="s">
        <v>130</v>
      </c>
      <c r="E9" s="23" t="s">
        <v>134</v>
      </c>
      <c r="F9" s="23" t="s">
        <v>135</v>
      </c>
      <c r="G9" s="23" t="s">
        <v>730</v>
      </c>
      <c r="H9" s="23" t="s">
        <v>731</v>
      </c>
      <c r="I9" s="25">
        <v>101</v>
      </c>
      <c r="J9" s="25">
        <v>89</v>
      </c>
      <c r="K9" s="24">
        <v>0.88118811881188119</v>
      </c>
      <c r="L9" s="24">
        <v>0.57710343340699621</v>
      </c>
      <c r="M9" s="24">
        <v>1</v>
      </c>
      <c r="N9" s="24">
        <v>0</v>
      </c>
      <c r="O9" s="23" t="s">
        <v>739</v>
      </c>
      <c r="P9" s="26">
        <v>0.79427585835174908</v>
      </c>
      <c r="Q9" s="23" t="s">
        <v>733</v>
      </c>
      <c r="R9" s="23" t="s">
        <v>373</v>
      </c>
      <c r="S9" s="23" t="s">
        <v>734</v>
      </c>
    </row>
    <row r="10" spans="1:19">
      <c r="A10" s="23" t="s">
        <v>94</v>
      </c>
      <c r="B10" s="23" t="s">
        <v>95</v>
      </c>
      <c r="C10" s="23" t="s">
        <v>579</v>
      </c>
      <c r="D10" s="23" t="s">
        <v>130</v>
      </c>
      <c r="E10" s="23" t="s">
        <v>134</v>
      </c>
      <c r="F10" s="23" t="s">
        <v>135</v>
      </c>
      <c r="G10" s="23" t="s">
        <v>740</v>
      </c>
      <c r="H10" s="23" t="s">
        <v>741</v>
      </c>
      <c r="I10" s="25">
        <v>101</v>
      </c>
      <c r="J10" s="25">
        <v>72</v>
      </c>
      <c r="K10" s="24">
        <v>0.71287128712871284</v>
      </c>
      <c r="L10" s="24">
        <v>0.99700956937799046</v>
      </c>
      <c r="M10" s="24">
        <v>0</v>
      </c>
      <c r="N10" s="24">
        <v>0.91666666666666663</v>
      </c>
      <c r="O10" s="23" t="s">
        <v>732</v>
      </c>
      <c r="P10" s="26">
        <v>0.8579405111563787</v>
      </c>
      <c r="Q10" s="23" t="s">
        <v>733</v>
      </c>
      <c r="R10" s="23" t="s">
        <v>453</v>
      </c>
      <c r="S10" s="23" t="s">
        <v>734</v>
      </c>
    </row>
    <row r="11" spans="1:19">
      <c r="A11" s="23" t="s">
        <v>94</v>
      </c>
      <c r="B11" s="23" t="s">
        <v>96</v>
      </c>
      <c r="C11" s="23" t="s">
        <v>579</v>
      </c>
      <c r="D11" s="23" t="s">
        <v>130</v>
      </c>
      <c r="E11" s="23" t="s">
        <v>134</v>
      </c>
      <c r="F11" s="23" t="s">
        <v>135</v>
      </c>
      <c r="G11" s="23" t="s">
        <v>740</v>
      </c>
      <c r="H11" s="23" t="s">
        <v>741</v>
      </c>
      <c r="I11" s="25">
        <v>101</v>
      </c>
      <c r="J11" s="25">
        <v>72</v>
      </c>
      <c r="K11" s="24">
        <v>0.71287128712871284</v>
      </c>
      <c r="L11" s="24">
        <v>0.99700956937799046</v>
      </c>
      <c r="M11" s="24">
        <v>0</v>
      </c>
      <c r="N11" s="24">
        <v>0.91666666666666663</v>
      </c>
      <c r="O11" s="23" t="s">
        <v>732</v>
      </c>
      <c r="P11" s="26">
        <v>0.8579405111563787</v>
      </c>
      <c r="Q11" s="23" t="s">
        <v>733</v>
      </c>
      <c r="R11" s="23" t="s">
        <v>456</v>
      </c>
      <c r="S11" s="23" t="s">
        <v>734</v>
      </c>
    </row>
    <row r="12" spans="1:19">
      <c r="A12" s="23" t="s">
        <v>94</v>
      </c>
      <c r="B12" s="23" t="s">
        <v>97</v>
      </c>
      <c r="C12" s="23" t="s">
        <v>579</v>
      </c>
      <c r="D12" s="23" t="s">
        <v>130</v>
      </c>
      <c r="E12" s="23" t="s">
        <v>134</v>
      </c>
      <c r="F12" s="23" t="s">
        <v>135</v>
      </c>
      <c r="G12" s="23" t="s">
        <v>740</v>
      </c>
      <c r="H12" s="23" t="s">
        <v>741</v>
      </c>
      <c r="I12" s="25">
        <v>101</v>
      </c>
      <c r="J12" s="25">
        <v>72</v>
      </c>
      <c r="K12" s="24">
        <v>0.71287128712871284</v>
      </c>
      <c r="L12" s="24">
        <v>0.99700956937799046</v>
      </c>
      <c r="M12" s="24">
        <v>0</v>
      </c>
      <c r="N12" s="24">
        <v>0.91666666666666663</v>
      </c>
      <c r="O12" s="23" t="s">
        <v>732</v>
      </c>
      <c r="P12" s="26">
        <v>0.8579405111563787</v>
      </c>
      <c r="Q12" s="23" t="s">
        <v>733</v>
      </c>
      <c r="R12" s="23" t="s">
        <v>459</v>
      </c>
      <c r="S12" s="23" t="s">
        <v>734</v>
      </c>
    </row>
    <row r="13" spans="1:19">
      <c r="A13" s="23" t="s">
        <v>59</v>
      </c>
      <c r="B13" s="23" t="s">
        <v>60</v>
      </c>
      <c r="C13" s="23" t="s">
        <v>579</v>
      </c>
      <c r="D13" s="23" t="s">
        <v>130</v>
      </c>
      <c r="E13" s="23" t="s">
        <v>138</v>
      </c>
      <c r="F13" s="23" t="s">
        <v>139</v>
      </c>
      <c r="G13" s="23" t="s">
        <v>742</v>
      </c>
      <c r="H13" s="23" t="s">
        <v>743</v>
      </c>
      <c r="I13" s="25">
        <v>25</v>
      </c>
      <c r="J13" s="25">
        <v>25</v>
      </c>
      <c r="K13" s="24">
        <v>1</v>
      </c>
      <c r="L13" s="24">
        <v>0.22291666666666668</v>
      </c>
      <c r="M13" s="24">
        <v>0.7</v>
      </c>
      <c r="N13" s="24">
        <v>0</v>
      </c>
      <c r="O13" s="23" t="s">
        <v>739</v>
      </c>
      <c r="P13" s="26">
        <v>0.68772916666666672</v>
      </c>
      <c r="Q13" s="23" t="s">
        <v>733</v>
      </c>
      <c r="R13" s="23" t="s">
        <v>401</v>
      </c>
      <c r="S13" s="23" t="s">
        <v>734</v>
      </c>
    </row>
    <row r="14" spans="1:19">
      <c r="A14" s="23" t="s">
        <v>36</v>
      </c>
      <c r="B14" s="23" t="s">
        <v>46</v>
      </c>
      <c r="C14" s="23" t="s">
        <v>579</v>
      </c>
      <c r="D14" s="23" t="s">
        <v>130</v>
      </c>
      <c r="E14" s="23" t="s">
        <v>138</v>
      </c>
      <c r="F14" s="23" t="s">
        <v>139</v>
      </c>
      <c r="G14" s="23" t="s">
        <v>742</v>
      </c>
      <c r="H14" s="23" t="s">
        <v>743</v>
      </c>
      <c r="I14" s="25">
        <v>25</v>
      </c>
      <c r="J14" s="25">
        <v>25</v>
      </c>
      <c r="K14" s="24">
        <v>1</v>
      </c>
      <c r="L14" s="24">
        <v>0.22291666666666668</v>
      </c>
      <c r="M14" s="24">
        <v>0.7</v>
      </c>
      <c r="N14" s="24">
        <v>0</v>
      </c>
      <c r="O14" s="23" t="s">
        <v>739</v>
      </c>
      <c r="P14" s="26">
        <v>0.68772916666666672</v>
      </c>
      <c r="Q14" s="23" t="s">
        <v>733</v>
      </c>
      <c r="R14" s="23" t="s">
        <v>373</v>
      </c>
      <c r="S14" s="23" t="s">
        <v>734</v>
      </c>
    </row>
    <row r="15" spans="1:19">
      <c r="A15" s="23" t="s">
        <v>94</v>
      </c>
      <c r="B15" s="23" t="s">
        <v>96</v>
      </c>
      <c r="C15" s="23" t="s">
        <v>579</v>
      </c>
      <c r="D15" s="23" t="s">
        <v>130</v>
      </c>
      <c r="E15" s="23" t="s">
        <v>138</v>
      </c>
      <c r="F15" s="23" t="s">
        <v>139</v>
      </c>
      <c r="G15" s="23" t="s">
        <v>744</v>
      </c>
      <c r="H15" s="23" t="s">
        <v>745</v>
      </c>
      <c r="I15" s="25">
        <v>25</v>
      </c>
      <c r="J15" s="25">
        <v>25</v>
      </c>
      <c r="K15" s="24">
        <v>1</v>
      </c>
      <c r="L15" s="24">
        <v>1</v>
      </c>
      <c r="M15" s="24">
        <v>0</v>
      </c>
      <c r="N15" s="24">
        <v>1</v>
      </c>
      <c r="O15" s="23" t="s">
        <v>732</v>
      </c>
      <c r="P15" s="26">
        <v>0.9</v>
      </c>
      <c r="Q15" s="23" t="s">
        <v>733</v>
      </c>
      <c r="R15" s="23" t="s">
        <v>456</v>
      </c>
      <c r="S15" s="23" t="s">
        <v>734</v>
      </c>
    </row>
    <row r="16" spans="1:19">
      <c r="A16" s="23" t="s">
        <v>104</v>
      </c>
      <c r="B16" s="23" t="s">
        <v>108</v>
      </c>
      <c r="C16" s="23" t="s">
        <v>579</v>
      </c>
      <c r="D16" s="23" t="s">
        <v>130</v>
      </c>
      <c r="E16" s="23" t="s">
        <v>138</v>
      </c>
      <c r="F16" s="23" t="s">
        <v>139</v>
      </c>
      <c r="G16" s="23" t="s">
        <v>744</v>
      </c>
      <c r="H16" s="23" t="s">
        <v>745</v>
      </c>
      <c r="I16" s="25">
        <v>25</v>
      </c>
      <c r="J16" s="25">
        <v>25</v>
      </c>
      <c r="K16" s="24">
        <v>1</v>
      </c>
      <c r="L16" s="24">
        <v>1</v>
      </c>
      <c r="M16" s="24">
        <v>0</v>
      </c>
      <c r="N16" s="24">
        <v>1</v>
      </c>
      <c r="O16" s="23" t="s">
        <v>732</v>
      </c>
      <c r="P16" s="26">
        <v>0.9</v>
      </c>
      <c r="Q16" s="23" t="s">
        <v>733</v>
      </c>
      <c r="R16" s="23" t="s">
        <v>483</v>
      </c>
      <c r="S16" s="23" t="s">
        <v>734</v>
      </c>
    </row>
    <row r="17" spans="1:19">
      <c r="A17" s="23" t="s">
        <v>59</v>
      </c>
      <c r="B17" s="23" t="s">
        <v>62</v>
      </c>
      <c r="C17" s="23" t="s">
        <v>23</v>
      </c>
      <c r="D17" s="23" t="s">
        <v>142</v>
      </c>
      <c r="E17" s="23" t="s">
        <v>728</v>
      </c>
      <c r="F17" s="23" t="s">
        <v>746</v>
      </c>
      <c r="G17" s="23" t="s">
        <v>747</v>
      </c>
      <c r="H17" s="23" t="s">
        <v>748</v>
      </c>
      <c r="I17" s="25">
        <v>190</v>
      </c>
      <c r="J17" s="25">
        <v>107</v>
      </c>
      <c r="K17" s="24">
        <v>0.56315789473684208</v>
      </c>
      <c r="L17" s="24">
        <v>1</v>
      </c>
      <c r="M17" s="24">
        <v>0.78260869565217395</v>
      </c>
      <c r="N17" s="24">
        <v>0</v>
      </c>
      <c r="O17" s="23" t="s">
        <v>732</v>
      </c>
      <c r="P17" s="26">
        <v>0.80533333333333335</v>
      </c>
      <c r="Q17" s="23" t="s">
        <v>733</v>
      </c>
      <c r="R17" s="23" t="s">
        <v>407</v>
      </c>
      <c r="S17" s="23" t="s">
        <v>734</v>
      </c>
    </row>
    <row r="18" spans="1:19">
      <c r="A18" s="23" t="s">
        <v>49</v>
      </c>
      <c r="B18" s="23" t="s">
        <v>50</v>
      </c>
      <c r="C18" s="23" t="s">
        <v>23</v>
      </c>
      <c r="D18" s="23" t="s">
        <v>142</v>
      </c>
      <c r="E18" s="23" t="s">
        <v>728</v>
      </c>
      <c r="F18" s="23" t="s">
        <v>746</v>
      </c>
      <c r="G18" s="23" t="s">
        <v>747</v>
      </c>
      <c r="H18" s="23" t="s">
        <v>748</v>
      </c>
      <c r="I18" s="25">
        <v>190</v>
      </c>
      <c r="J18" s="25">
        <v>107</v>
      </c>
      <c r="K18" s="24">
        <v>0.56315789473684208</v>
      </c>
      <c r="L18" s="24">
        <v>1</v>
      </c>
      <c r="M18" s="24">
        <v>0.78260869565217395</v>
      </c>
      <c r="N18" s="24">
        <v>0</v>
      </c>
      <c r="O18" s="23" t="s">
        <v>732</v>
      </c>
      <c r="P18" s="26">
        <v>0.80533333333333335</v>
      </c>
      <c r="Q18" s="23" t="s">
        <v>733</v>
      </c>
      <c r="R18" s="23" t="s">
        <v>379</v>
      </c>
      <c r="S18" s="23" t="s">
        <v>734</v>
      </c>
    </row>
    <row r="19" spans="1:19">
      <c r="A19" s="23" t="s">
        <v>49</v>
      </c>
      <c r="B19" s="23" t="s">
        <v>53</v>
      </c>
      <c r="C19" s="23" t="s">
        <v>23</v>
      </c>
      <c r="D19" s="23" t="s">
        <v>142</v>
      </c>
      <c r="E19" s="23" t="s">
        <v>728</v>
      </c>
      <c r="F19" s="23" t="s">
        <v>746</v>
      </c>
      <c r="G19" s="23" t="s">
        <v>747</v>
      </c>
      <c r="H19" s="23" t="s">
        <v>748</v>
      </c>
      <c r="I19" s="25">
        <v>190</v>
      </c>
      <c r="J19" s="25">
        <v>107</v>
      </c>
      <c r="K19" s="24">
        <v>0.56315789473684208</v>
      </c>
      <c r="L19" s="24">
        <v>1</v>
      </c>
      <c r="M19" s="24">
        <v>0.78260869565217395</v>
      </c>
      <c r="N19" s="24">
        <v>0</v>
      </c>
      <c r="O19" s="23" t="s">
        <v>732</v>
      </c>
      <c r="P19" s="26">
        <v>0.80533333333333335</v>
      </c>
      <c r="Q19" s="23" t="s">
        <v>733</v>
      </c>
      <c r="R19" s="23" t="s">
        <v>382</v>
      </c>
      <c r="S19" s="23" t="s">
        <v>734</v>
      </c>
    </row>
    <row r="20" spans="1:19">
      <c r="A20" s="23" t="s">
        <v>49</v>
      </c>
      <c r="B20" s="23" t="s">
        <v>56</v>
      </c>
      <c r="C20" s="23" t="s">
        <v>23</v>
      </c>
      <c r="D20" s="23" t="s">
        <v>142</v>
      </c>
      <c r="E20" s="23" t="s">
        <v>728</v>
      </c>
      <c r="F20" s="23" t="s">
        <v>746</v>
      </c>
      <c r="G20" s="23" t="s">
        <v>747</v>
      </c>
      <c r="H20" s="23" t="s">
        <v>748</v>
      </c>
      <c r="I20" s="25">
        <v>190</v>
      </c>
      <c r="J20" s="25">
        <v>107</v>
      </c>
      <c r="K20" s="24">
        <v>0.56315789473684208</v>
      </c>
      <c r="L20" s="24">
        <v>1</v>
      </c>
      <c r="M20" s="24">
        <v>0.78260869565217395</v>
      </c>
      <c r="N20" s="24">
        <v>0</v>
      </c>
      <c r="O20" s="23" t="s">
        <v>732</v>
      </c>
      <c r="P20" s="26">
        <v>0.80533333333333335</v>
      </c>
      <c r="Q20" s="23" t="s">
        <v>733</v>
      </c>
      <c r="R20" s="23" t="s">
        <v>392</v>
      </c>
      <c r="S20" s="23" t="s">
        <v>734</v>
      </c>
    </row>
    <row r="21" spans="1:19">
      <c r="A21" s="23" t="s">
        <v>59</v>
      </c>
      <c r="B21" s="23" t="s">
        <v>72</v>
      </c>
      <c r="C21" s="23" t="s">
        <v>23</v>
      </c>
      <c r="D21" s="23" t="s">
        <v>142</v>
      </c>
      <c r="E21" s="23" t="s">
        <v>728</v>
      </c>
      <c r="F21" s="23" t="s">
        <v>746</v>
      </c>
      <c r="G21" s="23" t="s">
        <v>749</v>
      </c>
      <c r="H21" s="23" t="s">
        <v>750</v>
      </c>
      <c r="I21" s="25">
        <v>190</v>
      </c>
      <c r="J21" s="25">
        <v>88</v>
      </c>
      <c r="K21" s="24">
        <v>0.4631578947368421</v>
      </c>
      <c r="L21" s="24">
        <v>1</v>
      </c>
      <c r="M21" s="24">
        <v>0.95916666666666672</v>
      </c>
      <c r="N21" s="24">
        <v>0</v>
      </c>
      <c r="O21" s="23" t="s">
        <v>732</v>
      </c>
      <c r="P21" s="26">
        <v>0.85466666666666669</v>
      </c>
      <c r="Q21" s="23" t="s">
        <v>733</v>
      </c>
      <c r="R21" s="23" t="s">
        <v>426</v>
      </c>
      <c r="S21" s="23" t="s">
        <v>734</v>
      </c>
    </row>
    <row r="22" spans="1:19">
      <c r="A22" s="23" t="s">
        <v>104</v>
      </c>
      <c r="B22" s="23" t="s">
        <v>109</v>
      </c>
      <c r="C22" s="23" t="s">
        <v>23</v>
      </c>
      <c r="D22" s="23" t="s">
        <v>142</v>
      </c>
      <c r="E22" s="23" t="s">
        <v>728</v>
      </c>
      <c r="F22" s="23" t="s">
        <v>746</v>
      </c>
      <c r="G22" s="23" t="s">
        <v>751</v>
      </c>
      <c r="H22" s="23" t="s">
        <v>752</v>
      </c>
      <c r="I22" s="25">
        <v>190</v>
      </c>
      <c r="J22" s="25">
        <v>166</v>
      </c>
      <c r="K22" s="24">
        <v>0.87368421052631584</v>
      </c>
      <c r="L22" s="24">
        <v>1</v>
      </c>
      <c r="M22" s="24">
        <v>0</v>
      </c>
      <c r="N22" s="24">
        <v>1</v>
      </c>
      <c r="O22" s="23" t="s">
        <v>732</v>
      </c>
      <c r="P22" s="26">
        <v>0.9</v>
      </c>
      <c r="Q22" s="23" t="s">
        <v>733</v>
      </c>
      <c r="R22" s="23" t="s">
        <v>486</v>
      </c>
      <c r="S22" s="23" t="s">
        <v>734</v>
      </c>
    </row>
    <row r="23" spans="1:19">
      <c r="A23" s="23" t="s">
        <v>36</v>
      </c>
      <c r="B23" s="23" t="s">
        <v>47</v>
      </c>
      <c r="C23" s="23" t="s">
        <v>579</v>
      </c>
      <c r="D23" s="23" t="s">
        <v>142</v>
      </c>
      <c r="E23" s="23" t="s">
        <v>143</v>
      </c>
      <c r="F23" s="23" t="s">
        <v>139</v>
      </c>
      <c r="G23" s="23" t="s">
        <v>753</v>
      </c>
      <c r="H23" s="23" t="s">
        <v>754</v>
      </c>
      <c r="I23" s="25">
        <v>89</v>
      </c>
      <c r="J23" s="25">
        <v>88</v>
      </c>
      <c r="K23" s="24">
        <v>0.9887640449438202</v>
      </c>
      <c r="L23" s="24">
        <v>0.98642270861833103</v>
      </c>
      <c r="M23" s="24">
        <v>0.05</v>
      </c>
      <c r="N23" s="24">
        <v>0</v>
      </c>
      <c r="O23" s="23" t="s">
        <v>739</v>
      </c>
      <c r="P23" s="26">
        <v>0.64460567715458272</v>
      </c>
      <c r="Q23" s="23" t="s">
        <v>733</v>
      </c>
      <c r="R23" s="23" t="s">
        <v>376</v>
      </c>
      <c r="S23" s="23" t="s">
        <v>734</v>
      </c>
    </row>
    <row r="24" spans="1:19">
      <c r="A24" s="23" t="s">
        <v>49</v>
      </c>
      <c r="B24" s="23" t="s">
        <v>55</v>
      </c>
      <c r="C24" s="23" t="s">
        <v>579</v>
      </c>
      <c r="D24" s="23" t="s">
        <v>142</v>
      </c>
      <c r="E24" s="23" t="s">
        <v>143</v>
      </c>
      <c r="F24" s="23" t="s">
        <v>139</v>
      </c>
      <c r="G24" s="23" t="s">
        <v>753</v>
      </c>
      <c r="H24" s="23" t="s">
        <v>754</v>
      </c>
      <c r="I24" s="25">
        <v>89</v>
      </c>
      <c r="J24" s="25">
        <v>88</v>
      </c>
      <c r="K24" s="24">
        <v>0.9887640449438202</v>
      </c>
      <c r="L24" s="24">
        <v>0.98642270861833103</v>
      </c>
      <c r="M24" s="24">
        <v>0.05</v>
      </c>
      <c r="N24" s="24">
        <v>0</v>
      </c>
      <c r="O24" s="23" t="s">
        <v>739</v>
      </c>
      <c r="P24" s="26">
        <v>0.64460567715458272</v>
      </c>
      <c r="Q24" s="23" t="s">
        <v>733</v>
      </c>
      <c r="R24" s="23" t="s">
        <v>389</v>
      </c>
      <c r="S24" s="23" t="s">
        <v>734</v>
      </c>
    </row>
    <row r="25" spans="1:19">
      <c r="A25" s="23" t="s">
        <v>36</v>
      </c>
      <c r="B25" s="23" t="s">
        <v>46</v>
      </c>
      <c r="C25" s="23" t="s">
        <v>579</v>
      </c>
      <c r="D25" s="23" t="s">
        <v>142</v>
      </c>
      <c r="E25" s="23" t="s">
        <v>143</v>
      </c>
      <c r="F25" s="23" t="s">
        <v>139</v>
      </c>
      <c r="G25" s="23" t="s">
        <v>753</v>
      </c>
      <c r="H25" s="23" t="s">
        <v>754</v>
      </c>
      <c r="I25" s="25">
        <v>89</v>
      </c>
      <c r="J25" s="25">
        <v>88</v>
      </c>
      <c r="K25" s="24">
        <v>0.9887640449438202</v>
      </c>
      <c r="L25" s="24">
        <v>0.98642270861833103</v>
      </c>
      <c r="M25" s="24">
        <v>0.05</v>
      </c>
      <c r="N25" s="24">
        <v>0</v>
      </c>
      <c r="O25" s="23" t="s">
        <v>739</v>
      </c>
      <c r="P25" s="26">
        <v>0.64460567715458272</v>
      </c>
      <c r="Q25" s="23" t="s">
        <v>733</v>
      </c>
      <c r="R25" s="23" t="s">
        <v>373</v>
      </c>
      <c r="S25" s="23" t="s">
        <v>734</v>
      </c>
    </row>
    <row r="26" spans="1:19">
      <c r="A26" s="23" t="s">
        <v>98</v>
      </c>
      <c r="B26" s="23" t="s">
        <v>102</v>
      </c>
      <c r="C26" s="23" t="s">
        <v>579</v>
      </c>
      <c r="D26" s="23" t="s">
        <v>142</v>
      </c>
      <c r="E26" s="23" t="s">
        <v>143</v>
      </c>
      <c r="F26" s="23" t="s">
        <v>139</v>
      </c>
      <c r="G26" s="23" t="s">
        <v>755</v>
      </c>
      <c r="H26" s="23" t="s">
        <v>756</v>
      </c>
      <c r="I26" s="25">
        <v>89</v>
      </c>
      <c r="J26" s="25">
        <v>89</v>
      </c>
      <c r="K26" s="24">
        <v>1</v>
      </c>
      <c r="L26" s="24">
        <v>1</v>
      </c>
      <c r="M26" s="24">
        <v>0</v>
      </c>
      <c r="N26" s="24">
        <v>1</v>
      </c>
      <c r="O26" s="23" t="s">
        <v>732</v>
      </c>
      <c r="P26" s="26">
        <v>0.9</v>
      </c>
      <c r="Q26" s="23" t="s">
        <v>733</v>
      </c>
      <c r="R26" s="23" t="s">
        <v>472</v>
      </c>
      <c r="S26" s="23" t="s">
        <v>734</v>
      </c>
    </row>
    <row r="27" spans="1:19">
      <c r="A27" s="23" t="s">
        <v>49</v>
      </c>
      <c r="B27" s="23" t="s">
        <v>55</v>
      </c>
      <c r="C27" s="23" t="s">
        <v>579</v>
      </c>
      <c r="D27" s="23" t="s">
        <v>142</v>
      </c>
      <c r="E27" s="23" t="s">
        <v>146</v>
      </c>
      <c r="F27" s="23" t="s">
        <v>139</v>
      </c>
      <c r="G27" s="23" t="s">
        <v>757</v>
      </c>
      <c r="H27" s="23" t="s">
        <v>758</v>
      </c>
      <c r="I27" s="25">
        <v>74</v>
      </c>
      <c r="J27" s="25">
        <v>49</v>
      </c>
      <c r="K27" s="24">
        <v>0.66216216216216217</v>
      </c>
      <c r="L27" s="24">
        <v>1.2270852258343137E-2</v>
      </c>
      <c r="M27" s="24">
        <v>1</v>
      </c>
      <c r="N27" s="24">
        <v>0</v>
      </c>
      <c r="O27" s="23" t="s">
        <v>739</v>
      </c>
      <c r="P27" s="26">
        <v>0.60856320856008139</v>
      </c>
      <c r="Q27" s="23" t="s">
        <v>733</v>
      </c>
      <c r="R27" s="23" t="s">
        <v>389</v>
      </c>
      <c r="S27" s="23" t="s">
        <v>734</v>
      </c>
    </row>
    <row r="28" spans="1:19">
      <c r="A28" s="23" t="s">
        <v>59</v>
      </c>
      <c r="B28" s="23" t="s">
        <v>61</v>
      </c>
      <c r="C28" s="23" t="s">
        <v>579</v>
      </c>
      <c r="D28" s="23" t="s">
        <v>142</v>
      </c>
      <c r="E28" s="23" t="s">
        <v>146</v>
      </c>
      <c r="F28" s="23" t="s">
        <v>139</v>
      </c>
      <c r="G28" s="23" t="s">
        <v>757</v>
      </c>
      <c r="H28" s="23" t="s">
        <v>758</v>
      </c>
      <c r="I28" s="25">
        <v>74</v>
      </c>
      <c r="J28" s="25">
        <v>49</v>
      </c>
      <c r="K28" s="24">
        <v>0.66216216216216217</v>
      </c>
      <c r="L28" s="24">
        <v>1.2270852258343137E-2</v>
      </c>
      <c r="M28" s="24">
        <v>1</v>
      </c>
      <c r="N28" s="24">
        <v>0</v>
      </c>
      <c r="O28" s="23" t="s">
        <v>739</v>
      </c>
      <c r="P28" s="26">
        <v>0.60856320856008139</v>
      </c>
      <c r="Q28" s="23" t="s">
        <v>733</v>
      </c>
      <c r="R28" s="23" t="s">
        <v>404</v>
      </c>
      <c r="S28" s="23" t="s">
        <v>734</v>
      </c>
    </row>
    <row r="29" spans="1:19">
      <c r="A29" s="23" t="s">
        <v>104</v>
      </c>
      <c r="B29" s="23" t="s">
        <v>106</v>
      </c>
      <c r="C29" s="23" t="s">
        <v>579</v>
      </c>
      <c r="D29" s="23" t="s">
        <v>142</v>
      </c>
      <c r="E29" s="23" t="s">
        <v>146</v>
      </c>
      <c r="F29" s="23" t="s">
        <v>139</v>
      </c>
      <c r="G29" s="23" t="s">
        <v>759</v>
      </c>
      <c r="H29" s="23" t="s">
        <v>760</v>
      </c>
      <c r="I29" s="25">
        <v>74</v>
      </c>
      <c r="J29" s="25">
        <v>74</v>
      </c>
      <c r="K29" s="24">
        <v>1</v>
      </c>
      <c r="L29" s="24">
        <v>1</v>
      </c>
      <c r="M29" s="24">
        <v>0</v>
      </c>
      <c r="N29" s="24">
        <v>1</v>
      </c>
      <c r="O29" s="23" t="s">
        <v>732</v>
      </c>
      <c r="P29" s="26">
        <v>0.9</v>
      </c>
      <c r="Q29" s="23" t="s">
        <v>733</v>
      </c>
      <c r="R29" s="23" t="s">
        <v>477</v>
      </c>
      <c r="S29" s="23" t="s">
        <v>734</v>
      </c>
    </row>
    <row r="30" spans="1:19">
      <c r="A30" s="23" t="s">
        <v>98</v>
      </c>
      <c r="B30" s="23" t="s">
        <v>102</v>
      </c>
      <c r="C30" s="23" t="s">
        <v>579</v>
      </c>
      <c r="D30" s="23" t="s">
        <v>142</v>
      </c>
      <c r="E30" s="23" t="s">
        <v>146</v>
      </c>
      <c r="F30" s="23" t="s">
        <v>139</v>
      </c>
      <c r="G30" s="23" t="s">
        <v>759</v>
      </c>
      <c r="H30" s="23" t="s">
        <v>760</v>
      </c>
      <c r="I30" s="25">
        <v>74</v>
      </c>
      <c r="J30" s="25">
        <v>74</v>
      </c>
      <c r="K30" s="24">
        <v>1</v>
      </c>
      <c r="L30" s="24">
        <v>1</v>
      </c>
      <c r="M30" s="24">
        <v>0</v>
      </c>
      <c r="N30" s="24">
        <v>1</v>
      </c>
      <c r="O30" s="23" t="s">
        <v>732</v>
      </c>
      <c r="P30" s="26">
        <v>0.9</v>
      </c>
      <c r="Q30" s="23" t="s">
        <v>733</v>
      </c>
      <c r="R30" s="23" t="s">
        <v>472</v>
      </c>
      <c r="S30" s="23" t="s">
        <v>734</v>
      </c>
    </row>
    <row r="31" spans="1:19">
      <c r="A31" s="23" t="s">
        <v>49</v>
      </c>
      <c r="B31" s="23" t="s">
        <v>55</v>
      </c>
      <c r="C31" s="23" t="s">
        <v>579</v>
      </c>
      <c r="D31" s="23" t="s">
        <v>142</v>
      </c>
      <c r="E31" s="23" t="s">
        <v>149</v>
      </c>
      <c r="F31" s="23" t="s">
        <v>81</v>
      </c>
      <c r="G31" s="23" t="s">
        <v>747</v>
      </c>
      <c r="H31" s="23" t="s">
        <v>748</v>
      </c>
      <c r="I31" s="25">
        <v>107</v>
      </c>
      <c r="J31" s="25">
        <v>107</v>
      </c>
      <c r="K31" s="24">
        <v>1</v>
      </c>
      <c r="L31" s="24">
        <v>1</v>
      </c>
      <c r="M31" s="24">
        <v>0.78260869565217395</v>
      </c>
      <c r="N31" s="24">
        <v>0</v>
      </c>
      <c r="O31" s="23" t="s">
        <v>732</v>
      </c>
      <c r="P31" s="26">
        <v>0.9</v>
      </c>
      <c r="Q31" s="23" t="s">
        <v>733</v>
      </c>
      <c r="R31" s="23" t="s">
        <v>389</v>
      </c>
      <c r="S31" s="23" t="s">
        <v>734</v>
      </c>
    </row>
    <row r="32" spans="1:19">
      <c r="A32" s="23" t="s">
        <v>49</v>
      </c>
      <c r="B32" s="23" t="s">
        <v>57</v>
      </c>
      <c r="C32" s="23" t="s">
        <v>579</v>
      </c>
      <c r="D32" s="23" t="s">
        <v>142</v>
      </c>
      <c r="E32" s="23" t="s">
        <v>149</v>
      </c>
      <c r="F32" s="23" t="s">
        <v>81</v>
      </c>
      <c r="G32" s="23" t="s">
        <v>747</v>
      </c>
      <c r="H32" s="23" t="s">
        <v>748</v>
      </c>
      <c r="I32" s="25">
        <v>107</v>
      </c>
      <c r="J32" s="25">
        <v>107</v>
      </c>
      <c r="K32" s="24">
        <v>1</v>
      </c>
      <c r="L32" s="24">
        <v>1</v>
      </c>
      <c r="M32" s="24">
        <v>0.78260869565217395</v>
      </c>
      <c r="N32" s="24">
        <v>0</v>
      </c>
      <c r="O32" s="23" t="s">
        <v>732</v>
      </c>
      <c r="P32" s="26">
        <v>0.9</v>
      </c>
      <c r="Q32" s="23" t="s">
        <v>733</v>
      </c>
      <c r="R32" s="23" t="s">
        <v>57</v>
      </c>
      <c r="S32" s="23" t="s">
        <v>734</v>
      </c>
    </row>
    <row r="33" spans="1:19">
      <c r="A33" s="23" t="s">
        <v>104</v>
      </c>
      <c r="B33" s="23" t="s">
        <v>105</v>
      </c>
      <c r="C33" s="23" t="s">
        <v>579</v>
      </c>
      <c r="D33" s="23" t="s">
        <v>142</v>
      </c>
      <c r="E33" s="23" t="s">
        <v>149</v>
      </c>
      <c r="F33" s="23" t="s">
        <v>81</v>
      </c>
      <c r="G33" s="23" t="s">
        <v>761</v>
      </c>
      <c r="H33" s="23" t="s">
        <v>762</v>
      </c>
      <c r="I33" s="25">
        <v>107</v>
      </c>
      <c r="J33" s="25">
        <v>48</v>
      </c>
      <c r="K33" s="24">
        <v>0.44859813084112149</v>
      </c>
      <c r="L33" s="24">
        <v>0.98630136986301364</v>
      </c>
      <c r="M33" s="24">
        <v>0</v>
      </c>
      <c r="N33" s="24">
        <v>0.95833333333333337</v>
      </c>
      <c r="O33" s="23" t="s">
        <v>739</v>
      </c>
      <c r="P33" s="26">
        <v>0.73261506209192162</v>
      </c>
      <c r="Q33" s="23" t="s">
        <v>733</v>
      </c>
      <c r="R33" s="23" t="s">
        <v>105</v>
      </c>
      <c r="S33" s="23" t="s">
        <v>734</v>
      </c>
    </row>
    <row r="34" spans="1:19">
      <c r="A34" s="23" t="s">
        <v>98</v>
      </c>
      <c r="B34" s="23" t="s">
        <v>102</v>
      </c>
      <c r="C34" s="23" t="s">
        <v>579</v>
      </c>
      <c r="D34" s="23" t="s">
        <v>142</v>
      </c>
      <c r="E34" s="23" t="s">
        <v>149</v>
      </c>
      <c r="F34" s="23" t="s">
        <v>81</v>
      </c>
      <c r="G34" s="23" t="s">
        <v>761</v>
      </c>
      <c r="H34" s="23" t="s">
        <v>762</v>
      </c>
      <c r="I34" s="25">
        <v>107</v>
      </c>
      <c r="J34" s="25">
        <v>48</v>
      </c>
      <c r="K34" s="24">
        <v>0.44859813084112149</v>
      </c>
      <c r="L34" s="24">
        <v>0.98630136986301364</v>
      </c>
      <c r="M34" s="24">
        <v>0</v>
      </c>
      <c r="N34" s="24">
        <v>0.95833333333333337</v>
      </c>
      <c r="O34" s="23" t="s">
        <v>739</v>
      </c>
      <c r="P34" s="26">
        <v>0.73261506209192162</v>
      </c>
      <c r="Q34" s="23" t="s">
        <v>733</v>
      </c>
      <c r="R34" s="23" t="s">
        <v>472</v>
      </c>
      <c r="S34" s="23" t="s">
        <v>734</v>
      </c>
    </row>
    <row r="35" spans="1:19">
      <c r="A35" s="23" t="s">
        <v>36</v>
      </c>
      <c r="B35" s="23" t="s">
        <v>38</v>
      </c>
      <c r="C35" s="23" t="s">
        <v>23</v>
      </c>
      <c r="D35" s="23" t="s">
        <v>152</v>
      </c>
      <c r="E35" s="23" t="s">
        <v>728</v>
      </c>
      <c r="F35" s="23" t="s">
        <v>763</v>
      </c>
      <c r="G35" s="23" t="s">
        <v>764</v>
      </c>
      <c r="H35" s="23" t="s">
        <v>765</v>
      </c>
      <c r="I35" s="25">
        <v>191</v>
      </c>
      <c r="J35" s="25">
        <v>155</v>
      </c>
      <c r="K35" s="24">
        <v>0.81151832460732987</v>
      </c>
      <c r="L35" s="24">
        <v>0.88548676536563486</v>
      </c>
      <c r="M35" s="24">
        <v>0.8571428571428571</v>
      </c>
      <c r="N35" s="24">
        <v>0</v>
      </c>
      <c r="O35" s="23" t="s">
        <v>732</v>
      </c>
      <c r="P35" s="26">
        <v>0.87137169134140868</v>
      </c>
      <c r="Q35" s="23" t="s">
        <v>733</v>
      </c>
      <c r="R35" s="23" t="s">
        <v>356</v>
      </c>
      <c r="S35" s="23" t="s">
        <v>734</v>
      </c>
    </row>
    <row r="36" spans="1:19">
      <c r="A36" s="23" t="s">
        <v>36</v>
      </c>
      <c r="B36" s="23" t="s">
        <v>45</v>
      </c>
      <c r="C36" s="23" t="s">
        <v>23</v>
      </c>
      <c r="D36" s="23" t="s">
        <v>152</v>
      </c>
      <c r="E36" s="23" t="s">
        <v>728</v>
      </c>
      <c r="F36" s="23" t="s">
        <v>763</v>
      </c>
      <c r="G36" s="23" t="s">
        <v>764</v>
      </c>
      <c r="H36" s="23" t="s">
        <v>765</v>
      </c>
      <c r="I36" s="25">
        <v>191</v>
      </c>
      <c r="J36" s="25">
        <v>155</v>
      </c>
      <c r="K36" s="24">
        <v>0.81151832460732987</v>
      </c>
      <c r="L36" s="24">
        <v>0.88548676536563486</v>
      </c>
      <c r="M36" s="24">
        <v>0.8571428571428571</v>
      </c>
      <c r="N36" s="24">
        <v>0</v>
      </c>
      <c r="O36" s="23" t="s">
        <v>732</v>
      </c>
      <c r="P36" s="26">
        <v>0.87137169134140868</v>
      </c>
      <c r="Q36" s="23" t="s">
        <v>733</v>
      </c>
      <c r="R36" s="23" t="s">
        <v>369</v>
      </c>
      <c r="S36" s="23" t="s">
        <v>734</v>
      </c>
    </row>
    <row r="37" spans="1:19">
      <c r="A37" s="23" t="s">
        <v>59</v>
      </c>
      <c r="B37" s="23" t="s">
        <v>63</v>
      </c>
      <c r="C37" s="23" t="s">
        <v>23</v>
      </c>
      <c r="D37" s="23" t="s">
        <v>152</v>
      </c>
      <c r="E37" s="23" t="s">
        <v>728</v>
      </c>
      <c r="F37" s="23" t="s">
        <v>763</v>
      </c>
      <c r="G37" s="23" t="s">
        <v>764</v>
      </c>
      <c r="H37" s="23" t="s">
        <v>765</v>
      </c>
      <c r="I37" s="25">
        <v>191</v>
      </c>
      <c r="J37" s="25">
        <v>155</v>
      </c>
      <c r="K37" s="24">
        <v>0.81151832460732987</v>
      </c>
      <c r="L37" s="24">
        <v>0.88548676536563486</v>
      </c>
      <c r="M37" s="24">
        <v>0.8571428571428571</v>
      </c>
      <c r="N37" s="24">
        <v>0</v>
      </c>
      <c r="O37" s="23" t="s">
        <v>732</v>
      </c>
      <c r="P37" s="26">
        <v>0.87137169134140868</v>
      </c>
      <c r="Q37" s="23" t="s">
        <v>733</v>
      </c>
      <c r="R37" s="23" t="s">
        <v>410</v>
      </c>
      <c r="S37" s="23" t="s">
        <v>734</v>
      </c>
    </row>
    <row r="38" spans="1:19">
      <c r="A38" s="23" t="s">
        <v>59</v>
      </c>
      <c r="B38" s="23" t="s">
        <v>68</v>
      </c>
      <c r="C38" s="23" t="s">
        <v>23</v>
      </c>
      <c r="D38" s="23" t="s">
        <v>152</v>
      </c>
      <c r="E38" s="23" t="s">
        <v>728</v>
      </c>
      <c r="F38" s="23" t="s">
        <v>763</v>
      </c>
      <c r="G38" s="23" t="s">
        <v>764</v>
      </c>
      <c r="H38" s="23" t="s">
        <v>765</v>
      </c>
      <c r="I38" s="25">
        <v>191</v>
      </c>
      <c r="J38" s="25">
        <v>155</v>
      </c>
      <c r="K38" s="24">
        <v>0.81151832460732987</v>
      </c>
      <c r="L38" s="24">
        <v>0.88548676536563486</v>
      </c>
      <c r="M38" s="24">
        <v>0.8571428571428571</v>
      </c>
      <c r="N38" s="24">
        <v>0</v>
      </c>
      <c r="O38" s="23" t="s">
        <v>732</v>
      </c>
      <c r="P38" s="26">
        <v>0.87137169134140868</v>
      </c>
      <c r="Q38" s="23" t="s">
        <v>733</v>
      </c>
      <c r="R38" s="23" t="s">
        <v>420</v>
      </c>
      <c r="S38" s="23" t="s">
        <v>734</v>
      </c>
    </row>
    <row r="39" spans="1:19">
      <c r="A39" s="23" t="s">
        <v>59</v>
      </c>
      <c r="B39" s="23" t="s">
        <v>60</v>
      </c>
      <c r="C39" s="23" t="s">
        <v>579</v>
      </c>
      <c r="D39" s="23" t="s">
        <v>152</v>
      </c>
      <c r="E39" s="23" t="s">
        <v>153</v>
      </c>
      <c r="F39" s="23" t="s">
        <v>139</v>
      </c>
      <c r="G39" s="23" t="s">
        <v>766</v>
      </c>
      <c r="H39" s="23" t="s">
        <v>767</v>
      </c>
      <c r="I39" s="25">
        <v>122</v>
      </c>
      <c r="J39" s="25">
        <v>96</v>
      </c>
      <c r="K39" s="24">
        <v>0.78688524590163933</v>
      </c>
      <c r="L39" s="24">
        <v>0.78608470181503887</v>
      </c>
      <c r="M39" s="24">
        <v>0.80769230769230771</v>
      </c>
      <c r="N39" s="24">
        <v>0</v>
      </c>
      <c r="O39" s="23" t="s">
        <v>732</v>
      </c>
      <c r="P39" s="26">
        <v>0.84652117545375971</v>
      </c>
      <c r="Q39" s="23" t="s">
        <v>733</v>
      </c>
      <c r="R39" s="23" t="s">
        <v>401</v>
      </c>
      <c r="S39" s="23" t="s">
        <v>734</v>
      </c>
    </row>
    <row r="40" spans="1:19">
      <c r="A40" s="23" t="s">
        <v>104</v>
      </c>
      <c r="B40" s="23" t="s">
        <v>110</v>
      </c>
      <c r="C40" s="23" t="s">
        <v>579</v>
      </c>
      <c r="D40" s="23" t="s">
        <v>152</v>
      </c>
      <c r="E40" s="23" t="s">
        <v>153</v>
      </c>
      <c r="F40" s="23" t="s">
        <v>139</v>
      </c>
      <c r="G40" s="23" t="s">
        <v>768</v>
      </c>
      <c r="H40" s="23" t="s">
        <v>769</v>
      </c>
      <c r="I40" s="25">
        <v>122</v>
      </c>
      <c r="J40" s="25">
        <v>122</v>
      </c>
      <c r="K40" s="24">
        <v>1</v>
      </c>
      <c r="L40" s="24">
        <v>1</v>
      </c>
      <c r="M40" s="24">
        <v>0</v>
      </c>
      <c r="N40" s="24">
        <v>1</v>
      </c>
      <c r="O40" s="23" t="s">
        <v>732</v>
      </c>
      <c r="P40" s="26">
        <v>0.9</v>
      </c>
      <c r="Q40" s="23" t="s">
        <v>733</v>
      </c>
      <c r="R40" s="23" t="s">
        <v>489</v>
      </c>
      <c r="S40" s="23" t="s">
        <v>734</v>
      </c>
    </row>
    <row r="41" spans="1:19">
      <c r="A41" s="23" t="s">
        <v>98</v>
      </c>
      <c r="B41" s="23" t="s">
        <v>101</v>
      </c>
      <c r="C41" s="23" t="s">
        <v>579</v>
      </c>
      <c r="D41" s="23" t="s">
        <v>152</v>
      </c>
      <c r="E41" s="23" t="s">
        <v>153</v>
      </c>
      <c r="F41" s="23" t="s">
        <v>139</v>
      </c>
      <c r="G41" s="23" t="s">
        <v>768</v>
      </c>
      <c r="H41" s="23" t="s">
        <v>769</v>
      </c>
      <c r="I41" s="25">
        <v>122</v>
      </c>
      <c r="J41" s="25">
        <v>122</v>
      </c>
      <c r="K41" s="24">
        <v>1</v>
      </c>
      <c r="L41" s="24">
        <v>1</v>
      </c>
      <c r="M41" s="24">
        <v>0</v>
      </c>
      <c r="N41" s="24">
        <v>1</v>
      </c>
      <c r="O41" s="23" t="s">
        <v>732</v>
      </c>
      <c r="P41" s="26">
        <v>0.9</v>
      </c>
      <c r="Q41" s="23" t="s">
        <v>733</v>
      </c>
      <c r="R41" s="23" t="s">
        <v>469</v>
      </c>
      <c r="S41" s="23" t="s">
        <v>734</v>
      </c>
    </row>
    <row r="42" spans="1:19">
      <c r="A42" s="23" t="s">
        <v>98</v>
      </c>
      <c r="B42" s="23" t="s">
        <v>99</v>
      </c>
      <c r="C42" s="23" t="s">
        <v>579</v>
      </c>
      <c r="D42" s="23" t="s">
        <v>152</v>
      </c>
      <c r="E42" s="23" t="s">
        <v>153</v>
      </c>
      <c r="F42" s="23" t="s">
        <v>139</v>
      </c>
      <c r="G42" s="23" t="s">
        <v>768</v>
      </c>
      <c r="H42" s="23" t="s">
        <v>769</v>
      </c>
      <c r="I42" s="25">
        <v>122</v>
      </c>
      <c r="J42" s="25">
        <v>122</v>
      </c>
      <c r="K42" s="24">
        <v>1</v>
      </c>
      <c r="L42" s="24">
        <v>1</v>
      </c>
      <c r="M42" s="24">
        <v>0</v>
      </c>
      <c r="N42" s="24">
        <v>1</v>
      </c>
      <c r="O42" s="23" t="s">
        <v>732</v>
      </c>
      <c r="P42" s="26">
        <v>0.9</v>
      </c>
      <c r="Q42" s="23" t="s">
        <v>733</v>
      </c>
      <c r="R42" s="23" t="s">
        <v>462</v>
      </c>
      <c r="S42" s="23" t="s">
        <v>734</v>
      </c>
    </row>
    <row r="43" spans="1:19">
      <c r="A43" s="23" t="s">
        <v>36</v>
      </c>
      <c r="B43" s="23" t="s">
        <v>47</v>
      </c>
      <c r="C43" s="23" t="s">
        <v>579</v>
      </c>
      <c r="D43" s="23" t="s">
        <v>152</v>
      </c>
      <c r="E43" s="23" t="s">
        <v>156</v>
      </c>
      <c r="F43" s="23" t="s">
        <v>78</v>
      </c>
      <c r="G43" s="23" t="s">
        <v>764</v>
      </c>
      <c r="H43" s="23" t="s">
        <v>765</v>
      </c>
      <c r="I43" s="25">
        <v>137</v>
      </c>
      <c r="J43" s="25">
        <v>92</v>
      </c>
      <c r="K43" s="24">
        <v>0.67153284671532842</v>
      </c>
      <c r="L43" s="24">
        <v>0.3997308209959623</v>
      </c>
      <c r="M43" s="24">
        <v>0.85164835164835162</v>
      </c>
      <c r="N43" s="24">
        <v>0</v>
      </c>
      <c r="O43" s="23" t="s">
        <v>739</v>
      </c>
      <c r="P43" s="26">
        <v>0.71017601425142363</v>
      </c>
      <c r="Q43" s="23" t="s">
        <v>733</v>
      </c>
      <c r="R43" s="23" t="s">
        <v>376</v>
      </c>
      <c r="S43" s="23" t="s">
        <v>734</v>
      </c>
    </row>
    <row r="44" spans="1:19">
      <c r="A44" s="23" t="s">
        <v>59</v>
      </c>
      <c r="B44" s="23" t="s">
        <v>61</v>
      </c>
      <c r="C44" s="23" t="s">
        <v>579</v>
      </c>
      <c r="D44" s="23" t="s">
        <v>152</v>
      </c>
      <c r="E44" s="23" t="s">
        <v>156</v>
      </c>
      <c r="F44" s="23" t="s">
        <v>78</v>
      </c>
      <c r="G44" s="23" t="s">
        <v>764</v>
      </c>
      <c r="H44" s="23" t="s">
        <v>765</v>
      </c>
      <c r="I44" s="25">
        <v>137</v>
      </c>
      <c r="J44" s="25">
        <v>92</v>
      </c>
      <c r="K44" s="24">
        <v>0.67153284671532842</v>
      </c>
      <c r="L44" s="24">
        <v>0.3997308209959623</v>
      </c>
      <c r="M44" s="24">
        <v>0.85164835164835162</v>
      </c>
      <c r="N44" s="24">
        <v>0</v>
      </c>
      <c r="O44" s="23" t="s">
        <v>739</v>
      </c>
      <c r="P44" s="26">
        <v>0.71017601425142363</v>
      </c>
      <c r="Q44" s="23" t="s">
        <v>733</v>
      </c>
      <c r="R44" s="23" t="s">
        <v>404</v>
      </c>
      <c r="S44" s="23" t="s">
        <v>734</v>
      </c>
    </row>
    <row r="45" spans="1:19">
      <c r="A45" s="23" t="s">
        <v>59</v>
      </c>
      <c r="B45" s="23" t="s">
        <v>92</v>
      </c>
      <c r="C45" s="23" t="s">
        <v>579</v>
      </c>
      <c r="D45" s="23" t="s">
        <v>152</v>
      </c>
      <c r="E45" s="23" t="s">
        <v>156</v>
      </c>
      <c r="F45" s="23" t="s">
        <v>78</v>
      </c>
      <c r="G45" s="23" t="s">
        <v>770</v>
      </c>
      <c r="H45" s="23" t="s">
        <v>771</v>
      </c>
      <c r="I45" s="25">
        <v>137</v>
      </c>
      <c r="J45" s="25">
        <v>55</v>
      </c>
      <c r="K45" s="24">
        <v>0.40145985401459855</v>
      </c>
      <c r="L45" s="24">
        <v>0.87239655651207992</v>
      </c>
      <c r="M45" s="24">
        <v>0.81818181818181823</v>
      </c>
      <c r="N45" s="24">
        <v>0</v>
      </c>
      <c r="O45" s="23" t="s">
        <v>732</v>
      </c>
      <c r="P45" s="26">
        <v>0.79150546516208331</v>
      </c>
      <c r="Q45" s="23" t="s">
        <v>733</v>
      </c>
      <c r="R45" s="23" t="s">
        <v>447</v>
      </c>
      <c r="S45" s="23" t="s">
        <v>734</v>
      </c>
    </row>
    <row r="46" spans="1:19">
      <c r="A46" s="23" t="s">
        <v>94</v>
      </c>
      <c r="B46" s="23" t="s">
        <v>95</v>
      </c>
      <c r="C46" s="23" t="s">
        <v>579</v>
      </c>
      <c r="D46" s="23" t="s">
        <v>152</v>
      </c>
      <c r="E46" s="23" t="s">
        <v>156</v>
      </c>
      <c r="F46" s="23" t="s">
        <v>78</v>
      </c>
      <c r="G46" s="23" t="s">
        <v>772</v>
      </c>
      <c r="H46" s="23" t="s">
        <v>773</v>
      </c>
      <c r="I46" s="25">
        <v>137</v>
      </c>
      <c r="J46" s="25">
        <v>108</v>
      </c>
      <c r="K46" s="24">
        <v>0.78832116788321172</v>
      </c>
      <c r="L46" s="24">
        <v>1</v>
      </c>
      <c r="M46" s="24">
        <v>0</v>
      </c>
      <c r="N46" s="24">
        <v>1</v>
      </c>
      <c r="O46" s="23" t="s">
        <v>732</v>
      </c>
      <c r="P46" s="26">
        <v>0.9</v>
      </c>
      <c r="Q46" s="23" t="s">
        <v>733</v>
      </c>
      <c r="R46" s="23" t="s">
        <v>453</v>
      </c>
      <c r="S46" s="23" t="s">
        <v>734</v>
      </c>
    </row>
    <row r="47" spans="1:19">
      <c r="A47" s="23" t="s">
        <v>104</v>
      </c>
      <c r="B47" s="23" t="s">
        <v>105</v>
      </c>
      <c r="C47" s="23" t="s">
        <v>579</v>
      </c>
      <c r="D47" s="23" t="s">
        <v>152</v>
      </c>
      <c r="E47" s="23" t="s">
        <v>156</v>
      </c>
      <c r="F47" s="23" t="s">
        <v>78</v>
      </c>
      <c r="G47" s="23" t="s">
        <v>772</v>
      </c>
      <c r="H47" s="23" t="s">
        <v>773</v>
      </c>
      <c r="I47" s="25">
        <v>137</v>
      </c>
      <c r="J47" s="25">
        <v>108</v>
      </c>
      <c r="K47" s="24">
        <v>0.78832116788321172</v>
      </c>
      <c r="L47" s="24">
        <v>1</v>
      </c>
      <c r="M47" s="24">
        <v>0</v>
      </c>
      <c r="N47" s="24">
        <v>1</v>
      </c>
      <c r="O47" s="23" t="s">
        <v>732</v>
      </c>
      <c r="P47" s="26">
        <v>0.9</v>
      </c>
      <c r="Q47" s="23" t="s">
        <v>733</v>
      </c>
      <c r="R47" s="23" t="s">
        <v>105</v>
      </c>
      <c r="S47" s="23" t="s">
        <v>734</v>
      </c>
    </row>
    <row r="48" spans="1:19">
      <c r="A48" s="23" t="s">
        <v>104</v>
      </c>
      <c r="B48" s="23" t="s">
        <v>106</v>
      </c>
      <c r="C48" s="23" t="s">
        <v>579</v>
      </c>
      <c r="D48" s="23" t="s">
        <v>152</v>
      </c>
      <c r="E48" s="23" t="s">
        <v>156</v>
      </c>
      <c r="F48" s="23" t="s">
        <v>78</v>
      </c>
      <c r="G48" s="23" t="s">
        <v>772</v>
      </c>
      <c r="H48" s="23" t="s">
        <v>773</v>
      </c>
      <c r="I48" s="25">
        <v>137</v>
      </c>
      <c r="J48" s="25">
        <v>108</v>
      </c>
      <c r="K48" s="24">
        <v>0.78832116788321172</v>
      </c>
      <c r="L48" s="24">
        <v>1</v>
      </c>
      <c r="M48" s="24">
        <v>0</v>
      </c>
      <c r="N48" s="24">
        <v>1</v>
      </c>
      <c r="O48" s="23" t="s">
        <v>732</v>
      </c>
      <c r="P48" s="26">
        <v>0.9</v>
      </c>
      <c r="Q48" s="23" t="s">
        <v>733</v>
      </c>
      <c r="R48" s="23" t="s">
        <v>477</v>
      </c>
      <c r="S48" s="23" t="s">
        <v>734</v>
      </c>
    </row>
    <row r="49" spans="1:19">
      <c r="A49" s="23" t="s">
        <v>104</v>
      </c>
      <c r="B49" s="23" t="s">
        <v>110</v>
      </c>
      <c r="C49" s="23" t="s">
        <v>579</v>
      </c>
      <c r="D49" s="23" t="s">
        <v>152</v>
      </c>
      <c r="E49" s="23" t="s">
        <v>156</v>
      </c>
      <c r="F49" s="23" t="s">
        <v>78</v>
      </c>
      <c r="G49" s="23" t="s">
        <v>772</v>
      </c>
      <c r="H49" s="23" t="s">
        <v>773</v>
      </c>
      <c r="I49" s="25">
        <v>137</v>
      </c>
      <c r="J49" s="25">
        <v>108</v>
      </c>
      <c r="K49" s="24">
        <v>0.78832116788321172</v>
      </c>
      <c r="L49" s="24">
        <v>1</v>
      </c>
      <c r="M49" s="24">
        <v>0</v>
      </c>
      <c r="N49" s="24">
        <v>1</v>
      </c>
      <c r="O49" s="23" t="s">
        <v>732</v>
      </c>
      <c r="P49" s="26">
        <v>0.9</v>
      </c>
      <c r="Q49" s="23" t="s">
        <v>733</v>
      </c>
      <c r="R49" s="23" t="s">
        <v>489</v>
      </c>
      <c r="S49" s="23" t="s">
        <v>734</v>
      </c>
    </row>
    <row r="50" spans="1:19">
      <c r="A50" s="23" t="s">
        <v>36</v>
      </c>
      <c r="B50" s="23" t="s">
        <v>38</v>
      </c>
      <c r="C50" s="23" t="s">
        <v>23</v>
      </c>
      <c r="D50" s="23" t="s">
        <v>162</v>
      </c>
      <c r="E50" s="23" t="s">
        <v>728</v>
      </c>
      <c r="F50" s="23" t="s">
        <v>763</v>
      </c>
      <c r="G50" s="23" t="s">
        <v>774</v>
      </c>
      <c r="H50" s="23" t="s">
        <v>775</v>
      </c>
      <c r="I50" s="25">
        <v>178</v>
      </c>
      <c r="J50" s="25">
        <v>22</v>
      </c>
      <c r="K50" s="24">
        <v>0.12359550561797752</v>
      </c>
      <c r="L50" s="24">
        <v>1</v>
      </c>
      <c r="M50" s="24">
        <v>0.92153846153846164</v>
      </c>
      <c r="N50" s="24">
        <v>0</v>
      </c>
      <c r="O50" s="23" t="s">
        <v>776</v>
      </c>
      <c r="P50" s="26">
        <v>0.58262172284644198</v>
      </c>
      <c r="Q50" s="23" t="s">
        <v>733</v>
      </c>
      <c r="R50" s="23" t="s">
        <v>356</v>
      </c>
      <c r="S50" s="23" t="s">
        <v>734</v>
      </c>
    </row>
    <row r="51" spans="1:19">
      <c r="A51" s="23" t="s">
        <v>36</v>
      </c>
      <c r="B51" s="23" t="s">
        <v>45</v>
      </c>
      <c r="C51" s="23" t="s">
        <v>23</v>
      </c>
      <c r="D51" s="23" t="s">
        <v>162</v>
      </c>
      <c r="E51" s="23" t="s">
        <v>728</v>
      </c>
      <c r="F51" s="23" t="s">
        <v>763</v>
      </c>
      <c r="G51" s="23" t="s">
        <v>774</v>
      </c>
      <c r="H51" s="23" t="s">
        <v>775</v>
      </c>
      <c r="I51" s="25">
        <v>178</v>
      </c>
      <c r="J51" s="25">
        <v>22</v>
      </c>
      <c r="K51" s="24">
        <v>0.12359550561797752</v>
      </c>
      <c r="L51" s="24">
        <v>1</v>
      </c>
      <c r="M51" s="24">
        <v>0.92153846153846164</v>
      </c>
      <c r="N51" s="24">
        <v>0</v>
      </c>
      <c r="O51" s="23" t="s">
        <v>776</v>
      </c>
      <c r="P51" s="26">
        <v>0.58262172284644198</v>
      </c>
      <c r="Q51" s="23" t="s">
        <v>733</v>
      </c>
      <c r="R51" s="23" t="s">
        <v>369</v>
      </c>
      <c r="S51" s="23" t="s">
        <v>734</v>
      </c>
    </row>
    <row r="52" spans="1:19">
      <c r="A52" s="23" t="s">
        <v>49</v>
      </c>
      <c r="B52" s="23" t="s">
        <v>56</v>
      </c>
      <c r="C52" s="23" t="s">
        <v>23</v>
      </c>
      <c r="D52" s="23" t="s">
        <v>162</v>
      </c>
      <c r="E52" s="23" t="s">
        <v>728</v>
      </c>
      <c r="F52" s="23" t="s">
        <v>763</v>
      </c>
      <c r="G52" s="23" t="s">
        <v>774</v>
      </c>
      <c r="H52" s="23" t="s">
        <v>775</v>
      </c>
      <c r="I52" s="25">
        <v>178</v>
      </c>
      <c r="J52" s="25">
        <v>22</v>
      </c>
      <c r="K52" s="24">
        <v>0.12359550561797752</v>
      </c>
      <c r="L52" s="24">
        <v>1</v>
      </c>
      <c r="M52" s="24">
        <v>0.92153846153846164</v>
      </c>
      <c r="N52" s="24">
        <v>0</v>
      </c>
      <c r="O52" s="23" t="s">
        <v>776</v>
      </c>
      <c r="P52" s="26">
        <v>0.58262172284644198</v>
      </c>
      <c r="Q52" s="23" t="s">
        <v>733</v>
      </c>
      <c r="R52" s="23" t="s">
        <v>392</v>
      </c>
      <c r="S52" s="23" t="s">
        <v>734</v>
      </c>
    </row>
    <row r="53" spans="1:19">
      <c r="A53" s="23" t="s">
        <v>59</v>
      </c>
      <c r="B53" s="23" t="s">
        <v>68</v>
      </c>
      <c r="C53" s="23" t="s">
        <v>23</v>
      </c>
      <c r="D53" s="23" t="s">
        <v>162</v>
      </c>
      <c r="E53" s="23" t="s">
        <v>728</v>
      </c>
      <c r="F53" s="23" t="s">
        <v>763</v>
      </c>
      <c r="G53" s="23" t="s">
        <v>774</v>
      </c>
      <c r="H53" s="23" t="s">
        <v>775</v>
      </c>
      <c r="I53" s="25">
        <v>178</v>
      </c>
      <c r="J53" s="25">
        <v>22</v>
      </c>
      <c r="K53" s="24">
        <v>0.12359550561797752</v>
      </c>
      <c r="L53" s="24">
        <v>1</v>
      </c>
      <c r="M53" s="24">
        <v>0.92153846153846164</v>
      </c>
      <c r="N53" s="24">
        <v>0</v>
      </c>
      <c r="O53" s="23" t="s">
        <v>776</v>
      </c>
      <c r="P53" s="26">
        <v>0.58262172284644198</v>
      </c>
      <c r="Q53" s="23" t="s">
        <v>733</v>
      </c>
      <c r="R53" s="23" t="s">
        <v>420</v>
      </c>
      <c r="S53" s="23" t="s">
        <v>734</v>
      </c>
    </row>
    <row r="54" spans="1:19">
      <c r="A54" s="23" t="s">
        <v>36</v>
      </c>
      <c r="B54" s="23" t="s">
        <v>47</v>
      </c>
      <c r="C54" s="23" t="s">
        <v>579</v>
      </c>
      <c r="D54" s="23" t="s">
        <v>162</v>
      </c>
      <c r="E54" s="23" t="s">
        <v>163</v>
      </c>
      <c r="F54" s="23" t="s">
        <v>135</v>
      </c>
      <c r="G54" s="23" t="s">
        <v>757</v>
      </c>
      <c r="H54" s="23" t="s">
        <v>758</v>
      </c>
      <c r="I54" s="25">
        <v>118</v>
      </c>
      <c r="J54" s="25">
        <v>65</v>
      </c>
      <c r="K54" s="24">
        <v>0.55084745762711862</v>
      </c>
      <c r="L54" s="24">
        <v>2.8428467185894476E-2</v>
      </c>
      <c r="M54" s="24">
        <v>1</v>
      </c>
      <c r="N54" s="24">
        <v>0</v>
      </c>
      <c r="O54" s="23" t="s">
        <v>776</v>
      </c>
      <c r="P54" s="26">
        <v>0.55620316199421382</v>
      </c>
      <c r="Q54" s="23" t="s">
        <v>733</v>
      </c>
      <c r="R54" s="23" t="s">
        <v>376</v>
      </c>
      <c r="S54" s="23" t="s">
        <v>734</v>
      </c>
    </row>
    <row r="55" spans="1:19">
      <c r="A55" s="23" t="s">
        <v>104</v>
      </c>
      <c r="B55" s="23" t="s">
        <v>109</v>
      </c>
      <c r="C55" s="23" t="s">
        <v>579</v>
      </c>
      <c r="D55" s="23" t="s">
        <v>162</v>
      </c>
      <c r="E55" s="23" t="s">
        <v>163</v>
      </c>
      <c r="F55" s="23" t="s">
        <v>135</v>
      </c>
      <c r="G55" s="23" t="s">
        <v>777</v>
      </c>
      <c r="H55" s="23" t="s">
        <v>778</v>
      </c>
      <c r="I55" s="25">
        <v>118</v>
      </c>
      <c r="J55" s="25">
        <v>117</v>
      </c>
      <c r="K55" s="24">
        <v>0.99152542372881358</v>
      </c>
      <c r="L55" s="24">
        <v>1</v>
      </c>
      <c r="M55" s="24">
        <v>0</v>
      </c>
      <c r="N55" s="24">
        <v>1</v>
      </c>
      <c r="O55" s="23" t="s">
        <v>732</v>
      </c>
      <c r="P55" s="26">
        <v>0.9</v>
      </c>
      <c r="Q55" s="23" t="s">
        <v>733</v>
      </c>
      <c r="R55" s="23" t="s">
        <v>486</v>
      </c>
      <c r="S55" s="23" t="s">
        <v>734</v>
      </c>
    </row>
    <row r="56" spans="1:19">
      <c r="A56" s="23" t="s">
        <v>104</v>
      </c>
      <c r="B56" s="23" t="s">
        <v>110</v>
      </c>
      <c r="C56" s="23" t="s">
        <v>579</v>
      </c>
      <c r="D56" s="23" t="s">
        <v>162</v>
      </c>
      <c r="E56" s="23" t="s">
        <v>163</v>
      </c>
      <c r="F56" s="23" t="s">
        <v>135</v>
      </c>
      <c r="G56" s="23" t="s">
        <v>777</v>
      </c>
      <c r="H56" s="23" t="s">
        <v>778</v>
      </c>
      <c r="I56" s="25">
        <v>118</v>
      </c>
      <c r="J56" s="25">
        <v>117</v>
      </c>
      <c r="K56" s="24">
        <v>0.99152542372881358</v>
      </c>
      <c r="L56" s="24">
        <v>1</v>
      </c>
      <c r="M56" s="24">
        <v>0</v>
      </c>
      <c r="N56" s="24">
        <v>1</v>
      </c>
      <c r="O56" s="23" t="s">
        <v>732</v>
      </c>
      <c r="P56" s="26">
        <v>0.9</v>
      </c>
      <c r="Q56" s="23" t="s">
        <v>733</v>
      </c>
      <c r="R56" s="23" t="s">
        <v>489</v>
      </c>
      <c r="S56" s="23" t="s">
        <v>734</v>
      </c>
    </row>
    <row r="57" spans="1:19">
      <c r="A57" s="23" t="s">
        <v>49</v>
      </c>
      <c r="B57" s="23" t="s">
        <v>55</v>
      </c>
      <c r="C57" s="23" t="s">
        <v>579</v>
      </c>
      <c r="D57" s="23" t="s">
        <v>162</v>
      </c>
      <c r="E57" s="23" t="s">
        <v>166</v>
      </c>
      <c r="F57" s="23" t="s">
        <v>139</v>
      </c>
      <c r="G57" s="23" t="s">
        <v>779</v>
      </c>
      <c r="H57" s="23" t="s">
        <v>780</v>
      </c>
      <c r="I57" s="25">
        <v>20</v>
      </c>
      <c r="J57" s="25">
        <v>20</v>
      </c>
      <c r="K57" s="24">
        <v>1</v>
      </c>
      <c r="L57" s="24">
        <v>1</v>
      </c>
      <c r="M57" s="24">
        <v>4.7619047619047616E-2</v>
      </c>
      <c r="N57" s="24">
        <v>0</v>
      </c>
      <c r="O57" s="23" t="s">
        <v>739</v>
      </c>
      <c r="P57" s="26">
        <v>0.64714285714285713</v>
      </c>
      <c r="Q57" s="23" t="s">
        <v>733</v>
      </c>
      <c r="R57" s="23" t="s">
        <v>389</v>
      </c>
      <c r="S57" s="23" t="s">
        <v>734</v>
      </c>
    </row>
    <row r="58" spans="1:19">
      <c r="A58" s="23" t="s">
        <v>36</v>
      </c>
      <c r="B58" s="23" t="s">
        <v>46</v>
      </c>
      <c r="C58" s="23" t="s">
        <v>579</v>
      </c>
      <c r="D58" s="23" t="s">
        <v>162</v>
      </c>
      <c r="E58" s="23" t="s">
        <v>166</v>
      </c>
      <c r="F58" s="23" t="s">
        <v>139</v>
      </c>
      <c r="G58" s="23" t="s">
        <v>779</v>
      </c>
      <c r="H58" s="23" t="s">
        <v>780</v>
      </c>
      <c r="I58" s="25">
        <v>20</v>
      </c>
      <c r="J58" s="25">
        <v>20</v>
      </c>
      <c r="K58" s="24">
        <v>1</v>
      </c>
      <c r="L58" s="24">
        <v>1</v>
      </c>
      <c r="M58" s="24">
        <v>4.7619047619047616E-2</v>
      </c>
      <c r="N58" s="24">
        <v>0</v>
      </c>
      <c r="O58" s="23" t="s">
        <v>739</v>
      </c>
      <c r="P58" s="26">
        <v>0.64714285714285713</v>
      </c>
      <c r="Q58" s="23" t="s">
        <v>733</v>
      </c>
      <c r="R58" s="23" t="s">
        <v>373</v>
      </c>
      <c r="S58" s="23" t="s">
        <v>734</v>
      </c>
    </row>
    <row r="59" spans="1:19">
      <c r="A59" s="23" t="s">
        <v>104</v>
      </c>
      <c r="B59" s="23" t="s">
        <v>109</v>
      </c>
      <c r="C59" s="23" t="s">
        <v>579</v>
      </c>
      <c r="D59" s="23" t="s">
        <v>162</v>
      </c>
      <c r="E59" s="23" t="s">
        <v>166</v>
      </c>
      <c r="F59" s="23" t="s">
        <v>139</v>
      </c>
      <c r="G59" s="23" t="s">
        <v>781</v>
      </c>
      <c r="H59" s="23" t="s">
        <v>782</v>
      </c>
      <c r="I59" s="25">
        <v>20</v>
      </c>
      <c r="J59" s="25">
        <v>20</v>
      </c>
      <c r="K59" s="24">
        <v>1</v>
      </c>
      <c r="L59" s="24">
        <v>1</v>
      </c>
      <c r="M59" s="24">
        <v>0</v>
      </c>
      <c r="N59" s="24">
        <v>1</v>
      </c>
      <c r="O59" s="23" t="s">
        <v>732</v>
      </c>
      <c r="P59" s="26">
        <v>0.9</v>
      </c>
      <c r="Q59" s="23" t="s">
        <v>733</v>
      </c>
      <c r="R59" s="23" t="s">
        <v>486</v>
      </c>
      <c r="S59" s="23" t="s">
        <v>734</v>
      </c>
    </row>
    <row r="60" spans="1:19">
      <c r="A60" s="23" t="s">
        <v>49</v>
      </c>
      <c r="B60" s="23" t="s">
        <v>57</v>
      </c>
      <c r="C60" s="23" t="s">
        <v>579</v>
      </c>
      <c r="D60" s="23" t="s">
        <v>162</v>
      </c>
      <c r="E60" s="23" t="s">
        <v>168</v>
      </c>
      <c r="F60" s="23" t="s">
        <v>78</v>
      </c>
      <c r="G60" s="23" t="s">
        <v>757</v>
      </c>
      <c r="H60" s="23" t="s">
        <v>758</v>
      </c>
      <c r="I60" s="25">
        <v>57</v>
      </c>
      <c r="J60" s="25">
        <v>23</v>
      </c>
      <c r="K60" s="24">
        <v>0.40350877192982454</v>
      </c>
      <c r="L60" s="24">
        <v>7.9373352593408893E-3</v>
      </c>
      <c r="M60" s="24">
        <v>1</v>
      </c>
      <c r="N60" s="24">
        <v>0</v>
      </c>
      <c r="O60" s="23" t="s">
        <v>776</v>
      </c>
      <c r="P60" s="26">
        <v>0.47642877825927965</v>
      </c>
      <c r="Q60" s="23" t="s">
        <v>733</v>
      </c>
      <c r="R60" s="23" t="s">
        <v>57</v>
      </c>
      <c r="S60" s="23" t="s">
        <v>734</v>
      </c>
    </row>
    <row r="61" spans="1:19">
      <c r="A61" s="23" t="s">
        <v>59</v>
      </c>
      <c r="B61" s="23" t="s">
        <v>92</v>
      </c>
      <c r="C61" s="23" t="s">
        <v>579</v>
      </c>
      <c r="D61" s="23" t="s">
        <v>162</v>
      </c>
      <c r="E61" s="23" t="s">
        <v>168</v>
      </c>
      <c r="F61" s="23" t="s">
        <v>78</v>
      </c>
      <c r="G61" s="23" t="s">
        <v>757</v>
      </c>
      <c r="H61" s="23" t="s">
        <v>758</v>
      </c>
      <c r="I61" s="25">
        <v>57</v>
      </c>
      <c r="J61" s="25">
        <v>23</v>
      </c>
      <c r="K61" s="24">
        <v>0.40350877192982454</v>
      </c>
      <c r="L61" s="24">
        <v>7.9373352593408893E-3</v>
      </c>
      <c r="M61" s="24">
        <v>1</v>
      </c>
      <c r="N61" s="24">
        <v>0</v>
      </c>
      <c r="O61" s="23" t="s">
        <v>776</v>
      </c>
      <c r="P61" s="26">
        <v>0.47642877825927965</v>
      </c>
      <c r="Q61" s="23" t="s">
        <v>733</v>
      </c>
      <c r="R61" s="23" t="s">
        <v>447</v>
      </c>
      <c r="S61" s="23" t="s">
        <v>734</v>
      </c>
    </row>
    <row r="62" spans="1:19">
      <c r="A62" s="23" t="s">
        <v>104</v>
      </c>
      <c r="B62" s="23" t="s">
        <v>109</v>
      </c>
      <c r="C62" s="23" t="s">
        <v>579</v>
      </c>
      <c r="D62" s="23" t="s">
        <v>162</v>
      </c>
      <c r="E62" s="23" t="s">
        <v>168</v>
      </c>
      <c r="F62" s="23" t="s">
        <v>78</v>
      </c>
      <c r="G62" s="23" t="s">
        <v>783</v>
      </c>
      <c r="H62" s="23" t="s">
        <v>784</v>
      </c>
      <c r="I62" s="25">
        <v>57</v>
      </c>
      <c r="J62" s="25">
        <v>57</v>
      </c>
      <c r="K62" s="24">
        <v>1</v>
      </c>
      <c r="L62" s="24">
        <v>0.99944972879490601</v>
      </c>
      <c r="M62" s="24">
        <v>0</v>
      </c>
      <c r="N62" s="24">
        <v>1</v>
      </c>
      <c r="O62" s="23" t="s">
        <v>732</v>
      </c>
      <c r="P62" s="26">
        <v>0.89986243219872653</v>
      </c>
      <c r="Q62" s="23" t="s">
        <v>733</v>
      </c>
      <c r="R62" s="23" t="s">
        <v>486</v>
      </c>
      <c r="S62" s="23" t="s">
        <v>734</v>
      </c>
    </row>
    <row r="63" spans="1:19">
      <c r="A63" s="23" t="s">
        <v>104</v>
      </c>
      <c r="B63" s="23" t="s">
        <v>106</v>
      </c>
      <c r="C63" s="23" t="s">
        <v>579</v>
      </c>
      <c r="D63" s="23" t="s">
        <v>162</v>
      </c>
      <c r="E63" s="23" t="s">
        <v>168</v>
      </c>
      <c r="F63" s="23" t="s">
        <v>78</v>
      </c>
      <c r="G63" s="23" t="s">
        <v>783</v>
      </c>
      <c r="H63" s="23" t="s">
        <v>784</v>
      </c>
      <c r="I63" s="25">
        <v>57</v>
      </c>
      <c r="J63" s="25">
        <v>57</v>
      </c>
      <c r="K63" s="24">
        <v>1</v>
      </c>
      <c r="L63" s="24">
        <v>0.99944972879490601</v>
      </c>
      <c r="M63" s="24">
        <v>0</v>
      </c>
      <c r="N63" s="24">
        <v>1</v>
      </c>
      <c r="O63" s="23" t="s">
        <v>732</v>
      </c>
      <c r="P63" s="26">
        <v>0.89986243219872653</v>
      </c>
      <c r="Q63" s="23" t="s">
        <v>733</v>
      </c>
      <c r="R63" s="23" t="s">
        <v>477</v>
      </c>
      <c r="S63" s="23" t="s">
        <v>734</v>
      </c>
    </row>
    <row r="64" spans="1:19">
      <c r="A64" s="23" t="s">
        <v>59</v>
      </c>
      <c r="B64" s="23" t="s">
        <v>60</v>
      </c>
      <c r="C64" s="23" t="s">
        <v>579</v>
      </c>
      <c r="D64" s="23" t="s">
        <v>162</v>
      </c>
      <c r="E64" s="23" t="s">
        <v>171</v>
      </c>
      <c r="F64" s="23" t="s">
        <v>139</v>
      </c>
      <c r="G64" s="23" t="s">
        <v>757</v>
      </c>
      <c r="H64" s="23" t="s">
        <v>758</v>
      </c>
      <c r="I64" s="25">
        <v>28</v>
      </c>
      <c r="J64" s="25">
        <v>11</v>
      </c>
      <c r="K64" s="24">
        <v>0.39285714285714285</v>
      </c>
      <c r="L64" s="24">
        <v>4.9291894387276432E-3</v>
      </c>
      <c r="M64" s="24">
        <v>1</v>
      </c>
      <c r="N64" s="24">
        <v>0</v>
      </c>
      <c r="O64" s="23" t="s">
        <v>776</v>
      </c>
      <c r="P64" s="26">
        <v>0.47027991640730099</v>
      </c>
      <c r="Q64" s="23" t="s">
        <v>733</v>
      </c>
      <c r="R64" s="23" t="s">
        <v>401</v>
      </c>
      <c r="S64" s="23" t="s">
        <v>734</v>
      </c>
    </row>
    <row r="65" spans="1:19">
      <c r="A65" s="23" t="s">
        <v>104</v>
      </c>
      <c r="B65" s="23" t="s">
        <v>108</v>
      </c>
      <c r="C65" s="23" t="s">
        <v>579</v>
      </c>
      <c r="D65" s="23" t="s">
        <v>162</v>
      </c>
      <c r="E65" s="23" t="s">
        <v>171</v>
      </c>
      <c r="F65" s="23" t="s">
        <v>139</v>
      </c>
      <c r="G65" s="23" t="s">
        <v>785</v>
      </c>
      <c r="H65" s="23" t="s">
        <v>786</v>
      </c>
      <c r="I65" s="25">
        <v>28</v>
      </c>
      <c r="J65" s="25">
        <v>23</v>
      </c>
      <c r="K65" s="24">
        <v>0.8214285714285714</v>
      </c>
      <c r="L65" s="24">
        <v>1</v>
      </c>
      <c r="M65" s="24">
        <v>0</v>
      </c>
      <c r="N65" s="24">
        <v>1</v>
      </c>
      <c r="O65" s="23" t="s">
        <v>732</v>
      </c>
      <c r="P65" s="26">
        <v>0.9</v>
      </c>
      <c r="Q65" s="23" t="s">
        <v>733</v>
      </c>
      <c r="R65" s="23" t="s">
        <v>483</v>
      </c>
      <c r="S65" s="23" t="s">
        <v>734</v>
      </c>
    </row>
    <row r="66" spans="1:19">
      <c r="A66" s="23" t="s">
        <v>104</v>
      </c>
      <c r="B66" s="23" t="s">
        <v>109</v>
      </c>
      <c r="C66" s="23" t="s">
        <v>579</v>
      </c>
      <c r="D66" s="23" t="s">
        <v>162</v>
      </c>
      <c r="E66" s="23" t="s">
        <v>171</v>
      </c>
      <c r="F66" s="23" t="s">
        <v>139</v>
      </c>
      <c r="G66" s="23" t="s">
        <v>785</v>
      </c>
      <c r="H66" s="23" t="s">
        <v>786</v>
      </c>
      <c r="I66" s="25">
        <v>28</v>
      </c>
      <c r="J66" s="25">
        <v>23</v>
      </c>
      <c r="K66" s="24">
        <v>0.8214285714285714</v>
      </c>
      <c r="L66" s="24">
        <v>1</v>
      </c>
      <c r="M66" s="24">
        <v>0</v>
      </c>
      <c r="N66" s="24">
        <v>1</v>
      </c>
      <c r="O66" s="23" t="s">
        <v>732</v>
      </c>
      <c r="P66" s="26">
        <v>0.9</v>
      </c>
      <c r="Q66" s="23" t="s">
        <v>733</v>
      </c>
      <c r="R66" s="23" t="s">
        <v>486</v>
      </c>
      <c r="S66" s="23" t="s">
        <v>734</v>
      </c>
    </row>
    <row r="67" spans="1:19">
      <c r="A67" s="23" t="s">
        <v>94</v>
      </c>
      <c r="B67" s="23" t="s">
        <v>97</v>
      </c>
      <c r="C67" s="23" t="s">
        <v>579</v>
      </c>
      <c r="D67" s="23" t="s">
        <v>162</v>
      </c>
      <c r="E67" s="23" t="s">
        <v>171</v>
      </c>
      <c r="F67" s="23" t="s">
        <v>139</v>
      </c>
      <c r="G67" s="23" t="s">
        <v>785</v>
      </c>
      <c r="H67" s="23" t="s">
        <v>786</v>
      </c>
      <c r="I67" s="25">
        <v>28</v>
      </c>
      <c r="J67" s="25">
        <v>23</v>
      </c>
      <c r="K67" s="24">
        <v>0.8214285714285714</v>
      </c>
      <c r="L67" s="24">
        <v>1</v>
      </c>
      <c r="M67" s="24">
        <v>0</v>
      </c>
      <c r="N67" s="24">
        <v>1</v>
      </c>
      <c r="O67" s="23" t="s">
        <v>732</v>
      </c>
      <c r="P67" s="26">
        <v>0.9</v>
      </c>
      <c r="Q67" s="23" t="s">
        <v>733</v>
      </c>
      <c r="R67" s="23" t="s">
        <v>459</v>
      </c>
      <c r="S67" s="23" t="s">
        <v>734</v>
      </c>
    </row>
    <row r="68" spans="1:19">
      <c r="A68" s="23" t="s">
        <v>59</v>
      </c>
      <c r="B68" s="23" t="s">
        <v>62</v>
      </c>
      <c r="C68" s="23" t="s">
        <v>23</v>
      </c>
      <c r="D68" s="23" t="s">
        <v>174</v>
      </c>
      <c r="E68" s="23" t="s">
        <v>728</v>
      </c>
      <c r="F68" s="23" t="s">
        <v>787</v>
      </c>
      <c r="G68" s="23" t="s">
        <v>788</v>
      </c>
      <c r="H68" s="23" t="s">
        <v>789</v>
      </c>
      <c r="I68" s="25">
        <v>112</v>
      </c>
      <c r="J68" s="25">
        <v>57</v>
      </c>
      <c r="K68" s="24">
        <v>0.5089285714285714</v>
      </c>
      <c r="L68" s="24">
        <v>1</v>
      </c>
      <c r="M68" s="24">
        <v>0.9642857142857143</v>
      </c>
      <c r="N68" s="24">
        <v>0</v>
      </c>
      <c r="O68" s="23" t="s">
        <v>739</v>
      </c>
      <c r="P68" s="26">
        <v>0.7778571428571428</v>
      </c>
      <c r="Q68" s="23" t="s">
        <v>733</v>
      </c>
      <c r="R68" s="23" t="s">
        <v>407</v>
      </c>
      <c r="S68" s="23" t="s">
        <v>734</v>
      </c>
    </row>
    <row r="69" spans="1:19">
      <c r="A69" s="23" t="s">
        <v>49</v>
      </c>
      <c r="B69" s="23" t="s">
        <v>50</v>
      </c>
      <c r="C69" s="23" t="s">
        <v>23</v>
      </c>
      <c r="D69" s="23" t="s">
        <v>174</v>
      </c>
      <c r="E69" s="23" t="s">
        <v>728</v>
      </c>
      <c r="F69" s="23" t="s">
        <v>787</v>
      </c>
      <c r="G69" s="23" t="s">
        <v>788</v>
      </c>
      <c r="H69" s="23" t="s">
        <v>789</v>
      </c>
      <c r="I69" s="25">
        <v>112</v>
      </c>
      <c r="J69" s="25">
        <v>57</v>
      </c>
      <c r="K69" s="24">
        <v>0.5089285714285714</v>
      </c>
      <c r="L69" s="24">
        <v>1</v>
      </c>
      <c r="M69" s="24">
        <v>0.9642857142857143</v>
      </c>
      <c r="N69" s="24">
        <v>0</v>
      </c>
      <c r="O69" s="23" t="s">
        <v>739</v>
      </c>
      <c r="P69" s="26">
        <v>0.7778571428571428</v>
      </c>
      <c r="Q69" s="23" t="s">
        <v>733</v>
      </c>
      <c r="R69" s="23" t="s">
        <v>379</v>
      </c>
      <c r="S69" s="23" t="s">
        <v>734</v>
      </c>
    </row>
    <row r="70" spans="1:19">
      <c r="A70" s="23" t="s">
        <v>49</v>
      </c>
      <c r="B70" s="23" t="s">
        <v>56</v>
      </c>
      <c r="C70" s="23" t="s">
        <v>23</v>
      </c>
      <c r="D70" s="23" t="s">
        <v>174</v>
      </c>
      <c r="E70" s="23" t="s">
        <v>728</v>
      </c>
      <c r="F70" s="23" t="s">
        <v>787</v>
      </c>
      <c r="G70" s="23" t="s">
        <v>788</v>
      </c>
      <c r="H70" s="23" t="s">
        <v>789</v>
      </c>
      <c r="I70" s="25">
        <v>112</v>
      </c>
      <c r="J70" s="25">
        <v>57</v>
      </c>
      <c r="K70" s="24">
        <v>0.5089285714285714</v>
      </c>
      <c r="L70" s="24">
        <v>1</v>
      </c>
      <c r="M70" s="24">
        <v>0.9642857142857143</v>
      </c>
      <c r="N70" s="24">
        <v>0</v>
      </c>
      <c r="O70" s="23" t="s">
        <v>739</v>
      </c>
      <c r="P70" s="26">
        <v>0.7778571428571428</v>
      </c>
      <c r="Q70" s="23" t="s">
        <v>733</v>
      </c>
      <c r="R70" s="23" t="s">
        <v>392</v>
      </c>
      <c r="S70" s="23" t="s">
        <v>734</v>
      </c>
    </row>
    <row r="71" spans="1:19">
      <c r="A71" s="23" t="s">
        <v>59</v>
      </c>
      <c r="B71" s="23" t="s">
        <v>83</v>
      </c>
      <c r="C71" s="23" t="s">
        <v>23</v>
      </c>
      <c r="D71" s="23" t="s">
        <v>174</v>
      </c>
      <c r="E71" s="23" t="s">
        <v>728</v>
      </c>
      <c r="F71" s="23" t="s">
        <v>787</v>
      </c>
      <c r="G71" s="23" t="s">
        <v>788</v>
      </c>
      <c r="H71" s="23" t="s">
        <v>789</v>
      </c>
      <c r="I71" s="25">
        <v>112</v>
      </c>
      <c r="J71" s="25">
        <v>57</v>
      </c>
      <c r="K71" s="24">
        <v>0.5089285714285714</v>
      </c>
      <c r="L71" s="24">
        <v>1</v>
      </c>
      <c r="M71" s="24">
        <v>0.9642857142857143</v>
      </c>
      <c r="N71" s="24">
        <v>0</v>
      </c>
      <c r="O71" s="23" t="s">
        <v>739</v>
      </c>
      <c r="P71" s="26">
        <v>0.7778571428571428</v>
      </c>
      <c r="Q71" s="23" t="s">
        <v>733</v>
      </c>
      <c r="R71" s="23" t="s">
        <v>83</v>
      </c>
      <c r="S71" s="23" t="s">
        <v>734</v>
      </c>
    </row>
    <row r="72" spans="1:19">
      <c r="A72" s="23" t="s">
        <v>59</v>
      </c>
      <c r="B72" s="23" t="s">
        <v>66</v>
      </c>
      <c r="C72" s="23" t="s">
        <v>23</v>
      </c>
      <c r="D72" s="23" t="s">
        <v>174</v>
      </c>
      <c r="E72" s="23" t="s">
        <v>728</v>
      </c>
      <c r="F72" s="23" t="s">
        <v>787</v>
      </c>
      <c r="G72" s="23" t="s">
        <v>788</v>
      </c>
      <c r="H72" s="23" t="s">
        <v>789</v>
      </c>
      <c r="I72" s="25">
        <v>112</v>
      </c>
      <c r="J72" s="25">
        <v>57</v>
      </c>
      <c r="K72" s="24">
        <v>0.5089285714285714</v>
      </c>
      <c r="L72" s="24">
        <v>1</v>
      </c>
      <c r="M72" s="24">
        <v>0.9642857142857143</v>
      </c>
      <c r="N72" s="24">
        <v>0</v>
      </c>
      <c r="O72" s="23" t="s">
        <v>739</v>
      </c>
      <c r="P72" s="26">
        <v>0.7778571428571428</v>
      </c>
      <c r="Q72" s="23" t="s">
        <v>733</v>
      </c>
      <c r="R72" s="23" t="s">
        <v>417</v>
      </c>
      <c r="S72" s="23" t="s">
        <v>734</v>
      </c>
    </row>
    <row r="73" spans="1:19">
      <c r="A73" s="23" t="s">
        <v>59</v>
      </c>
      <c r="B73" s="23" t="s">
        <v>61</v>
      </c>
      <c r="C73" s="23" t="s">
        <v>579</v>
      </c>
      <c r="D73" s="23" t="s">
        <v>174</v>
      </c>
      <c r="E73" s="23" t="s">
        <v>175</v>
      </c>
      <c r="F73" s="23" t="s">
        <v>139</v>
      </c>
      <c r="G73" s="23" t="s">
        <v>757</v>
      </c>
      <c r="H73" s="23" t="s">
        <v>758</v>
      </c>
      <c r="I73" s="25">
        <v>24</v>
      </c>
      <c r="J73" s="25">
        <v>13</v>
      </c>
      <c r="K73" s="24">
        <v>0.54166666666666663</v>
      </c>
      <c r="L73" s="24">
        <v>5.0185403046864533E-3</v>
      </c>
      <c r="M73" s="24">
        <v>1</v>
      </c>
      <c r="N73" s="24">
        <v>0</v>
      </c>
      <c r="O73" s="23" t="s">
        <v>776</v>
      </c>
      <c r="P73" s="26">
        <v>0.54569907952061603</v>
      </c>
      <c r="Q73" s="23" t="s">
        <v>733</v>
      </c>
      <c r="R73" s="23" t="s">
        <v>404</v>
      </c>
      <c r="S73" s="23" t="s">
        <v>734</v>
      </c>
    </row>
    <row r="74" spans="1:19">
      <c r="A74" s="23" t="s">
        <v>98</v>
      </c>
      <c r="B74" s="23" t="s">
        <v>99</v>
      </c>
      <c r="C74" s="23" t="s">
        <v>579</v>
      </c>
      <c r="D74" s="23" t="s">
        <v>174</v>
      </c>
      <c r="E74" s="23" t="s">
        <v>175</v>
      </c>
      <c r="F74" s="23" t="s">
        <v>139</v>
      </c>
      <c r="G74" s="23" t="s">
        <v>790</v>
      </c>
      <c r="H74" s="23" t="s">
        <v>791</v>
      </c>
      <c r="I74" s="25">
        <v>24</v>
      </c>
      <c r="J74" s="25">
        <v>24</v>
      </c>
      <c r="K74" s="24">
        <v>1</v>
      </c>
      <c r="L74" s="24">
        <v>1</v>
      </c>
      <c r="M74" s="24">
        <v>0</v>
      </c>
      <c r="N74" s="24">
        <v>1</v>
      </c>
      <c r="O74" s="23" t="s">
        <v>732</v>
      </c>
      <c r="P74" s="26">
        <v>0.9</v>
      </c>
      <c r="Q74" s="23" t="s">
        <v>733</v>
      </c>
      <c r="R74" s="23" t="s">
        <v>462</v>
      </c>
      <c r="S74" s="23" t="s">
        <v>734</v>
      </c>
    </row>
    <row r="75" spans="1:19">
      <c r="A75" s="23" t="s">
        <v>104</v>
      </c>
      <c r="B75" s="23" t="s">
        <v>106</v>
      </c>
      <c r="C75" s="23" t="s">
        <v>579</v>
      </c>
      <c r="D75" s="23" t="s">
        <v>174</v>
      </c>
      <c r="E75" s="23" t="s">
        <v>175</v>
      </c>
      <c r="F75" s="23" t="s">
        <v>139</v>
      </c>
      <c r="G75" s="23" t="s">
        <v>790</v>
      </c>
      <c r="H75" s="23" t="s">
        <v>791</v>
      </c>
      <c r="I75" s="25">
        <v>24</v>
      </c>
      <c r="J75" s="25">
        <v>24</v>
      </c>
      <c r="K75" s="24">
        <v>1</v>
      </c>
      <c r="L75" s="24">
        <v>1</v>
      </c>
      <c r="M75" s="24">
        <v>0</v>
      </c>
      <c r="N75" s="24">
        <v>1</v>
      </c>
      <c r="O75" s="23" t="s">
        <v>732</v>
      </c>
      <c r="P75" s="26">
        <v>0.9</v>
      </c>
      <c r="Q75" s="23" t="s">
        <v>733</v>
      </c>
      <c r="R75" s="23" t="s">
        <v>477</v>
      </c>
      <c r="S75" s="23" t="s">
        <v>734</v>
      </c>
    </row>
    <row r="76" spans="1:19">
      <c r="A76" s="23" t="s">
        <v>59</v>
      </c>
      <c r="B76" s="23" t="s">
        <v>60</v>
      </c>
      <c r="C76" s="23" t="s">
        <v>579</v>
      </c>
      <c r="D76" s="23" t="s">
        <v>174</v>
      </c>
      <c r="E76" s="23" t="s">
        <v>178</v>
      </c>
      <c r="F76" s="23" t="s">
        <v>139</v>
      </c>
      <c r="G76" s="23" t="s">
        <v>788</v>
      </c>
      <c r="H76" s="23" t="s">
        <v>789</v>
      </c>
      <c r="I76" s="25">
        <v>86</v>
      </c>
      <c r="J76" s="25">
        <v>51</v>
      </c>
      <c r="K76" s="24">
        <v>0.59302325581395354</v>
      </c>
      <c r="L76" s="24">
        <v>0.86946778711484596</v>
      </c>
      <c r="M76" s="24">
        <v>0.95833333333333337</v>
      </c>
      <c r="N76" s="24">
        <v>0</v>
      </c>
      <c r="O76" s="23" t="s">
        <v>732</v>
      </c>
      <c r="P76" s="26">
        <v>0.78783206305778131</v>
      </c>
      <c r="Q76" s="23" t="s">
        <v>733</v>
      </c>
      <c r="R76" s="23" t="s">
        <v>401</v>
      </c>
      <c r="S76" s="23" t="s">
        <v>734</v>
      </c>
    </row>
    <row r="77" spans="1:19">
      <c r="A77" s="23" t="s">
        <v>98</v>
      </c>
      <c r="B77" s="23" t="s">
        <v>100</v>
      </c>
      <c r="C77" s="23" t="s">
        <v>579</v>
      </c>
      <c r="D77" s="23" t="s">
        <v>174</v>
      </c>
      <c r="E77" s="23" t="s">
        <v>178</v>
      </c>
      <c r="F77" s="23" t="s">
        <v>139</v>
      </c>
      <c r="G77" s="23" t="s">
        <v>792</v>
      </c>
      <c r="H77" s="23" t="s">
        <v>793</v>
      </c>
      <c r="I77" s="25">
        <v>86</v>
      </c>
      <c r="J77" s="25">
        <v>86</v>
      </c>
      <c r="K77" s="24">
        <v>1</v>
      </c>
      <c r="L77" s="24">
        <v>1</v>
      </c>
      <c r="M77" s="24">
        <v>0</v>
      </c>
      <c r="N77" s="24">
        <v>1</v>
      </c>
      <c r="O77" s="23" t="s">
        <v>732</v>
      </c>
      <c r="P77" s="26">
        <v>0.9</v>
      </c>
      <c r="Q77" s="23" t="s">
        <v>733</v>
      </c>
      <c r="R77" s="23" t="s">
        <v>466</v>
      </c>
      <c r="S77" s="23" t="s">
        <v>734</v>
      </c>
    </row>
    <row r="78" spans="1:19">
      <c r="A78" s="23" t="s">
        <v>59</v>
      </c>
      <c r="B78" s="23" t="s">
        <v>91</v>
      </c>
      <c r="C78" s="23" t="s">
        <v>579</v>
      </c>
      <c r="D78" s="23" t="s">
        <v>174</v>
      </c>
      <c r="E78" s="23" t="s">
        <v>180</v>
      </c>
      <c r="F78" s="23" t="s">
        <v>84</v>
      </c>
      <c r="G78" s="23" t="s">
        <v>794</v>
      </c>
      <c r="H78" s="23" t="s">
        <v>795</v>
      </c>
      <c r="I78" s="25">
        <v>8</v>
      </c>
      <c r="J78" s="25">
        <v>8</v>
      </c>
      <c r="K78" s="24">
        <v>1</v>
      </c>
      <c r="L78" s="24">
        <v>1</v>
      </c>
      <c r="M78" s="24">
        <v>0.89942528735632188</v>
      </c>
      <c r="N78" s="24">
        <v>0</v>
      </c>
      <c r="O78" s="23" t="s">
        <v>732</v>
      </c>
      <c r="P78" s="26">
        <v>0.81599999999999995</v>
      </c>
      <c r="Q78" s="23" t="s">
        <v>733</v>
      </c>
      <c r="R78" s="23" t="s">
        <v>444</v>
      </c>
      <c r="S78" s="23" t="s">
        <v>734</v>
      </c>
    </row>
    <row r="79" spans="1:19">
      <c r="A79" s="23" t="s">
        <v>59</v>
      </c>
      <c r="B79" s="23" t="s">
        <v>93</v>
      </c>
      <c r="C79" s="23" t="s">
        <v>579</v>
      </c>
      <c r="D79" s="23" t="s">
        <v>174</v>
      </c>
      <c r="E79" s="23" t="s">
        <v>180</v>
      </c>
      <c r="F79" s="23" t="s">
        <v>84</v>
      </c>
      <c r="G79" s="23" t="s">
        <v>794</v>
      </c>
      <c r="H79" s="23" t="s">
        <v>795</v>
      </c>
      <c r="I79" s="25">
        <v>8</v>
      </c>
      <c r="J79" s="25">
        <v>8</v>
      </c>
      <c r="K79" s="24">
        <v>1</v>
      </c>
      <c r="L79" s="24">
        <v>1</v>
      </c>
      <c r="M79" s="24">
        <v>0.89942528735632188</v>
      </c>
      <c r="N79" s="24">
        <v>0</v>
      </c>
      <c r="O79" s="23" t="s">
        <v>732</v>
      </c>
      <c r="P79" s="26">
        <v>0.81599999999999995</v>
      </c>
      <c r="Q79" s="23" t="s">
        <v>733</v>
      </c>
      <c r="R79" s="23" t="s">
        <v>450</v>
      </c>
      <c r="S79" s="23" t="s">
        <v>734</v>
      </c>
    </row>
    <row r="80" spans="1:19">
      <c r="A80" s="23" t="s">
        <v>36</v>
      </c>
      <c r="B80" s="23" t="s">
        <v>37</v>
      </c>
      <c r="C80" s="23" t="s">
        <v>23</v>
      </c>
      <c r="D80" s="23" t="s">
        <v>183</v>
      </c>
      <c r="E80" s="23" t="s">
        <v>728</v>
      </c>
      <c r="F80" s="23" t="s">
        <v>796</v>
      </c>
      <c r="G80" s="23" t="s">
        <v>797</v>
      </c>
      <c r="H80" s="23" t="s">
        <v>798</v>
      </c>
      <c r="I80" s="25">
        <v>244</v>
      </c>
      <c r="J80" s="25">
        <v>222</v>
      </c>
      <c r="K80" s="24">
        <v>0.9098360655737705</v>
      </c>
      <c r="L80" s="24">
        <v>1</v>
      </c>
      <c r="M80" s="24">
        <v>0.75</v>
      </c>
      <c r="N80" s="24">
        <v>0</v>
      </c>
      <c r="O80" s="23" t="s">
        <v>732</v>
      </c>
      <c r="P80" s="26">
        <v>0.9</v>
      </c>
      <c r="Q80" s="23" t="s">
        <v>733</v>
      </c>
      <c r="R80" s="23" t="s">
        <v>351</v>
      </c>
      <c r="S80" s="23" t="s">
        <v>734</v>
      </c>
    </row>
    <row r="81" spans="1:19">
      <c r="A81" s="23" t="s">
        <v>49</v>
      </c>
      <c r="B81" s="23" t="s">
        <v>50</v>
      </c>
      <c r="C81" s="23" t="s">
        <v>23</v>
      </c>
      <c r="D81" s="23" t="s">
        <v>183</v>
      </c>
      <c r="E81" s="23" t="s">
        <v>728</v>
      </c>
      <c r="F81" s="23" t="s">
        <v>796</v>
      </c>
      <c r="G81" s="23" t="s">
        <v>797</v>
      </c>
      <c r="H81" s="23" t="s">
        <v>798</v>
      </c>
      <c r="I81" s="25">
        <v>244</v>
      </c>
      <c r="J81" s="25">
        <v>222</v>
      </c>
      <c r="K81" s="24">
        <v>0.9098360655737705</v>
      </c>
      <c r="L81" s="24">
        <v>1</v>
      </c>
      <c r="M81" s="24">
        <v>0.75</v>
      </c>
      <c r="N81" s="24">
        <v>0</v>
      </c>
      <c r="O81" s="23" t="s">
        <v>732</v>
      </c>
      <c r="P81" s="26">
        <v>0.9</v>
      </c>
      <c r="Q81" s="23" t="s">
        <v>733</v>
      </c>
      <c r="R81" s="23" t="s">
        <v>379</v>
      </c>
      <c r="S81" s="23" t="s">
        <v>734</v>
      </c>
    </row>
    <row r="82" spans="1:19">
      <c r="A82" s="23" t="s">
        <v>49</v>
      </c>
      <c r="B82" s="23" t="s">
        <v>53</v>
      </c>
      <c r="C82" s="23" t="s">
        <v>23</v>
      </c>
      <c r="D82" s="23" t="s">
        <v>183</v>
      </c>
      <c r="E82" s="23" t="s">
        <v>728</v>
      </c>
      <c r="F82" s="23" t="s">
        <v>796</v>
      </c>
      <c r="G82" s="23" t="s">
        <v>797</v>
      </c>
      <c r="H82" s="23" t="s">
        <v>798</v>
      </c>
      <c r="I82" s="25">
        <v>244</v>
      </c>
      <c r="J82" s="25">
        <v>222</v>
      </c>
      <c r="K82" s="24">
        <v>0.9098360655737705</v>
      </c>
      <c r="L82" s="24">
        <v>1</v>
      </c>
      <c r="M82" s="24">
        <v>0.75</v>
      </c>
      <c r="N82" s="24">
        <v>0</v>
      </c>
      <c r="O82" s="23" t="s">
        <v>732</v>
      </c>
      <c r="P82" s="26">
        <v>0.9</v>
      </c>
      <c r="Q82" s="23" t="s">
        <v>733</v>
      </c>
      <c r="R82" s="23" t="s">
        <v>382</v>
      </c>
      <c r="S82" s="23" t="s">
        <v>734</v>
      </c>
    </row>
    <row r="83" spans="1:19">
      <c r="A83" s="23" t="s">
        <v>59</v>
      </c>
      <c r="B83" s="23" t="s">
        <v>90</v>
      </c>
      <c r="C83" s="23" t="s">
        <v>23</v>
      </c>
      <c r="D83" s="23" t="s">
        <v>183</v>
      </c>
      <c r="E83" s="23" t="s">
        <v>728</v>
      </c>
      <c r="F83" s="23" t="s">
        <v>796</v>
      </c>
      <c r="G83" s="23" t="s">
        <v>797</v>
      </c>
      <c r="H83" s="23" t="s">
        <v>798</v>
      </c>
      <c r="I83" s="25">
        <v>244</v>
      </c>
      <c r="J83" s="25">
        <v>222</v>
      </c>
      <c r="K83" s="24">
        <v>0.9098360655737705</v>
      </c>
      <c r="L83" s="24">
        <v>1</v>
      </c>
      <c r="M83" s="24">
        <v>0.75</v>
      </c>
      <c r="N83" s="24">
        <v>0</v>
      </c>
      <c r="O83" s="23" t="s">
        <v>732</v>
      </c>
      <c r="P83" s="26">
        <v>0.9</v>
      </c>
      <c r="Q83" s="23" t="s">
        <v>733</v>
      </c>
      <c r="R83" s="23" t="s">
        <v>90</v>
      </c>
      <c r="S83" s="23" t="s">
        <v>734</v>
      </c>
    </row>
    <row r="84" spans="1:19">
      <c r="A84" s="23" t="s">
        <v>59</v>
      </c>
      <c r="B84" s="23" t="s">
        <v>68</v>
      </c>
      <c r="C84" s="23" t="s">
        <v>23</v>
      </c>
      <c r="D84" s="23" t="s">
        <v>183</v>
      </c>
      <c r="E84" s="23" t="s">
        <v>728</v>
      </c>
      <c r="F84" s="23" t="s">
        <v>796</v>
      </c>
      <c r="G84" s="23" t="s">
        <v>797</v>
      </c>
      <c r="H84" s="23" t="s">
        <v>798</v>
      </c>
      <c r="I84" s="25">
        <v>244</v>
      </c>
      <c r="J84" s="25">
        <v>222</v>
      </c>
      <c r="K84" s="24">
        <v>0.9098360655737705</v>
      </c>
      <c r="L84" s="24">
        <v>1</v>
      </c>
      <c r="M84" s="24">
        <v>0.75</v>
      </c>
      <c r="N84" s="24">
        <v>0</v>
      </c>
      <c r="O84" s="23" t="s">
        <v>732</v>
      </c>
      <c r="P84" s="26">
        <v>0.9</v>
      </c>
      <c r="Q84" s="23" t="s">
        <v>733</v>
      </c>
      <c r="R84" s="23" t="s">
        <v>420</v>
      </c>
      <c r="S84" s="23" t="s">
        <v>734</v>
      </c>
    </row>
    <row r="85" spans="1:19">
      <c r="A85" s="23" t="s">
        <v>59</v>
      </c>
      <c r="B85" s="23" t="s">
        <v>77</v>
      </c>
      <c r="C85" s="23" t="s">
        <v>579</v>
      </c>
      <c r="D85" s="23" t="s">
        <v>183</v>
      </c>
      <c r="E85" s="23" t="s">
        <v>184</v>
      </c>
      <c r="F85" s="23" t="s">
        <v>81</v>
      </c>
      <c r="G85" s="23" t="s">
        <v>799</v>
      </c>
      <c r="H85" s="23" t="s">
        <v>800</v>
      </c>
      <c r="I85" s="25">
        <v>166</v>
      </c>
      <c r="J85" s="25">
        <v>166</v>
      </c>
      <c r="K85" s="24">
        <v>1</v>
      </c>
      <c r="L85" s="24">
        <v>1</v>
      </c>
      <c r="M85" s="24">
        <v>0.96153846153846156</v>
      </c>
      <c r="N85" s="24">
        <v>0</v>
      </c>
      <c r="O85" s="23" t="s">
        <v>732</v>
      </c>
      <c r="P85" s="26">
        <v>0.9</v>
      </c>
      <c r="Q85" s="23" t="s">
        <v>733</v>
      </c>
      <c r="R85" s="23" t="s">
        <v>430</v>
      </c>
      <c r="S85" s="23" t="s">
        <v>734</v>
      </c>
    </row>
    <row r="86" spans="1:19">
      <c r="A86" s="23" t="s">
        <v>49</v>
      </c>
      <c r="B86" s="23" t="s">
        <v>57</v>
      </c>
      <c r="C86" s="23" t="s">
        <v>579</v>
      </c>
      <c r="D86" s="23" t="s">
        <v>183</v>
      </c>
      <c r="E86" s="23" t="s">
        <v>184</v>
      </c>
      <c r="F86" s="23" t="s">
        <v>81</v>
      </c>
      <c r="G86" s="23" t="s">
        <v>799</v>
      </c>
      <c r="H86" s="23" t="s">
        <v>800</v>
      </c>
      <c r="I86" s="25">
        <v>166</v>
      </c>
      <c r="J86" s="25">
        <v>166</v>
      </c>
      <c r="K86" s="24">
        <v>1</v>
      </c>
      <c r="L86" s="24">
        <v>1</v>
      </c>
      <c r="M86" s="24">
        <v>0.96153846153846156</v>
      </c>
      <c r="N86" s="24">
        <v>0</v>
      </c>
      <c r="O86" s="23" t="s">
        <v>732</v>
      </c>
      <c r="P86" s="26">
        <v>0.9</v>
      </c>
      <c r="Q86" s="23" t="s">
        <v>733</v>
      </c>
      <c r="R86" s="23" t="s">
        <v>57</v>
      </c>
      <c r="S86" s="23" t="s">
        <v>734</v>
      </c>
    </row>
    <row r="87" spans="1:19">
      <c r="A87" s="23" t="s">
        <v>104</v>
      </c>
      <c r="B87" s="23" t="s">
        <v>106</v>
      </c>
      <c r="C87" s="23" t="s">
        <v>579</v>
      </c>
      <c r="D87" s="23" t="s">
        <v>183</v>
      </c>
      <c r="E87" s="23" t="s">
        <v>186</v>
      </c>
      <c r="F87" s="23" t="s">
        <v>78</v>
      </c>
      <c r="G87" s="23" t="s">
        <v>801</v>
      </c>
      <c r="H87" s="23" t="s">
        <v>802</v>
      </c>
      <c r="I87" s="25">
        <v>31</v>
      </c>
      <c r="J87" s="25">
        <v>21</v>
      </c>
      <c r="K87" s="24">
        <v>0.67741935483870963</v>
      </c>
      <c r="L87" s="24">
        <v>1</v>
      </c>
      <c r="M87" s="24">
        <v>0</v>
      </c>
      <c r="N87" s="24">
        <v>0.8571428571428571</v>
      </c>
      <c r="O87" s="23" t="s">
        <v>732</v>
      </c>
      <c r="P87" s="26">
        <v>0.82465437788018436</v>
      </c>
      <c r="Q87" s="23" t="s">
        <v>733</v>
      </c>
      <c r="R87" s="23" t="s">
        <v>477</v>
      </c>
      <c r="S87" s="23" t="s">
        <v>734</v>
      </c>
    </row>
    <row r="88" spans="1:19">
      <c r="A88" s="23" t="s">
        <v>104</v>
      </c>
      <c r="B88" s="23" t="s">
        <v>107</v>
      </c>
      <c r="C88" s="23" t="s">
        <v>579</v>
      </c>
      <c r="D88" s="23" t="s">
        <v>183</v>
      </c>
      <c r="E88" s="23" t="s">
        <v>186</v>
      </c>
      <c r="F88" s="23" t="s">
        <v>78</v>
      </c>
      <c r="G88" s="23" t="s">
        <v>801</v>
      </c>
      <c r="H88" s="23" t="s">
        <v>802</v>
      </c>
      <c r="I88" s="25">
        <v>31</v>
      </c>
      <c r="J88" s="25">
        <v>21</v>
      </c>
      <c r="K88" s="24">
        <v>0.67741935483870963</v>
      </c>
      <c r="L88" s="24">
        <v>1</v>
      </c>
      <c r="M88" s="24">
        <v>0</v>
      </c>
      <c r="N88" s="24">
        <v>0.8571428571428571</v>
      </c>
      <c r="O88" s="23" t="s">
        <v>732</v>
      </c>
      <c r="P88" s="26">
        <v>0.82465437788018436</v>
      </c>
      <c r="Q88" s="23" t="s">
        <v>733</v>
      </c>
      <c r="R88" s="23" t="s">
        <v>480</v>
      </c>
      <c r="S88" s="23" t="s">
        <v>734</v>
      </c>
    </row>
    <row r="89" spans="1:19">
      <c r="A89" s="23" t="s">
        <v>104</v>
      </c>
      <c r="B89" s="23" t="s">
        <v>105</v>
      </c>
      <c r="C89" s="23" t="s">
        <v>579</v>
      </c>
      <c r="D89" s="23" t="s">
        <v>183</v>
      </c>
      <c r="E89" s="23" t="s">
        <v>186</v>
      </c>
      <c r="F89" s="23" t="s">
        <v>78</v>
      </c>
      <c r="G89" s="23" t="s">
        <v>801</v>
      </c>
      <c r="H89" s="23" t="s">
        <v>802</v>
      </c>
      <c r="I89" s="25">
        <v>31</v>
      </c>
      <c r="J89" s="25">
        <v>21</v>
      </c>
      <c r="K89" s="24">
        <v>0.67741935483870963</v>
      </c>
      <c r="L89" s="24">
        <v>1</v>
      </c>
      <c r="M89" s="24">
        <v>0</v>
      </c>
      <c r="N89" s="24">
        <v>0.8571428571428571</v>
      </c>
      <c r="O89" s="23" t="s">
        <v>732</v>
      </c>
      <c r="P89" s="26">
        <v>0.82465437788018436</v>
      </c>
      <c r="Q89" s="23" t="s">
        <v>733</v>
      </c>
      <c r="R89" s="23" t="s">
        <v>105</v>
      </c>
      <c r="S89" s="23" t="s">
        <v>734</v>
      </c>
    </row>
    <row r="90" spans="1:19">
      <c r="A90" s="23" t="s">
        <v>49</v>
      </c>
      <c r="B90" s="23" t="s">
        <v>54</v>
      </c>
      <c r="C90" s="23" t="s">
        <v>579</v>
      </c>
      <c r="D90" s="23" t="s">
        <v>183</v>
      </c>
      <c r="E90" s="23" t="s">
        <v>189</v>
      </c>
      <c r="F90" s="23" t="s">
        <v>139</v>
      </c>
      <c r="G90" s="23" t="s">
        <v>803</v>
      </c>
      <c r="H90" s="23" t="s">
        <v>804</v>
      </c>
      <c r="I90" s="25">
        <v>11</v>
      </c>
      <c r="J90" s="25">
        <v>11</v>
      </c>
      <c r="K90" s="24">
        <v>1</v>
      </c>
      <c r="L90" s="24">
        <v>5.8823529411764705E-2</v>
      </c>
      <c r="M90" s="24">
        <v>1</v>
      </c>
      <c r="N90" s="24">
        <v>0</v>
      </c>
      <c r="O90" s="23" t="s">
        <v>739</v>
      </c>
      <c r="P90" s="26">
        <v>0.64919607843137261</v>
      </c>
      <c r="Q90" s="23" t="s">
        <v>733</v>
      </c>
      <c r="R90" s="23" t="s">
        <v>385</v>
      </c>
      <c r="S90" s="23" t="s">
        <v>734</v>
      </c>
    </row>
    <row r="91" spans="1:19">
      <c r="A91" s="23" t="s">
        <v>49</v>
      </c>
      <c r="B91" s="23" t="s">
        <v>55</v>
      </c>
      <c r="C91" s="23" t="s">
        <v>579</v>
      </c>
      <c r="D91" s="23" t="s">
        <v>183</v>
      </c>
      <c r="E91" s="23" t="s">
        <v>189</v>
      </c>
      <c r="F91" s="23" t="s">
        <v>139</v>
      </c>
      <c r="G91" s="23" t="s">
        <v>803</v>
      </c>
      <c r="H91" s="23" t="s">
        <v>804</v>
      </c>
      <c r="I91" s="25">
        <v>11</v>
      </c>
      <c r="J91" s="25">
        <v>11</v>
      </c>
      <c r="K91" s="24">
        <v>1</v>
      </c>
      <c r="L91" s="24">
        <v>5.8823529411764705E-2</v>
      </c>
      <c r="M91" s="24">
        <v>1</v>
      </c>
      <c r="N91" s="24">
        <v>0</v>
      </c>
      <c r="O91" s="23" t="s">
        <v>739</v>
      </c>
      <c r="P91" s="26">
        <v>0.64919607843137261</v>
      </c>
      <c r="Q91" s="23" t="s">
        <v>733</v>
      </c>
      <c r="R91" s="23" t="s">
        <v>389</v>
      </c>
      <c r="S91" s="23" t="s">
        <v>734</v>
      </c>
    </row>
    <row r="92" spans="1:19">
      <c r="A92" s="23" t="s">
        <v>98</v>
      </c>
      <c r="B92" s="23" t="s">
        <v>101</v>
      </c>
      <c r="C92" s="23" t="s">
        <v>579</v>
      </c>
      <c r="D92" s="23" t="s">
        <v>183</v>
      </c>
      <c r="E92" s="23" t="s">
        <v>189</v>
      </c>
      <c r="F92" s="23" t="s">
        <v>139</v>
      </c>
      <c r="G92" s="23" t="s">
        <v>805</v>
      </c>
      <c r="H92" s="23" t="s">
        <v>806</v>
      </c>
      <c r="I92" s="25">
        <v>11</v>
      </c>
      <c r="J92" s="25">
        <v>11</v>
      </c>
      <c r="K92" s="24">
        <v>1</v>
      </c>
      <c r="L92" s="24">
        <v>1</v>
      </c>
      <c r="M92" s="24">
        <v>0</v>
      </c>
      <c r="N92" s="24">
        <v>1</v>
      </c>
      <c r="O92" s="23" t="s">
        <v>732</v>
      </c>
      <c r="P92" s="26">
        <v>0.87899999999999989</v>
      </c>
      <c r="Q92" s="23" t="s">
        <v>733</v>
      </c>
      <c r="R92" s="23" t="s">
        <v>469</v>
      </c>
      <c r="S92" s="23" t="s">
        <v>734</v>
      </c>
    </row>
    <row r="93" spans="1:19">
      <c r="A93" s="23" t="s">
        <v>104</v>
      </c>
      <c r="B93" s="23" t="s">
        <v>107</v>
      </c>
      <c r="C93" s="23" t="s">
        <v>579</v>
      </c>
      <c r="D93" s="23" t="s">
        <v>183</v>
      </c>
      <c r="E93" s="23" t="s">
        <v>189</v>
      </c>
      <c r="F93" s="23" t="s">
        <v>139</v>
      </c>
      <c r="G93" s="23" t="s">
        <v>805</v>
      </c>
      <c r="H93" s="23" t="s">
        <v>806</v>
      </c>
      <c r="I93" s="25">
        <v>11</v>
      </c>
      <c r="J93" s="25">
        <v>11</v>
      </c>
      <c r="K93" s="24">
        <v>1</v>
      </c>
      <c r="L93" s="24">
        <v>1</v>
      </c>
      <c r="M93" s="24">
        <v>0</v>
      </c>
      <c r="N93" s="24">
        <v>1</v>
      </c>
      <c r="O93" s="23" t="s">
        <v>732</v>
      </c>
      <c r="P93" s="26">
        <v>0.87899999999999989</v>
      </c>
      <c r="Q93" s="23" t="s">
        <v>733</v>
      </c>
      <c r="R93" s="23" t="s">
        <v>480</v>
      </c>
      <c r="S93" s="23" t="s">
        <v>734</v>
      </c>
    </row>
    <row r="94" spans="1:19">
      <c r="A94" s="23" t="s">
        <v>104</v>
      </c>
      <c r="B94" s="23" t="s">
        <v>108</v>
      </c>
      <c r="C94" s="23" t="s">
        <v>579</v>
      </c>
      <c r="D94" s="23" t="s">
        <v>183</v>
      </c>
      <c r="E94" s="23" t="s">
        <v>192</v>
      </c>
      <c r="F94" s="23" t="s">
        <v>135</v>
      </c>
      <c r="G94" s="23" t="s">
        <v>807</v>
      </c>
      <c r="H94" s="23" t="s">
        <v>808</v>
      </c>
      <c r="I94" s="25">
        <v>174</v>
      </c>
      <c r="J94" s="25">
        <v>171</v>
      </c>
      <c r="K94" s="24">
        <v>0.98275862068965514</v>
      </c>
      <c r="L94" s="24">
        <v>1</v>
      </c>
      <c r="M94" s="24">
        <v>0</v>
      </c>
      <c r="N94" s="24">
        <v>0.98830409356725146</v>
      </c>
      <c r="O94" s="23" t="s">
        <v>732</v>
      </c>
      <c r="P94" s="26">
        <v>0.89684210526315788</v>
      </c>
      <c r="Q94" s="23" t="s">
        <v>733</v>
      </c>
      <c r="R94" s="23" t="s">
        <v>483</v>
      </c>
      <c r="S94" s="23" t="s">
        <v>734</v>
      </c>
    </row>
    <row r="95" spans="1:19">
      <c r="A95" s="23" t="s">
        <v>98</v>
      </c>
      <c r="B95" s="23" t="s">
        <v>99</v>
      </c>
      <c r="C95" s="23" t="s">
        <v>579</v>
      </c>
      <c r="D95" s="23" t="s">
        <v>183</v>
      </c>
      <c r="E95" s="23" t="s">
        <v>192</v>
      </c>
      <c r="F95" s="23" t="s">
        <v>135</v>
      </c>
      <c r="G95" s="23" t="s">
        <v>807</v>
      </c>
      <c r="H95" s="23" t="s">
        <v>808</v>
      </c>
      <c r="I95" s="25">
        <v>174</v>
      </c>
      <c r="J95" s="25">
        <v>171</v>
      </c>
      <c r="K95" s="24">
        <v>0.98275862068965514</v>
      </c>
      <c r="L95" s="24">
        <v>1</v>
      </c>
      <c r="M95" s="24">
        <v>0</v>
      </c>
      <c r="N95" s="24">
        <v>0.98830409356725146</v>
      </c>
      <c r="O95" s="23" t="s">
        <v>732</v>
      </c>
      <c r="P95" s="26">
        <v>0.89684210526315788</v>
      </c>
      <c r="Q95" s="23" t="s">
        <v>733</v>
      </c>
      <c r="R95" s="23" t="s">
        <v>462</v>
      </c>
      <c r="S95" s="23" t="s">
        <v>734</v>
      </c>
    </row>
    <row r="96" spans="1:19">
      <c r="A96" s="23" t="s">
        <v>104</v>
      </c>
      <c r="B96" s="23" t="s">
        <v>105</v>
      </c>
      <c r="C96" s="23" t="s">
        <v>579</v>
      </c>
      <c r="D96" s="23" t="s">
        <v>183</v>
      </c>
      <c r="E96" s="23" t="s">
        <v>192</v>
      </c>
      <c r="F96" s="23" t="s">
        <v>135</v>
      </c>
      <c r="G96" s="23" t="s">
        <v>807</v>
      </c>
      <c r="H96" s="23" t="s">
        <v>808</v>
      </c>
      <c r="I96" s="25">
        <v>174</v>
      </c>
      <c r="J96" s="25">
        <v>171</v>
      </c>
      <c r="K96" s="24">
        <v>0.98275862068965514</v>
      </c>
      <c r="L96" s="24">
        <v>1</v>
      </c>
      <c r="M96" s="24">
        <v>0</v>
      </c>
      <c r="N96" s="24">
        <v>0.98830409356725146</v>
      </c>
      <c r="O96" s="23" t="s">
        <v>732</v>
      </c>
      <c r="P96" s="26">
        <v>0.89684210526315788</v>
      </c>
      <c r="Q96" s="23" t="s">
        <v>733</v>
      </c>
      <c r="R96" s="23" t="s">
        <v>105</v>
      </c>
      <c r="S96" s="23" t="s">
        <v>734</v>
      </c>
    </row>
    <row r="97" spans="1:19">
      <c r="A97" s="23" t="s">
        <v>36</v>
      </c>
      <c r="B97" s="23" t="s">
        <v>42</v>
      </c>
      <c r="C97" s="23" t="s">
        <v>23</v>
      </c>
      <c r="D97" s="23" t="s">
        <v>194</v>
      </c>
      <c r="E97" s="23" t="s">
        <v>728</v>
      </c>
      <c r="F97" s="23" t="s">
        <v>809</v>
      </c>
      <c r="G97" s="23" t="s">
        <v>810</v>
      </c>
      <c r="H97" s="23" t="s">
        <v>811</v>
      </c>
      <c r="I97" s="25">
        <v>188</v>
      </c>
      <c r="J97" s="25">
        <v>45</v>
      </c>
      <c r="K97" s="24">
        <v>0.23936170212765959</v>
      </c>
      <c r="L97" s="24">
        <v>1</v>
      </c>
      <c r="M97" s="24">
        <v>1</v>
      </c>
      <c r="N97" s="24">
        <v>0</v>
      </c>
      <c r="O97" s="23" t="s">
        <v>739</v>
      </c>
      <c r="P97" s="26">
        <v>0.64127659574468088</v>
      </c>
      <c r="Q97" s="23" t="s">
        <v>733</v>
      </c>
      <c r="R97" s="23" t="s">
        <v>360</v>
      </c>
      <c r="S97" s="23" t="s">
        <v>734</v>
      </c>
    </row>
    <row r="98" spans="1:19">
      <c r="A98" s="23" t="s">
        <v>36</v>
      </c>
      <c r="B98" s="23" t="s">
        <v>43</v>
      </c>
      <c r="C98" s="23" t="s">
        <v>23</v>
      </c>
      <c r="D98" s="23" t="s">
        <v>194</v>
      </c>
      <c r="E98" s="23" t="s">
        <v>728</v>
      </c>
      <c r="F98" s="23" t="s">
        <v>809</v>
      </c>
      <c r="G98" s="23" t="s">
        <v>810</v>
      </c>
      <c r="H98" s="23" t="s">
        <v>811</v>
      </c>
      <c r="I98" s="25">
        <v>188</v>
      </c>
      <c r="J98" s="25">
        <v>45</v>
      </c>
      <c r="K98" s="24">
        <v>0.23936170212765959</v>
      </c>
      <c r="L98" s="24">
        <v>1</v>
      </c>
      <c r="M98" s="24">
        <v>1</v>
      </c>
      <c r="N98" s="24">
        <v>0</v>
      </c>
      <c r="O98" s="23" t="s">
        <v>739</v>
      </c>
      <c r="P98" s="26">
        <v>0.64127659574468088</v>
      </c>
      <c r="Q98" s="23" t="s">
        <v>733</v>
      </c>
      <c r="R98" s="23" t="s">
        <v>363</v>
      </c>
      <c r="S98" s="23" t="s">
        <v>734</v>
      </c>
    </row>
    <row r="99" spans="1:19">
      <c r="A99" s="23" t="s">
        <v>49</v>
      </c>
      <c r="B99" s="23" t="s">
        <v>50</v>
      </c>
      <c r="C99" s="23" t="s">
        <v>23</v>
      </c>
      <c r="D99" s="23" t="s">
        <v>194</v>
      </c>
      <c r="E99" s="23" t="s">
        <v>728</v>
      </c>
      <c r="F99" s="23" t="s">
        <v>809</v>
      </c>
      <c r="G99" s="23" t="s">
        <v>810</v>
      </c>
      <c r="H99" s="23" t="s">
        <v>811</v>
      </c>
      <c r="I99" s="25">
        <v>188</v>
      </c>
      <c r="J99" s="25">
        <v>45</v>
      </c>
      <c r="K99" s="24">
        <v>0.23936170212765959</v>
      </c>
      <c r="L99" s="24">
        <v>1</v>
      </c>
      <c r="M99" s="24">
        <v>1</v>
      </c>
      <c r="N99" s="24">
        <v>0</v>
      </c>
      <c r="O99" s="23" t="s">
        <v>739</v>
      </c>
      <c r="P99" s="26">
        <v>0.64127659574468088</v>
      </c>
      <c r="Q99" s="23" t="s">
        <v>733</v>
      </c>
      <c r="R99" s="23" t="s">
        <v>379</v>
      </c>
      <c r="S99" s="23" t="s">
        <v>734</v>
      </c>
    </row>
    <row r="100" spans="1:19">
      <c r="A100" s="23" t="s">
        <v>59</v>
      </c>
      <c r="B100" s="23" t="s">
        <v>72</v>
      </c>
      <c r="C100" s="23" t="s">
        <v>23</v>
      </c>
      <c r="D100" s="23" t="s">
        <v>194</v>
      </c>
      <c r="E100" s="23" t="s">
        <v>728</v>
      </c>
      <c r="F100" s="23" t="s">
        <v>809</v>
      </c>
      <c r="G100" s="23" t="s">
        <v>810</v>
      </c>
      <c r="H100" s="23" t="s">
        <v>811</v>
      </c>
      <c r="I100" s="25">
        <v>188</v>
      </c>
      <c r="J100" s="25">
        <v>45</v>
      </c>
      <c r="K100" s="24">
        <v>0.23936170212765959</v>
      </c>
      <c r="L100" s="24">
        <v>1</v>
      </c>
      <c r="M100" s="24">
        <v>1</v>
      </c>
      <c r="N100" s="24">
        <v>0</v>
      </c>
      <c r="O100" s="23" t="s">
        <v>739</v>
      </c>
      <c r="P100" s="26">
        <v>0.64127659574468088</v>
      </c>
      <c r="Q100" s="23" t="s">
        <v>733</v>
      </c>
      <c r="R100" s="23" t="s">
        <v>426</v>
      </c>
      <c r="S100" s="23" t="s">
        <v>734</v>
      </c>
    </row>
    <row r="101" spans="1:19">
      <c r="A101" s="23" t="s">
        <v>59</v>
      </c>
      <c r="B101" s="23" t="s">
        <v>63</v>
      </c>
      <c r="C101" s="23" t="s">
        <v>23</v>
      </c>
      <c r="D101" s="23" t="s">
        <v>194</v>
      </c>
      <c r="E101" s="23" t="s">
        <v>728</v>
      </c>
      <c r="F101" s="23" t="s">
        <v>809</v>
      </c>
      <c r="G101" s="23" t="s">
        <v>810</v>
      </c>
      <c r="H101" s="23" t="s">
        <v>811</v>
      </c>
      <c r="I101" s="25">
        <v>188</v>
      </c>
      <c r="J101" s="25">
        <v>45</v>
      </c>
      <c r="K101" s="24">
        <v>0.23936170212765959</v>
      </c>
      <c r="L101" s="24">
        <v>1</v>
      </c>
      <c r="M101" s="24">
        <v>1</v>
      </c>
      <c r="N101" s="24">
        <v>0</v>
      </c>
      <c r="O101" s="23" t="s">
        <v>739</v>
      </c>
      <c r="P101" s="26">
        <v>0.64127659574468088</v>
      </c>
      <c r="Q101" s="23" t="s">
        <v>733</v>
      </c>
      <c r="R101" s="23" t="s">
        <v>410</v>
      </c>
      <c r="S101" s="23" t="s">
        <v>734</v>
      </c>
    </row>
    <row r="102" spans="1:19">
      <c r="A102" s="23" t="s">
        <v>59</v>
      </c>
      <c r="B102" s="23" t="s">
        <v>65</v>
      </c>
      <c r="C102" s="23" t="s">
        <v>23</v>
      </c>
      <c r="D102" s="23" t="s">
        <v>194</v>
      </c>
      <c r="E102" s="23" t="s">
        <v>728</v>
      </c>
      <c r="F102" s="23" t="s">
        <v>809</v>
      </c>
      <c r="G102" s="23" t="s">
        <v>810</v>
      </c>
      <c r="H102" s="23" t="s">
        <v>811</v>
      </c>
      <c r="I102" s="25">
        <v>188</v>
      </c>
      <c r="J102" s="25">
        <v>45</v>
      </c>
      <c r="K102" s="24">
        <v>0.23936170212765959</v>
      </c>
      <c r="L102" s="24">
        <v>1</v>
      </c>
      <c r="M102" s="24">
        <v>1</v>
      </c>
      <c r="N102" s="24">
        <v>0</v>
      </c>
      <c r="O102" s="23" t="s">
        <v>739</v>
      </c>
      <c r="P102" s="26">
        <v>0.64127659574468088</v>
      </c>
      <c r="Q102" s="23" t="s">
        <v>733</v>
      </c>
      <c r="R102" s="23" t="s">
        <v>414</v>
      </c>
      <c r="S102" s="23" t="s">
        <v>734</v>
      </c>
    </row>
    <row r="103" spans="1:19">
      <c r="A103" s="23" t="s">
        <v>59</v>
      </c>
      <c r="B103" s="23" t="s">
        <v>68</v>
      </c>
      <c r="C103" s="23" t="s">
        <v>23</v>
      </c>
      <c r="D103" s="23" t="s">
        <v>194</v>
      </c>
      <c r="E103" s="23" t="s">
        <v>728</v>
      </c>
      <c r="F103" s="23" t="s">
        <v>809</v>
      </c>
      <c r="G103" s="23" t="s">
        <v>810</v>
      </c>
      <c r="H103" s="23" t="s">
        <v>811</v>
      </c>
      <c r="I103" s="25">
        <v>188</v>
      </c>
      <c r="J103" s="25">
        <v>45</v>
      </c>
      <c r="K103" s="24">
        <v>0.23936170212765959</v>
      </c>
      <c r="L103" s="24">
        <v>1</v>
      </c>
      <c r="M103" s="24">
        <v>1</v>
      </c>
      <c r="N103" s="24">
        <v>0</v>
      </c>
      <c r="O103" s="23" t="s">
        <v>739</v>
      </c>
      <c r="P103" s="26">
        <v>0.64127659574468088</v>
      </c>
      <c r="Q103" s="23" t="s">
        <v>733</v>
      </c>
      <c r="R103" s="23" t="s">
        <v>420</v>
      </c>
      <c r="S103" s="23" t="s">
        <v>734</v>
      </c>
    </row>
    <row r="104" spans="1:19">
      <c r="A104" s="23" t="s">
        <v>59</v>
      </c>
      <c r="B104" s="23" t="s">
        <v>69</v>
      </c>
      <c r="C104" s="23" t="s">
        <v>23</v>
      </c>
      <c r="D104" s="23" t="s">
        <v>194</v>
      </c>
      <c r="E104" s="23" t="s">
        <v>728</v>
      </c>
      <c r="F104" s="23" t="s">
        <v>809</v>
      </c>
      <c r="G104" s="23" t="s">
        <v>810</v>
      </c>
      <c r="H104" s="23" t="s">
        <v>811</v>
      </c>
      <c r="I104" s="25">
        <v>188</v>
      </c>
      <c r="J104" s="25">
        <v>45</v>
      </c>
      <c r="K104" s="24">
        <v>0.23936170212765959</v>
      </c>
      <c r="L104" s="24">
        <v>1</v>
      </c>
      <c r="M104" s="24">
        <v>1</v>
      </c>
      <c r="N104" s="24">
        <v>0</v>
      </c>
      <c r="O104" s="23" t="s">
        <v>739</v>
      </c>
      <c r="P104" s="26">
        <v>0.64127659574468088</v>
      </c>
      <c r="Q104" s="23" t="s">
        <v>733</v>
      </c>
      <c r="R104" s="23" t="s">
        <v>423</v>
      </c>
      <c r="S104" s="23" t="s">
        <v>734</v>
      </c>
    </row>
    <row r="105" spans="1:19">
      <c r="A105" s="23" t="s">
        <v>36</v>
      </c>
      <c r="B105" s="23" t="s">
        <v>46</v>
      </c>
      <c r="C105" s="23" t="s">
        <v>579</v>
      </c>
      <c r="D105" s="23" t="s">
        <v>194</v>
      </c>
      <c r="E105" s="23" t="s">
        <v>195</v>
      </c>
      <c r="F105" s="23" t="s">
        <v>135</v>
      </c>
      <c r="G105" s="23" t="s">
        <v>812</v>
      </c>
      <c r="H105" s="23" t="s">
        <v>813</v>
      </c>
      <c r="I105" s="25">
        <v>78</v>
      </c>
      <c r="J105" s="25">
        <v>75</v>
      </c>
      <c r="K105" s="24">
        <v>0.96153846153846156</v>
      </c>
      <c r="L105" s="24">
        <v>1</v>
      </c>
      <c r="M105" s="24">
        <v>0</v>
      </c>
      <c r="N105" s="24">
        <v>0</v>
      </c>
      <c r="O105" s="23" t="s">
        <v>739</v>
      </c>
      <c r="P105" s="26">
        <v>0.63</v>
      </c>
      <c r="Q105" s="23" t="s">
        <v>733</v>
      </c>
      <c r="R105" s="23" t="s">
        <v>373</v>
      </c>
      <c r="S105" s="23" t="s">
        <v>734</v>
      </c>
    </row>
    <row r="106" spans="1:19">
      <c r="A106" s="23" t="s">
        <v>59</v>
      </c>
      <c r="B106" s="23" t="s">
        <v>61</v>
      </c>
      <c r="C106" s="23" t="s">
        <v>579</v>
      </c>
      <c r="D106" s="23" t="s">
        <v>194</v>
      </c>
      <c r="E106" s="23" t="s">
        <v>195</v>
      </c>
      <c r="F106" s="23" t="s">
        <v>135</v>
      </c>
      <c r="G106" s="23" t="s">
        <v>812</v>
      </c>
      <c r="H106" s="23" t="s">
        <v>813</v>
      </c>
      <c r="I106" s="25">
        <v>78</v>
      </c>
      <c r="J106" s="25">
        <v>75</v>
      </c>
      <c r="K106" s="24">
        <v>0.96153846153846156</v>
      </c>
      <c r="L106" s="24">
        <v>1</v>
      </c>
      <c r="M106" s="24">
        <v>0</v>
      </c>
      <c r="N106" s="24">
        <v>0</v>
      </c>
      <c r="O106" s="23" t="s">
        <v>739</v>
      </c>
      <c r="P106" s="26">
        <v>0.63</v>
      </c>
      <c r="Q106" s="23" t="s">
        <v>733</v>
      </c>
      <c r="R106" s="23" t="s">
        <v>404</v>
      </c>
      <c r="S106" s="23" t="s">
        <v>734</v>
      </c>
    </row>
    <row r="107" spans="1:19">
      <c r="A107" s="23" t="s">
        <v>98</v>
      </c>
      <c r="B107" s="23" t="s">
        <v>100</v>
      </c>
      <c r="C107" s="23" t="s">
        <v>579</v>
      </c>
      <c r="D107" s="23" t="s">
        <v>194</v>
      </c>
      <c r="E107" s="23" t="s">
        <v>195</v>
      </c>
      <c r="F107" s="23" t="s">
        <v>135</v>
      </c>
      <c r="G107" s="23" t="s">
        <v>812</v>
      </c>
      <c r="H107" s="23" t="s">
        <v>814</v>
      </c>
      <c r="I107" s="25">
        <v>78</v>
      </c>
      <c r="J107" s="25">
        <v>68</v>
      </c>
      <c r="K107" s="24">
        <v>0.87179487179487181</v>
      </c>
      <c r="L107" s="24">
        <v>1</v>
      </c>
      <c r="M107" s="24">
        <v>0</v>
      </c>
      <c r="N107" s="24">
        <v>1</v>
      </c>
      <c r="O107" s="23" t="s">
        <v>732</v>
      </c>
      <c r="P107" s="26">
        <v>0.9</v>
      </c>
      <c r="Q107" s="23" t="s">
        <v>733</v>
      </c>
      <c r="R107" s="23" t="s">
        <v>466</v>
      </c>
      <c r="S107" s="23" t="s">
        <v>734</v>
      </c>
    </row>
    <row r="108" spans="1:19">
      <c r="A108" s="23" t="s">
        <v>104</v>
      </c>
      <c r="B108" s="23" t="s">
        <v>109</v>
      </c>
      <c r="C108" s="23" t="s">
        <v>579</v>
      </c>
      <c r="D108" s="23" t="s">
        <v>194</v>
      </c>
      <c r="E108" s="23" t="s">
        <v>195</v>
      </c>
      <c r="F108" s="23" t="s">
        <v>135</v>
      </c>
      <c r="G108" s="23" t="s">
        <v>812</v>
      </c>
      <c r="H108" s="23" t="s">
        <v>814</v>
      </c>
      <c r="I108" s="25">
        <v>78</v>
      </c>
      <c r="J108" s="25">
        <v>68</v>
      </c>
      <c r="K108" s="24">
        <v>0.87179487179487181</v>
      </c>
      <c r="L108" s="24">
        <v>1</v>
      </c>
      <c r="M108" s="24">
        <v>0</v>
      </c>
      <c r="N108" s="24">
        <v>1</v>
      </c>
      <c r="O108" s="23" t="s">
        <v>732</v>
      </c>
      <c r="P108" s="26">
        <v>0.9</v>
      </c>
      <c r="Q108" s="23" t="s">
        <v>733</v>
      </c>
      <c r="R108" s="23" t="s">
        <v>486</v>
      </c>
      <c r="S108" s="23" t="s">
        <v>734</v>
      </c>
    </row>
    <row r="109" spans="1:19">
      <c r="A109" s="23" t="s">
        <v>59</v>
      </c>
      <c r="B109" s="23" t="s">
        <v>60</v>
      </c>
      <c r="C109" s="23" t="s">
        <v>579</v>
      </c>
      <c r="D109" s="23" t="s">
        <v>194</v>
      </c>
      <c r="E109" s="23" t="s">
        <v>198</v>
      </c>
      <c r="F109" s="23" t="s">
        <v>135</v>
      </c>
      <c r="G109" s="23" t="s">
        <v>810</v>
      </c>
      <c r="H109" s="23" t="s">
        <v>811</v>
      </c>
      <c r="I109" s="25">
        <v>154</v>
      </c>
      <c r="J109" s="25">
        <v>32</v>
      </c>
      <c r="K109" s="24">
        <v>0.20779220779220781</v>
      </c>
      <c r="L109" s="24">
        <v>0.76578225068618477</v>
      </c>
      <c r="M109" s="24">
        <v>1</v>
      </c>
      <c r="N109" s="24">
        <v>0</v>
      </c>
      <c r="O109" s="23" t="s">
        <v>776</v>
      </c>
      <c r="P109" s="26">
        <v>0.56672694795293155</v>
      </c>
      <c r="Q109" s="23" t="s">
        <v>733</v>
      </c>
      <c r="R109" s="23" t="s">
        <v>401</v>
      </c>
      <c r="S109" s="23" t="s">
        <v>734</v>
      </c>
    </row>
    <row r="110" spans="1:19">
      <c r="A110" s="23" t="s">
        <v>94</v>
      </c>
      <c r="B110" s="23" t="s">
        <v>95</v>
      </c>
      <c r="C110" s="23" t="s">
        <v>579</v>
      </c>
      <c r="D110" s="23" t="s">
        <v>194</v>
      </c>
      <c r="E110" s="23" t="s">
        <v>198</v>
      </c>
      <c r="F110" s="23" t="s">
        <v>135</v>
      </c>
      <c r="G110" s="23" t="s">
        <v>815</v>
      </c>
      <c r="H110" s="23" t="s">
        <v>816</v>
      </c>
      <c r="I110" s="25">
        <v>154</v>
      </c>
      <c r="J110" s="25">
        <v>154</v>
      </c>
      <c r="K110" s="24">
        <v>1</v>
      </c>
      <c r="L110" s="24">
        <v>1</v>
      </c>
      <c r="M110" s="24">
        <v>0</v>
      </c>
      <c r="N110" s="24">
        <v>1</v>
      </c>
      <c r="O110" s="23" t="s">
        <v>732</v>
      </c>
      <c r="P110" s="26">
        <v>0.9</v>
      </c>
      <c r="Q110" s="23" t="s">
        <v>733</v>
      </c>
      <c r="R110" s="23" t="s">
        <v>453</v>
      </c>
      <c r="S110" s="23" t="s">
        <v>734</v>
      </c>
    </row>
    <row r="111" spans="1:19">
      <c r="A111" s="23" t="s">
        <v>104</v>
      </c>
      <c r="B111" s="23" t="s">
        <v>108</v>
      </c>
      <c r="C111" s="23" t="s">
        <v>579</v>
      </c>
      <c r="D111" s="23" t="s">
        <v>194</v>
      </c>
      <c r="E111" s="23" t="s">
        <v>198</v>
      </c>
      <c r="F111" s="23" t="s">
        <v>135</v>
      </c>
      <c r="G111" s="23" t="s">
        <v>815</v>
      </c>
      <c r="H111" s="23" t="s">
        <v>816</v>
      </c>
      <c r="I111" s="25">
        <v>154</v>
      </c>
      <c r="J111" s="25">
        <v>154</v>
      </c>
      <c r="K111" s="24">
        <v>1</v>
      </c>
      <c r="L111" s="24">
        <v>1</v>
      </c>
      <c r="M111" s="24">
        <v>0</v>
      </c>
      <c r="N111" s="24">
        <v>1</v>
      </c>
      <c r="O111" s="23" t="s">
        <v>732</v>
      </c>
      <c r="P111" s="26">
        <v>0.9</v>
      </c>
      <c r="Q111" s="23" t="s">
        <v>733</v>
      </c>
      <c r="R111" s="23" t="s">
        <v>483</v>
      </c>
      <c r="S111" s="23" t="s">
        <v>734</v>
      </c>
    </row>
    <row r="112" spans="1:19">
      <c r="A112" s="23" t="s">
        <v>94</v>
      </c>
      <c r="B112" s="23" t="s">
        <v>97</v>
      </c>
      <c r="C112" s="23" t="s">
        <v>579</v>
      </c>
      <c r="D112" s="23" t="s">
        <v>194</v>
      </c>
      <c r="E112" s="23" t="s">
        <v>198</v>
      </c>
      <c r="F112" s="23" t="s">
        <v>135</v>
      </c>
      <c r="G112" s="23" t="s">
        <v>815</v>
      </c>
      <c r="H112" s="23" t="s">
        <v>816</v>
      </c>
      <c r="I112" s="25">
        <v>154</v>
      </c>
      <c r="J112" s="25">
        <v>154</v>
      </c>
      <c r="K112" s="24">
        <v>1</v>
      </c>
      <c r="L112" s="24">
        <v>1</v>
      </c>
      <c r="M112" s="24">
        <v>0</v>
      </c>
      <c r="N112" s="24">
        <v>1</v>
      </c>
      <c r="O112" s="23" t="s">
        <v>732</v>
      </c>
      <c r="P112" s="26">
        <v>0.9</v>
      </c>
      <c r="Q112" s="23" t="s">
        <v>733</v>
      </c>
      <c r="R112" s="23" t="s">
        <v>459</v>
      </c>
      <c r="S112" s="23" t="s">
        <v>734</v>
      </c>
    </row>
    <row r="113" spans="1:19">
      <c r="A113" s="23" t="s">
        <v>104</v>
      </c>
      <c r="B113" s="23" t="s">
        <v>105</v>
      </c>
      <c r="C113" s="23" t="s">
        <v>579</v>
      </c>
      <c r="D113" s="23" t="s">
        <v>194</v>
      </c>
      <c r="E113" s="23" t="s">
        <v>201</v>
      </c>
      <c r="F113" s="23" t="s">
        <v>78</v>
      </c>
      <c r="G113" s="23" t="s">
        <v>817</v>
      </c>
      <c r="H113" s="23" t="s">
        <v>818</v>
      </c>
      <c r="I113" s="25">
        <v>16</v>
      </c>
      <c r="J113" s="25">
        <v>13</v>
      </c>
      <c r="K113" s="24">
        <v>0.8125</v>
      </c>
      <c r="L113" s="24">
        <v>1</v>
      </c>
      <c r="M113" s="24">
        <v>0</v>
      </c>
      <c r="N113" s="24">
        <v>1</v>
      </c>
      <c r="O113" s="23" t="s">
        <v>732</v>
      </c>
      <c r="P113" s="26">
        <v>0.9</v>
      </c>
      <c r="Q113" s="23" t="s">
        <v>733</v>
      </c>
      <c r="R113" s="23" t="s">
        <v>105</v>
      </c>
      <c r="S113" s="23" t="s">
        <v>734</v>
      </c>
    </row>
    <row r="114" spans="1:19">
      <c r="A114" s="23" t="s">
        <v>104</v>
      </c>
      <c r="B114" s="23" t="s">
        <v>106</v>
      </c>
      <c r="C114" s="23" t="s">
        <v>579</v>
      </c>
      <c r="D114" s="23" t="s">
        <v>194</v>
      </c>
      <c r="E114" s="23" t="s">
        <v>201</v>
      </c>
      <c r="F114" s="23" t="s">
        <v>78</v>
      </c>
      <c r="G114" s="23" t="s">
        <v>817</v>
      </c>
      <c r="H114" s="23" t="s">
        <v>818</v>
      </c>
      <c r="I114" s="25">
        <v>16</v>
      </c>
      <c r="J114" s="25">
        <v>13</v>
      </c>
      <c r="K114" s="24">
        <v>0.8125</v>
      </c>
      <c r="L114" s="24">
        <v>1</v>
      </c>
      <c r="M114" s="24">
        <v>0</v>
      </c>
      <c r="N114" s="24">
        <v>1</v>
      </c>
      <c r="O114" s="23" t="s">
        <v>732</v>
      </c>
      <c r="P114" s="26">
        <v>0.9</v>
      </c>
      <c r="Q114" s="23" t="s">
        <v>733</v>
      </c>
      <c r="R114" s="23" t="s">
        <v>477</v>
      </c>
      <c r="S114" s="23" t="s">
        <v>734</v>
      </c>
    </row>
    <row r="115" spans="1:19">
      <c r="A115" s="23" t="s">
        <v>98</v>
      </c>
      <c r="B115" s="23" t="s">
        <v>99</v>
      </c>
      <c r="C115" s="23" t="s">
        <v>579</v>
      </c>
      <c r="D115" s="23" t="s">
        <v>194</v>
      </c>
      <c r="E115" s="23" t="s">
        <v>201</v>
      </c>
      <c r="F115" s="23" t="s">
        <v>78</v>
      </c>
      <c r="G115" s="23" t="s">
        <v>817</v>
      </c>
      <c r="H115" s="23" t="s">
        <v>818</v>
      </c>
      <c r="I115" s="25">
        <v>16</v>
      </c>
      <c r="J115" s="25">
        <v>13</v>
      </c>
      <c r="K115" s="24">
        <v>0.8125</v>
      </c>
      <c r="L115" s="24">
        <v>1</v>
      </c>
      <c r="M115" s="24">
        <v>0</v>
      </c>
      <c r="N115" s="24">
        <v>1</v>
      </c>
      <c r="O115" s="23" t="s">
        <v>732</v>
      </c>
      <c r="P115" s="26">
        <v>0.9</v>
      </c>
      <c r="Q115" s="23" t="s">
        <v>733</v>
      </c>
      <c r="R115" s="23" t="s">
        <v>462</v>
      </c>
      <c r="S115" s="23" t="s">
        <v>734</v>
      </c>
    </row>
    <row r="116" spans="1:19">
      <c r="A116" s="23" t="s">
        <v>94</v>
      </c>
      <c r="B116" s="23" t="s">
        <v>97</v>
      </c>
      <c r="C116" s="23" t="s">
        <v>579</v>
      </c>
      <c r="D116" s="23" t="s">
        <v>194</v>
      </c>
      <c r="E116" s="23" t="s">
        <v>201</v>
      </c>
      <c r="F116" s="23" t="s">
        <v>78</v>
      </c>
      <c r="G116" s="23" t="s">
        <v>817</v>
      </c>
      <c r="H116" s="23" t="s">
        <v>818</v>
      </c>
      <c r="I116" s="25">
        <v>16</v>
      </c>
      <c r="J116" s="25">
        <v>13</v>
      </c>
      <c r="K116" s="24">
        <v>0.8125</v>
      </c>
      <c r="L116" s="24">
        <v>1</v>
      </c>
      <c r="M116" s="24">
        <v>0</v>
      </c>
      <c r="N116" s="24">
        <v>1</v>
      </c>
      <c r="O116" s="23" t="s">
        <v>732</v>
      </c>
      <c r="P116" s="26">
        <v>0.9</v>
      </c>
      <c r="Q116" s="23" t="s">
        <v>733</v>
      </c>
      <c r="R116" s="23" t="s">
        <v>459</v>
      </c>
      <c r="S116" s="23" t="s">
        <v>734</v>
      </c>
    </row>
    <row r="117" spans="1:19">
      <c r="A117" s="23" t="s">
        <v>36</v>
      </c>
      <c r="B117" s="23" t="s">
        <v>43</v>
      </c>
      <c r="C117" s="23" t="s">
        <v>23</v>
      </c>
      <c r="D117" s="23" t="s">
        <v>204</v>
      </c>
      <c r="E117" s="23" t="s">
        <v>728</v>
      </c>
      <c r="F117" s="23" t="s">
        <v>819</v>
      </c>
      <c r="G117" s="23" t="s">
        <v>820</v>
      </c>
      <c r="H117" s="23" t="s">
        <v>821</v>
      </c>
      <c r="I117" s="25">
        <v>112</v>
      </c>
      <c r="J117" s="25">
        <v>81</v>
      </c>
      <c r="K117" s="24">
        <v>0.7232142857142857</v>
      </c>
      <c r="L117" s="24">
        <v>1</v>
      </c>
      <c r="M117" s="24">
        <v>1</v>
      </c>
      <c r="N117" s="24">
        <v>0</v>
      </c>
      <c r="O117" s="23" t="s">
        <v>732</v>
      </c>
      <c r="P117" s="26">
        <v>0.88642857142857145</v>
      </c>
      <c r="Q117" s="23" t="s">
        <v>733</v>
      </c>
      <c r="R117" s="23" t="s">
        <v>363</v>
      </c>
      <c r="S117" s="23" t="s">
        <v>734</v>
      </c>
    </row>
    <row r="118" spans="1:19">
      <c r="A118" s="23" t="s">
        <v>59</v>
      </c>
      <c r="B118" s="23" t="s">
        <v>66</v>
      </c>
      <c r="C118" s="23" t="s">
        <v>23</v>
      </c>
      <c r="D118" s="23" t="s">
        <v>204</v>
      </c>
      <c r="E118" s="23" t="s">
        <v>728</v>
      </c>
      <c r="F118" s="23" t="s">
        <v>819</v>
      </c>
      <c r="G118" s="23" t="s">
        <v>820</v>
      </c>
      <c r="H118" s="23" t="s">
        <v>821</v>
      </c>
      <c r="I118" s="25">
        <v>112</v>
      </c>
      <c r="J118" s="25">
        <v>81</v>
      </c>
      <c r="K118" s="24">
        <v>0.7232142857142857</v>
      </c>
      <c r="L118" s="24">
        <v>1</v>
      </c>
      <c r="M118" s="24">
        <v>1</v>
      </c>
      <c r="N118" s="24">
        <v>0</v>
      </c>
      <c r="O118" s="23" t="s">
        <v>732</v>
      </c>
      <c r="P118" s="26">
        <v>0.88642857142857145</v>
      </c>
      <c r="Q118" s="23" t="s">
        <v>733</v>
      </c>
      <c r="R118" s="23" t="s">
        <v>417</v>
      </c>
      <c r="S118" s="23" t="s">
        <v>734</v>
      </c>
    </row>
    <row r="119" spans="1:19">
      <c r="A119" s="23" t="s">
        <v>59</v>
      </c>
      <c r="B119" s="23" t="s">
        <v>77</v>
      </c>
      <c r="C119" s="23" t="s">
        <v>579</v>
      </c>
      <c r="D119" s="23" t="s">
        <v>204</v>
      </c>
      <c r="E119" s="23" t="s">
        <v>205</v>
      </c>
      <c r="F119" s="23" t="s">
        <v>78</v>
      </c>
      <c r="G119" s="23" t="s">
        <v>822</v>
      </c>
      <c r="H119" s="23" t="s">
        <v>823</v>
      </c>
      <c r="I119" s="25">
        <v>27</v>
      </c>
      <c r="J119" s="25">
        <v>27</v>
      </c>
      <c r="K119" s="24">
        <v>1</v>
      </c>
      <c r="L119" s="24">
        <v>1</v>
      </c>
      <c r="M119" s="24">
        <v>0.16</v>
      </c>
      <c r="N119" s="24">
        <v>0</v>
      </c>
      <c r="O119" s="23" t="s">
        <v>739</v>
      </c>
      <c r="P119" s="26">
        <v>0.68759999999999999</v>
      </c>
      <c r="Q119" s="23" t="s">
        <v>733</v>
      </c>
      <c r="R119" s="23" t="s">
        <v>430</v>
      </c>
      <c r="S119" s="23" t="s">
        <v>734</v>
      </c>
    </row>
    <row r="120" spans="1:19">
      <c r="A120" s="23" t="s">
        <v>104</v>
      </c>
      <c r="B120" s="23" t="s">
        <v>106</v>
      </c>
      <c r="C120" s="23" t="s">
        <v>579</v>
      </c>
      <c r="D120" s="23" t="s">
        <v>204</v>
      </c>
      <c r="E120" s="23" t="s">
        <v>205</v>
      </c>
      <c r="F120" s="23" t="s">
        <v>78</v>
      </c>
      <c r="G120" s="23" t="s">
        <v>824</v>
      </c>
      <c r="H120" s="23" t="s">
        <v>825</v>
      </c>
      <c r="I120" s="25">
        <v>27</v>
      </c>
      <c r="J120" s="25">
        <v>27</v>
      </c>
      <c r="K120" s="24">
        <v>1</v>
      </c>
      <c r="L120" s="24">
        <v>1</v>
      </c>
      <c r="M120" s="24">
        <v>0</v>
      </c>
      <c r="N120" s="24">
        <v>1</v>
      </c>
      <c r="O120" s="23" t="s">
        <v>732</v>
      </c>
      <c r="P120" s="26">
        <v>0.9</v>
      </c>
      <c r="Q120" s="23" t="s">
        <v>733</v>
      </c>
      <c r="R120" s="23" t="s">
        <v>477</v>
      </c>
      <c r="S120" s="23" t="s">
        <v>734</v>
      </c>
    </row>
    <row r="121" spans="1:19">
      <c r="A121" s="23" t="s">
        <v>94</v>
      </c>
      <c r="B121" s="23" t="s">
        <v>97</v>
      </c>
      <c r="C121" s="23" t="s">
        <v>579</v>
      </c>
      <c r="D121" s="23" t="s">
        <v>204</v>
      </c>
      <c r="E121" s="23" t="s">
        <v>205</v>
      </c>
      <c r="F121" s="23" t="s">
        <v>78</v>
      </c>
      <c r="G121" s="23" t="s">
        <v>824</v>
      </c>
      <c r="H121" s="23" t="s">
        <v>825</v>
      </c>
      <c r="I121" s="25">
        <v>27</v>
      </c>
      <c r="J121" s="25">
        <v>27</v>
      </c>
      <c r="K121" s="24">
        <v>1</v>
      </c>
      <c r="L121" s="24">
        <v>1</v>
      </c>
      <c r="M121" s="24">
        <v>0</v>
      </c>
      <c r="N121" s="24">
        <v>1</v>
      </c>
      <c r="O121" s="23" t="s">
        <v>732</v>
      </c>
      <c r="P121" s="26">
        <v>0.9</v>
      </c>
      <c r="Q121" s="23" t="s">
        <v>733</v>
      </c>
      <c r="R121" s="23" t="s">
        <v>459</v>
      </c>
      <c r="S121" s="23" t="s">
        <v>734</v>
      </c>
    </row>
    <row r="122" spans="1:19">
      <c r="A122" s="23" t="s">
        <v>104</v>
      </c>
      <c r="B122" s="23" t="s">
        <v>105</v>
      </c>
      <c r="C122" s="23" t="s">
        <v>579</v>
      </c>
      <c r="D122" s="23" t="s">
        <v>204</v>
      </c>
      <c r="E122" s="23" t="s">
        <v>205</v>
      </c>
      <c r="F122" s="23" t="s">
        <v>78</v>
      </c>
      <c r="G122" s="23" t="s">
        <v>824</v>
      </c>
      <c r="H122" s="23" t="s">
        <v>825</v>
      </c>
      <c r="I122" s="25">
        <v>27</v>
      </c>
      <c r="J122" s="25">
        <v>27</v>
      </c>
      <c r="K122" s="24">
        <v>1</v>
      </c>
      <c r="L122" s="24">
        <v>1</v>
      </c>
      <c r="M122" s="24">
        <v>0</v>
      </c>
      <c r="N122" s="24">
        <v>1</v>
      </c>
      <c r="O122" s="23" t="s">
        <v>732</v>
      </c>
      <c r="P122" s="26">
        <v>0.9</v>
      </c>
      <c r="Q122" s="23" t="s">
        <v>733</v>
      </c>
      <c r="R122" s="23" t="s">
        <v>105</v>
      </c>
      <c r="S122" s="23" t="s">
        <v>734</v>
      </c>
    </row>
    <row r="123" spans="1:19">
      <c r="A123" s="23" t="s">
        <v>36</v>
      </c>
      <c r="B123" s="23" t="s">
        <v>46</v>
      </c>
      <c r="C123" s="23" t="s">
        <v>579</v>
      </c>
      <c r="D123" s="23" t="s">
        <v>204</v>
      </c>
      <c r="E123" s="23" t="s">
        <v>208</v>
      </c>
      <c r="F123" s="23" t="s">
        <v>135</v>
      </c>
      <c r="G123" s="23" t="s">
        <v>820</v>
      </c>
      <c r="H123" s="23" t="s">
        <v>821</v>
      </c>
      <c r="I123" s="25">
        <v>33</v>
      </c>
      <c r="J123" s="25">
        <v>26</v>
      </c>
      <c r="K123" s="24">
        <v>0.78787878787878785</v>
      </c>
      <c r="L123" s="24">
        <v>0.31238273921200749</v>
      </c>
      <c r="M123" s="24">
        <v>1</v>
      </c>
      <c r="N123" s="24">
        <v>0</v>
      </c>
      <c r="O123" s="23" t="s">
        <v>739</v>
      </c>
      <c r="P123" s="26">
        <v>0.72809568480300191</v>
      </c>
      <c r="Q123" s="23" t="s">
        <v>733</v>
      </c>
      <c r="R123" s="23" t="s">
        <v>373</v>
      </c>
      <c r="S123" s="23" t="s">
        <v>734</v>
      </c>
    </row>
    <row r="124" spans="1:19">
      <c r="A124" s="23" t="s">
        <v>94</v>
      </c>
      <c r="B124" s="23" t="s">
        <v>95</v>
      </c>
      <c r="C124" s="23" t="s">
        <v>579</v>
      </c>
      <c r="D124" s="23" t="s">
        <v>204</v>
      </c>
      <c r="E124" s="23" t="s">
        <v>208</v>
      </c>
      <c r="F124" s="23" t="s">
        <v>135</v>
      </c>
      <c r="G124" s="23" t="s">
        <v>826</v>
      </c>
      <c r="H124" s="23" t="s">
        <v>827</v>
      </c>
      <c r="I124" s="25">
        <v>33</v>
      </c>
      <c r="J124" s="25">
        <v>33</v>
      </c>
      <c r="K124" s="24">
        <v>1</v>
      </c>
      <c r="L124" s="24">
        <v>1</v>
      </c>
      <c r="M124" s="24">
        <v>0</v>
      </c>
      <c r="N124" s="24">
        <v>1</v>
      </c>
      <c r="O124" s="23" t="s">
        <v>732</v>
      </c>
      <c r="P124" s="26">
        <v>0.9</v>
      </c>
      <c r="Q124" s="23" t="s">
        <v>733</v>
      </c>
      <c r="R124" s="23" t="s">
        <v>453</v>
      </c>
      <c r="S124" s="23" t="s">
        <v>734</v>
      </c>
    </row>
    <row r="125" spans="1:19">
      <c r="A125" s="23" t="s">
        <v>104</v>
      </c>
      <c r="B125" s="23" t="s">
        <v>108</v>
      </c>
      <c r="C125" s="23" t="s">
        <v>579</v>
      </c>
      <c r="D125" s="23" t="s">
        <v>204</v>
      </c>
      <c r="E125" s="23" t="s">
        <v>208</v>
      </c>
      <c r="F125" s="23" t="s">
        <v>135</v>
      </c>
      <c r="G125" s="23" t="s">
        <v>826</v>
      </c>
      <c r="H125" s="23" t="s">
        <v>827</v>
      </c>
      <c r="I125" s="25">
        <v>33</v>
      </c>
      <c r="J125" s="25">
        <v>33</v>
      </c>
      <c r="K125" s="24">
        <v>1</v>
      </c>
      <c r="L125" s="24">
        <v>1</v>
      </c>
      <c r="M125" s="24">
        <v>0</v>
      </c>
      <c r="N125" s="24">
        <v>1</v>
      </c>
      <c r="O125" s="23" t="s">
        <v>732</v>
      </c>
      <c r="P125" s="26">
        <v>0.9</v>
      </c>
      <c r="Q125" s="23" t="s">
        <v>733</v>
      </c>
      <c r="R125" s="23" t="s">
        <v>483</v>
      </c>
      <c r="S125" s="23" t="s">
        <v>734</v>
      </c>
    </row>
    <row r="126" spans="1:19">
      <c r="A126" s="23" t="s">
        <v>94</v>
      </c>
      <c r="B126" s="23" t="s">
        <v>97</v>
      </c>
      <c r="C126" s="23" t="s">
        <v>579</v>
      </c>
      <c r="D126" s="23" t="s">
        <v>204</v>
      </c>
      <c r="E126" s="23" t="s">
        <v>208</v>
      </c>
      <c r="F126" s="23" t="s">
        <v>135</v>
      </c>
      <c r="G126" s="23" t="s">
        <v>826</v>
      </c>
      <c r="H126" s="23" t="s">
        <v>827</v>
      </c>
      <c r="I126" s="25">
        <v>33</v>
      </c>
      <c r="J126" s="25">
        <v>33</v>
      </c>
      <c r="K126" s="24">
        <v>1</v>
      </c>
      <c r="L126" s="24">
        <v>1</v>
      </c>
      <c r="M126" s="24">
        <v>0</v>
      </c>
      <c r="N126" s="24">
        <v>1</v>
      </c>
      <c r="O126" s="23" t="s">
        <v>732</v>
      </c>
      <c r="P126" s="26">
        <v>0.9</v>
      </c>
      <c r="Q126" s="23" t="s">
        <v>733</v>
      </c>
      <c r="R126" s="23" t="s">
        <v>459</v>
      </c>
      <c r="S126" s="23" t="s">
        <v>734</v>
      </c>
    </row>
    <row r="127" spans="1:19">
      <c r="A127" s="23" t="s">
        <v>59</v>
      </c>
      <c r="B127" s="23" t="s">
        <v>91</v>
      </c>
      <c r="C127" s="23" t="s">
        <v>579</v>
      </c>
      <c r="D127" s="23" t="s">
        <v>204</v>
      </c>
      <c r="E127" s="23" t="s">
        <v>210</v>
      </c>
      <c r="F127" s="23" t="s">
        <v>84</v>
      </c>
      <c r="G127" s="23" t="s">
        <v>828</v>
      </c>
      <c r="H127" s="23" t="s">
        <v>829</v>
      </c>
      <c r="I127" s="25">
        <v>62</v>
      </c>
      <c r="J127" s="25">
        <v>62</v>
      </c>
      <c r="K127" s="24">
        <v>1</v>
      </c>
      <c r="L127" s="24">
        <v>1</v>
      </c>
      <c r="M127" s="24">
        <v>0.84499999999999997</v>
      </c>
      <c r="N127" s="24">
        <v>0</v>
      </c>
      <c r="O127" s="23" t="s">
        <v>732</v>
      </c>
      <c r="P127" s="26">
        <v>0.9</v>
      </c>
      <c r="Q127" s="23" t="s">
        <v>733</v>
      </c>
      <c r="R127" s="23" t="s">
        <v>444</v>
      </c>
      <c r="S127" s="23" t="s">
        <v>734</v>
      </c>
    </row>
    <row r="128" spans="1:19">
      <c r="A128" s="23" t="s">
        <v>59</v>
      </c>
      <c r="B128" s="23" t="s">
        <v>93</v>
      </c>
      <c r="C128" s="23" t="s">
        <v>579</v>
      </c>
      <c r="D128" s="23" t="s">
        <v>204</v>
      </c>
      <c r="E128" s="23" t="s">
        <v>210</v>
      </c>
      <c r="F128" s="23" t="s">
        <v>84</v>
      </c>
      <c r="G128" s="23" t="s">
        <v>828</v>
      </c>
      <c r="H128" s="23" t="s">
        <v>829</v>
      </c>
      <c r="I128" s="25">
        <v>62</v>
      </c>
      <c r="J128" s="25">
        <v>62</v>
      </c>
      <c r="K128" s="24">
        <v>1</v>
      </c>
      <c r="L128" s="24">
        <v>1</v>
      </c>
      <c r="M128" s="24">
        <v>0.84499999999999997</v>
      </c>
      <c r="N128" s="24">
        <v>0</v>
      </c>
      <c r="O128" s="23" t="s">
        <v>732</v>
      </c>
      <c r="P128" s="26">
        <v>0.9</v>
      </c>
      <c r="Q128" s="23" t="s">
        <v>733</v>
      </c>
      <c r="R128" s="23" t="s">
        <v>450</v>
      </c>
      <c r="S128" s="23" t="s">
        <v>734</v>
      </c>
    </row>
    <row r="129" spans="1:19">
      <c r="A129" s="23" t="s">
        <v>98</v>
      </c>
      <c r="B129" s="23" t="s">
        <v>102</v>
      </c>
      <c r="C129" s="23" t="s">
        <v>579</v>
      </c>
      <c r="D129" s="23" t="s">
        <v>204</v>
      </c>
      <c r="E129" s="23" t="s">
        <v>210</v>
      </c>
      <c r="F129" s="23" t="s">
        <v>84</v>
      </c>
      <c r="G129" s="23" t="s">
        <v>830</v>
      </c>
      <c r="H129" s="23" t="s">
        <v>831</v>
      </c>
      <c r="I129" s="25">
        <v>62</v>
      </c>
      <c r="J129" s="25">
        <v>46</v>
      </c>
      <c r="K129" s="24">
        <v>0.74193548387096775</v>
      </c>
      <c r="L129" s="24">
        <v>1</v>
      </c>
      <c r="M129" s="24">
        <v>0</v>
      </c>
      <c r="N129" s="24">
        <v>1</v>
      </c>
      <c r="O129" s="23" t="s">
        <v>732</v>
      </c>
      <c r="P129" s="26">
        <v>0.89591397849462373</v>
      </c>
      <c r="Q129" s="23" t="s">
        <v>733</v>
      </c>
      <c r="R129" s="23" t="s">
        <v>472</v>
      </c>
      <c r="S129" s="23" t="s">
        <v>734</v>
      </c>
    </row>
    <row r="130" spans="1:19">
      <c r="A130" s="23" t="s">
        <v>94</v>
      </c>
      <c r="B130" s="23" t="s">
        <v>97</v>
      </c>
      <c r="C130" s="23" t="s">
        <v>579</v>
      </c>
      <c r="D130" s="23" t="s">
        <v>204</v>
      </c>
      <c r="E130" s="23" t="s">
        <v>210</v>
      </c>
      <c r="F130" s="23" t="s">
        <v>84</v>
      </c>
      <c r="G130" s="23" t="s">
        <v>830</v>
      </c>
      <c r="H130" s="23" t="s">
        <v>831</v>
      </c>
      <c r="I130" s="25">
        <v>62</v>
      </c>
      <c r="J130" s="25">
        <v>46</v>
      </c>
      <c r="K130" s="24">
        <v>0.74193548387096775</v>
      </c>
      <c r="L130" s="24">
        <v>1</v>
      </c>
      <c r="M130" s="24">
        <v>0</v>
      </c>
      <c r="N130" s="24">
        <v>1</v>
      </c>
      <c r="O130" s="23" t="s">
        <v>732</v>
      </c>
      <c r="P130" s="26">
        <v>0.89591397849462373</v>
      </c>
      <c r="Q130" s="23" t="s">
        <v>733</v>
      </c>
      <c r="R130" s="23" t="s">
        <v>459</v>
      </c>
      <c r="S130" s="23" t="s">
        <v>734</v>
      </c>
    </row>
    <row r="131" spans="1:19">
      <c r="A131" s="23" t="s">
        <v>49</v>
      </c>
      <c r="B131" s="23" t="s">
        <v>50</v>
      </c>
      <c r="C131" s="23" t="s">
        <v>23</v>
      </c>
      <c r="D131" s="23" t="s">
        <v>213</v>
      </c>
      <c r="E131" s="23" t="s">
        <v>728</v>
      </c>
      <c r="F131" s="23" t="s">
        <v>796</v>
      </c>
      <c r="G131" s="23" t="s">
        <v>832</v>
      </c>
      <c r="H131" s="23" t="s">
        <v>833</v>
      </c>
      <c r="I131" s="25">
        <v>194</v>
      </c>
      <c r="J131" s="25">
        <v>166</v>
      </c>
      <c r="K131" s="24">
        <v>0.85567010309278346</v>
      </c>
      <c r="L131" s="24">
        <v>1</v>
      </c>
      <c r="M131" s="24">
        <v>1</v>
      </c>
      <c r="N131" s="24">
        <v>0</v>
      </c>
      <c r="O131" s="23" t="s">
        <v>732</v>
      </c>
      <c r="P131" s="26">
        <v>0.9</v>
      </c>
      <c r="Q131" s="23" t="s">
        <v>733</v>
      </c>
      <c r="R131" s="23" t="s">
        <v>379</v>
      </c>
      <c r="S131" s="23" t="s">
        <v>734</v>
      </c>
    </row>
    <row r="132" spans="1:19">
      <c r="A132" s="23" t="s">
        <v>49</v>
      </c>
      <c r="B132" s="23" t="s">
        <v>58</v>
      </c>
      <c r="C132" s="23" t="s">
        <v>23</v>
      </c>
      <c r="D132" s="23" t="s">
        <v>213</v>
      </c>
      <c r="E132" s="23" t="s">
        <v>728</v>
      </c>
      <c r="F132" s="23" t="s">
        <v>796</v>
      </c>
      <c r="G132" s="23" t="s">
        <v>832</v>
      </c>
      <c r="H132" s="23" t="s">
        <v>833</v>
      </c>
      <c r="I132" s="25">
        <v>194</v>
      </c>
      <c r="J132" s="25">
        <v>166</v>
      </c>
      <c r="K132" s="24">
        <v>0.85567010309278346</v>
      </c>
      <c r="L132" s="24">
        <v>1</v>
      </c>
      <c r="M132" s="24">
        <v>1</v>
      </c>
      <c r="N132" s="24">
        <v>0</v>
      </c>
      <c r="O132" s="23" t="s">
        <v>732</v>
      </c>
      <c r="P132" s="26">
        <v>0.9</v>
      </c>
      <c r="Q132" s="23" t="s">
        <v>733</v>
      </c>
      <c r="R132" s="23" t="s">
        <v>398</v>
      </c>
      <c r="S132" s="23" t="s">
        <v>734</v>
      </c>
    </row>
    <row r="133" spans="1:19">
      <c r="A133" s="23" t="s">
        <v>59</v>
      </c>
      <c r="B133" s="23" t="s">
        <v>69</v>
      </c>
      <c r="C133" s="23" t="s">
        <v>23</v>
      </c>
      <c r="D133" s="23" t="s">
        <v>213</v>
      </c>
      <c r="E133" s="23" t="s">
        <v>728</v>
      </c>
      <c r="F133" s="23" t="s">
        <v>796</v>
      </c>
      <c r="G133" s="23" t="s">
        <v>832</v>
      </c>
      <c r="H133" s="23" t="s">
        <v>833</v>
      </c>
      <c r="I133" s="25">
        <v>194</v>
      </c>
      <c r="J133" s="25">
        <v>166</v>
      </c>
      <c r="K133" s="24">
        <v>0.85567010309278346</v>
      </c>
      <c r="L133" s="24">
        <v>1</v>
      </c>
      <c r="M133" s="24">
        <v>1</v>
      </c>
      <c r="N133" s="24">
        <v>0</v>
      </c>
      <c r="O133" s="23" t="s">
        <v>732</v>
      </c>
      <c r="P133" s="26">
        <v>0.92500000000000004</v>
      </c>
      <c r="Q133" s="23" t="s">
        <v>733</v>
      </c>
      <c r="R133" s="23" t="s">
        <v>423</v>
      </c>
      <c r="S133" s="23" t="s">
        <v>734</v>
      </c>
    </row>
    <row r="134" spans="1:19">
      <c r="A134" s="23" t="s">
        <v>59</v>
      </c>
      <c r="B134" s="23" t="s">
        <v>60</v>
      </c>
      <c r="C134" s="23" t="s">
        <v>579</v>
      </c>
      <c r="D134" s="23" t="s">
        <v>213</v>
      </c>
      <c r="E134" s="23" t="s">
        <v>214</v>
      </c>
      <c r="F134" s="23" t="s">
        <v>81</v>
      </c>
      <c r="G134" s="23" t="s">
        <v>834</v>
      </c>
      <c r="H134" s="23" t="s">
        <v>835</v>
      </c>
      <c r="I134" s="25">
        <v>102</v>
      </c>
      <c r="J134" s="25">
        <v>102</v>
      </c>
      <c r="K134" s="24">
        <v>1</v>
      </c>
      <c r="L134" s="24">
        <v>1</v>
      </c>
      <c r="M134" s="24">
        <v>1</v>
      </c>
      <c r="N134" s="24">
        <v>0</v>
      </c>
      <c r="O134" s="23" t="s">
        <v>732</v>
      </c>
      <c r="P134" s="26">
        <v>0.9</v>
      </c>
      <c r="Q134" s="23" t="s">
        <v>733</v>
      </c>
      <c r="R134" s="23" t="s">
        <v>401</v>
      </c>
      <c r="S134" s="23" t="s">
        <v>734</v>
      </c>
    </row>
    <row r="135" spans="1:19">
      <c r="A135" s="23" t="s">
        <v>98</v>
      </c>
      <c r="B135" s="23" t="s">
        <v>102</v>
      </c>
      <c r="C135" s="23" t="s">
        <v>579</v>
      </c>
      <c r="D135" s="23" t="s">
        <v>213</v>
      </c>
      <c r="E135" s="23" t="s">
        <v>214</v>
      </c>
      <c r="F135" s="23" t="s">
        <v>81</v>
      </c>
      <c r="G135" s="23" t="s">
        <v>836</v>
      </c>
      <c r="H135" s="23" t="s">
        <v>837</v>
      </c>
      <c r="I135" s="25">
        <v>102</v>
      </c>
      <c r="J135" s="25">
        <v>100</v>
      </c>
      <c r="K135" s="24">
        <v>0.98039215686274506</v>
      </c>
      <c r="L135" s="24">
        <v>0.20490654480784859</v>
      </c>
      <c r="M135" s="24">
        <v>0</v>
      </c>
      <c r="N135" s="24">
        <v>1</v>
      </c>
      <c r="O135" s="23" t="s">
        <v>739</v>
      </c>
      <c r="P135" s="26">
        <v>0.70122663620196213</v>
      </c>
      <c r="Q135" s="23" t="s">
        <v>733</v>
      </c>
      <c r="R135" s="23" t="s">
        <v>472</v>
      </c>
      <c r="S135" s="23" t="s">
        <v>734</v>
      </c>
    </row>
    <row r="136" spans="1:19">
      <c r="A136" s="23" t="s">
        <v>59</v>
      </c>
      <c r="B136" s="23" t="s">
        <v>60</v>
      </c>
      <c r="C136" s="23" t="s">
        <v>579</v>
      </c>
      <c r="D136" s="23" t="s">
        <v>213</v>
      </c>
      <c r="E136" s="23" t="s">
        <v>216</v>
      </c>
      <c r="F136" s="23" t="s">
        <v>135</v>
      </c>
      <c r="G136" s="23" t="s">
        <v>832</v>
      </c>
      <c r="H136" s="23" t="s">
        <v>833</v>
      </c>
      <c r="I136" s="25">
        <v>106</v>
      </c>
      <c r="J136" s="25">
        <v>57</v>
      </c>
      <c r="K136" s="24">
        <v>0.53773584905660377</v>
      </c>
      <c r="L136" s="24">
        <v>0.31790199458261514</v>
      </c>
      <c r="M136" s="24">
        <v>1</v>
      </c>
      <c r="N136" s="24">
        <v>0</v>
      </c>
      <c r="O136" s="23" t="s">
        <v>739</v>
      </c>
      <c r="P136" s="26">
        <v>0.62192832883433302</v>
      </c>
      <c r="Q136" s="23" t="s">
        <v>733</v>
      </c>
      <c r="R136" s="23" t="s">
        <v>401</v>
      </c>
      <c r="S136" s="23" t="s">
        <v>734</v>
      </c>
    </row>
    <row r="137" spans="1:19">
      <c r="A137" s="23" t="s">
        <v>98</v>
      </c>
      <c r="B137" s="23" t="s">
        <v>102</v>
      </c>
      <c r="C137" s="23" t="s">
        <v>579</v>
      </c>
      <c r="D137" s="23" t="s">
        <v>213</v>
      </c>
      <c r="E137" s="23" t="s">
        <v>216</v>
      </c>
      <c r="F137" s="23" t="s">
        <v>135</v>
      </c>
      <c r="G137" s="23" t="s">
        <v>838</v>
      </c>
      <c r="H137" s="23" t="s">
        <v>839</v>
      </c>
      <c r="I137" s="25">
        <v>106</v>
      </c>
      <c r="J137" s="25">
        <v>78</v>
      </c>
      <c r="K137" s="24">
        <v>0.73584905660377353</v>
      </c>
      <c r="L137" s="24">
        <v>0.99863892669648069</v>
      </c>
      <c r="M137" s="24">
        <v>0</v>
      </c>
      <c r="N137" s="24">
        <v>0.98717948717948723</v>
      </c>
      <c r="O137" s="23" t="s">
        <v>732</v>
      </c>
      <c r="P137" s="26">
        <v>0.88902838189182698</v>
      </c>
      <c r="Q137" s="23" t="s">
        <v>733</v>
      </c>
      <c r="R137" s="23" t="s">
        <v>472</v>
      </c>
      <c r="S137" s="23" t="s">
        <v>734</v>
      </c>
    </row>
    <row r="138" spans="1:19">
      <c r="A138" s="23" t="s">
        <v>104</v>
      </c>
      <c r="B138" s="23" t="s">
        <v>108</v>
      </c>
      <c r="C138" s="23" t="s">
        <v>579</v>
      </c>
      <c r="D138" s="23" t="s">
        <v>213</v>
      </c>
      <c r="E138" s="23" t="s">
        <v>216</v>
      </c>
      <c r="F138" s="23" t="s">
        <v>135</v>
      </c>
      <c r="G138" s="23" t="s">
        <v>838</v>
      </c>
      <c r="H138" s="23" t="s">
        <v>839</v>
      </c>
      <c r="I138" s="25">
        <v>106</v>
      </c>
      <c r="J138" s="25">
        <v>78</v>
      </c>
      <c r="K138" s="24">
        <v>0.73584905660377353</v>
      </c>
      <c r="L138" s="24">
        <v>0.99863892669648069</v>
      </c>
      <c r="M138" s="24">
        <v>0</v>
      </c>
      <c r="N138" s="24">
        <v>0.98717948717948723</v>
      </c>
      <c r="O138" s="23" t="s">
        <v>732</v>
      </c>
      <c r="P138" s="26">
        <v>0.88902838189182698</v>
      </c>
      <c r="Q138" s="23" t="s">
        <v>733</v>
      </c>
      <c r="R138" s="23" t="s">
        <v>483</v>
      </c>
      <c r="S138" s="23" t="s">
        <v>734</v>
      </c>
    </row>
    <row r="139" spans="1:19">
      <c r="A139" s="23" t="s">
        <v>36</v>
      </c>
      <c r="B139" s="23" t="s">
        <v>47</v>
      </c>
      <c r="C139" s="23" t="s">
        <v>579</v>
      </c>
      <c r="D139" s="23" t="s">
        <v>213</v>
      </c>
      <c r="E139" s="23" t="s">
        <v>218</v>
      </c>
      <c r="F139" s="23" t="s">
        <v>139</v>
      </c>
      <c r="G139" s="23" t="s">
        <v>832</v>
      </c>
      <c r="H139" s="23" t="s">
        <v>833</v>
      </c>
      <c r="I139" s="25">
        <v>76</v>
      </c>
      <c r="J139" s="25">
        <v>35</v>
      </c>
      <c r="K139" s="24">
        <v>0.46052631578947367</v>
      </c>
      <c r="L139" s="24">
        <v>0.18148239349913814</v>
      </c>
      <c r="M139" s="24">
        <v>1</v>
      </c>
      <c r="N139" s="24">
        <v>0</v>
      </c>
      <c r="O139" s="23" t="s">
        <v>776</v>
      </c>
      <c r="P139" s="26">
        <v>0.54870393170811793</v>
      </c>
      <c r="Q139" s="23" t="s">
        <v>733</v>
      </c>
      <c r="R139" s="23" t="s">
        <v>376</v>
      </c>
      <c r="S139" s="23" t="s">
        <v>734</v>
      </c>
    </row>
    <row r="140" spans="1:19">
      <c r="A140" s="23" t="s">
        <v>98</v>
      </c>
      <c r="B140" s="23" t="s">
        <v>102</v>
      </c>
      <c r="C140" s="23" t="s">
        <v>579</v>
      </c>
      <c r="D140" s="23" t="s">
        <v>213</v>
      </c>
      <c r="E140" s="23" t="s">
        <v>218</v>
      </c>
      <c r="F140" s="23" t="s">
        <v>139</v>
      </c>
      <c r="G140" s="23" t="s">
        <v>840</v>
      </c>
      <c r="H140" s="23" t="s">
        <v>841</v>
      </c>
      <c r="I140" s="25">
        <v>76</v>
      </c>
      <c r="J140" s="25">
        <v>65</v>
      </c>
      <c r="K140" s="24">
        <v>0.85526315789473684</v>
      </c>
      <c r="L140" s="24">
        <v>1</v>
      </c>
      <c r="M140" s="24">
        <v>0</v>
      </c>
      <c r="N140" s="24">
        <v>1</v>
      </c>
      <c r="O140" s="23" t="s">
        <v>732</v>
      </c>
      <c r="P140" s="26">
        <v>0.9</v>
      </c>
      <c r="Q140" s="23" t="s">
        <v>733</v>
      </c>
      <c r="R140" s="23" t="s">
        <v>472</v>
      </c>
      <c r="S140" s="23" t="s">
        <v>734</v>
      </c>
    </row>
    <row r="141" spans="1:19">
      <c r="A141" s="23" t="s">
        <v>98</v>
      </c>
      <c r="B141" s="23" t="s">
        <v>99</v>
      </c>
      <c r="C141" s="23" t="s">
        <v>579</v>
      </c>
      <c r="D141" s="23" t="s">
        <v>213</v>
      </c>
      <c r="E141" s="23" t="s">
        <v>218</v>
      </c>
      <c r="F141" s="23" t="s">
        <v>139</v>
      </c>
      <c r="G141" s="23" t="s">
        <v>840</v>
      </c>
      <c r="H141" s="23" t="s">
        <v>841</v>
      </c>
      <c r="I141" s="25">
        <v>76</v>
      </c>
      <c r="J141" s="25">
        <v>65</v>
      </c>
      <c r="K141" s="24">
        <v>0.85526315789473684</v>
      </c>
      <c r="L141" s="24">
        <v>1</v>
      </c>
      <c r="M141" s="24">
        <v>0</v>
      </c>
      <c r="N141" s="24">
        <v>1</v>
      </c>
      <c r="O141" s="23" t="s">
        <v>732</v>
      </c>
      <c r="P141" s="26">
        <v>0.9</v>
      </c>
      <c r="Q141" s="23" t="s">
        <v>733</v>
      </c>
      <c r="R141" s="23" t="s">
        <v>462</v>
      </c>
      <c r="S141" s="23" t="s">
        <v>734</v>
      </c>
    </row>
    <row r="142" spans="1:19">
      <c r="A142" s="23" t="s">
        <v>59</v>
      </c>
      <c r="B142" s="23" t="s">
        <v>77</v>
      </c>
      <c r="C142" s="23" t="s">
        <v>579</v>
      </c>
      <c r="D142" s="23" t="s">
        <v>213</v>
      </c>
      <c r="E142" s="23" t="s">
        <v>221</v>
      </c>
      <c r="F142" s="23" t="s">
        <v>78</v>
      </c>
      <c r="G142" s="23" t="s">
        <v>757</v>
      </c>
      <c r="H142" s="23" t="s">
        <v>758</v>
      </c>
      <c r="I142" s="25">
        <v>27</v>
      </c>
      <c r="J142" s="25">
        <v>8</v>
      </c>
      <c r="K142" s="24">
        <v>0.29629629629629628</v>
      </c>
      <c r="L142" s="24">
        <v>2.6656341677711425E-3</v>
      </c>
      <c r="M142" s="24">
        <v>1</v>
      </c>
      <c r="N142" s="24">
        <v>0</v>
      </c>
      <c r="O142" s="23" t="s">
        <v>776</v>
      </c>
      <c r="P142" s="26">
        <v>0.42078986533206625</v>
      </c>
      <c r="Q142" s="23" t="s">
        <v>733</v>
      </c>
      <c r="R142" s="23" t="s">
        <v>430</v>
      </c>
      <c r="S142" s="23" t="s">
        <v>734</v>
      </c>
    </row>
    <row r="143" spans="1:19">
      <c r="A143" s="23" t="s">
        <v>98</v>
      </c>
      <c r="B143" s="23" t="s">
        <v>102</v>
      </c>
      <c r="C143" s="23" t="s">
        <v>579</v>
      </c>
      <c r="D143" s="23" t="s">
        <v>213</v>
      </c>
      <c r="E143" s="23" t="s">
        <v>221</v>
      </c>
      <c r="F143" s="23" t="s">
        <v>78</v>
      </c>
      <c r="G143" s="23" t="s">
        <v>842</v>
      </c>
      <c r="H143" s="23" t="s">
        <v>843</v>
      </c>
      <c r="I143" s="25">
        <v>27</v>
      </c>
      <c r="J143" s="25">
        <v>27</v>
      </c>
      <c r="K143" s="24">
        <v>1</v>
      </c>
      <c r="L143" s="24">
        <v>1</v>
      </c>
      <c r="M143" s="24">
        <v>0</v>
      </c>
      <c r="N143" s="24">
        <v>1</v>
      </c>
      <c r="O143" s="23" t="s">
        <v>732</v>
      </c>
      <c r="P143" s="26">
        <v>0.9</v>
      </c>
      <c r="Q143" s="23" t="s">
        <v>733</v>
      </c>
      <c r="R143" s="23" t="s">
        <v>472</v>
      </c>
      <c r="S143" s="23" t="s">
        <v>734</v>
      </c>
    </row>
    <row r="144" spans="1:19">
      <c r="A144" s="23" t="s">
        <v>98</v>
      </c>
      <c r="B144" s="23" t="s">
        <v>99</v>
      </c>
      <c r="C144" s="23" t="s">
        <v>579</v>
      </c>
      <c r="D144" s="23" t="s">
        <v>213</v>
      </c>
      <c r="E144" s="23" t="s">
        <v>221</v>
      </c>
      <c r="F144" s="23" t="s">
        <v>78</v>
      </c>
      <c r="G144" s="23" t="s">
        <v>842</v>
      </c>
      <c r="H144" s="23" t="s">
        <v>843</v>
      </c>
      <c r="I144" s="25">
        <v>27</v>
      </c>
      <c r="J144" s="25">
        <v>27</v>
      </c>
      <c r="K144" s="24">
        <v>1</v>
      </c>
      <c r="L144" s="24">
        <v>1</v>
      </c>
      <c r="M144" s="24">
        <v>0</v>
      </c>
      <c r="N144" s="24">
        <v>1</v>
      </c>
      <c r="O144" s="23" t="s">
        <v>732</v>
      </c>
      <c r="P144" s="26">
        <v>0.9</v>
      </c>
      <c r="Q144" s="23" t="s">
        <v>733</v>
      </c>
      <c r="R144" s="23" t="s">
        <v>462</v>
      </c>
      <c r="S144" s="23" t="s">
        <v>734</v>
      </c>
    </row>
    <row r="145" spans="1:19">
      <c r="A145" s="23" t="s">
        <v>104</v>
      </c>
      <c r="B145" s="23" t="s">
        <v>106</v>
      </c>
      <c r="C145" s="23" t="s">
        <v>579</v>
      </c>
      <c r="D145" s="23" t="s">
        <v>213</v>
      </c>
      <c r="E145" s="23" t="s">
        <v>221</v>
      </c>
      <c r="F145" s="23" t="s">
        <v>78</v>
      </c>
      <c r="G145" s="23" t="s">
        <v>842</v>
      </c>
      <c r="H145" s="23" t="s">
        <v>843</v>
      </c>
      <c r="I145" s="25">
        <v>27</v>
      </c>
      <c r="J145" s="25">
        <v>27</v>
      </c>
      <c r="K145" s="24">
        <v>1</v>
      </c>
      <c r="L145" s="24">
        <v>1</v>
      </c>
      <c r="M145" s="24">
        <v>0</v>
      </c>
      <c r="N145" s="24">
        <v>1</v>
      </c>
      <c r="O145" s="23" t="s">
        <v>732</v>
      </c>
      <c r="P145" s="26">
        <v>0.9</v>
      </c>
      <c r="Q145" s="23" t="s">
        <v>733</v>
      </c>
      <c r="R145" s="23" t="s">
        <v>477</v>
      </c>
      <c r="S145" s="23" t="s">
        <v>734</v>
      </c>
    </row>
    <row r="146" spans="1:19">
      <c r="A146" s="23" t="s">
        <v>104</v>
      </c>
      <c r="B146" s="23" t="s">
        <v>107</v>
      </c>
      <c r="C146" s="23" t="s">
        <v>579</v>
      </c>
      <c r="D146" s="23" t="s">
        <v>213</v>
      </c>
      <c r="E146" s="23" t="s">
        <v>221</v>
      </c>
      <c r="F146" s="23" t="s">
        <v>78</v>
      </c>
      <c r="G146" s="23" t="s">
        <v>842</v>
      </c>
      <c r="H146" s="23" t="s">
        <v>843</v>
      </c>
      <c r="I146" s="25">
        <v>27</v>
      </c>
      <c r="J146" s="25">
        <v>27</v>
      </c>
      <c r="K146" s="24">
        <v>1</v>
      </c>
      <c r="L146" s="24">
        <v>1</v>
      </c>
      <c r="M146" s="24">
        <v>0</v>
      </c>
      <c r="N146" s="24">
        <v>1</v>
      </c>
      <c r="O146" s="23" t="s">
        <v>732</v>
      </c>
      <c r="P146" s="26">
        <v>0.9</v>
      </c>
      <c r="Q146" s="23" t="s">
        <v>733</v>
      </c>
      <c r="R146" s="23" t="s">
        <v>480</v>
      </c>
      <c r="S146" s="23" t="s">
        <v>734</v>
      </c>
    </row>
    <row r="147" spans="1:19">
      <c r="A147" s="23" t="s">
        <v>36</v>
      </c>
      <c r="B147" s="23" t="s">
        <v>37</v>
      </c>
      <c r="C147" s="23" t="s">
        <v>23</v>
      </c>
      <c r="D147" s="23" t="s">
        <v>224</v>
      </c>
      <c r="E147" s="23" t="s">
        <v>728</v>
      </c>
      <c r="F147" s="23" t="s">
        <v>796</v>
      </c>
      <c r="G147" s="23" t="s">
        <v>844</v>
      </c>
      <c r="H147" s="23" t="s">
        <v>845</v>
      </c>
      <c r="I147" s="25">
        <v>229</v>
      </c>
      <c r="J147" s="25">
        <v>223</v>
      </c>
      <c r="K147" s="24">
        <v>0.97379912663755464</v>
      </c>
      <c r="L147" s="24">
        <v>1</v>
      </c>
      <c r="M147" s="24">
        <v>0.7142857142857143</v>
      </c>
      <c r="N147" s="24">
        <v>0</v>
      </c>
      <c r="O147" s="23" t="s">
        <v>732</v>
      </c>
      <c r="P147" s="26">
        <v>0.88714285714285723</v>
      </c>
      <c r="Q147" s="23" t="s">
        <v>733</v>
      </c>
      <c r="R147" s="23" t="s">
        <v>351</v>
      </c>
      <c r="S147" s="23" t="s">
        <v>734</v>
      </c>
    </row>
    <row r="148" spans="1:19">
      <c r="A148" s="23" t="s">
        <v>36</v>
      </c>
      <c r="B148" s="23" t="s">
        <v>45</v>
      </c>
      <c r="C148" s="23" t="s">
        <v>23</v>
      </c>
      <c r="D148" s="23" t="s">
        <v>224</v>
      </c>
      <c r="E148" s="23" t="s">
        <v>728</v>
      </c>
      <c r="F148" s="23" t="s">
        <v>796</v>
      </c>
      <c r="G148" s="23" t="s">
        <v>844</v>
      </c>
      <c r="H148" s="23" t="s">
        <v>845</v>
      </c>
      <c r="I148" s="25">
        <v>229</v>
      </c>
      <c r="J148" s="25">
        <v>223</v>
      </c>
      <c r="K148" s="24">
        <v>0.97379912663755464</v>
      </c>
      <c r="L148" s="24">
        <v>1</v>
      </c>
      <c r="M148" s="24">
        <v>0.7142857142857143</v>
      </c>
      <c r="N148" s="24">
        <v>0</v>
      </c>
      <c r="O148" s="23" t="s">
        <v>732</v>
      </c>
      <c r="P148" s="26">
        <v>0.88714285714285723</v>
      </c>
      <c r="Q148" s="23" t="s">
        <v>733</v>
      </c>
      <c r="R148" s="23" t="s">
        <v>369</v>
      </c>
      <c r="S148" s="23" t="s">
        <v>734</v>
      </c>
    </row>
    <row r="149" spans="1:19">
      <c r="A149" s="23" t="s">
        <v>49</v>
      </c>
      <c r="B149" s="23" t="s">
        <v>54</v>
      </c>
      <c r="C149" s="23" t="s">
        <v>23</v>
      </c>
      <c r="D149" s="23" t="s">
        <v>224</v>
      </c>
      <c r="E149" s="23" t="s">
        <v>728</v>
      </c>
      <c r="F149" s="23" t="s">
        <v>796</v>
      </c>
      <c r="G149" s="23" t="s">
        <v>844</v>
      </c>
      <c r="H149" s="23" t="s">
        <v>845</v>
      </c>
      <c r="I149" s="25">
        <v>229</v>
      </c>
      <c r="J149" s="25">
        <v>223</v>
      </c>
      <c r="K149" s="24">
        <v>0.97379912663755464</v>
      </c>
      <c r="L149" s="24">
        <v>1</v>
      </c>
      <c r="M149" s="24">
        <v>0.7142857142857143</v>
      </c>
      <c r="N149" s="24">
        <v>0</v>
      </c>
      <c r="O149" s="23" t="s">
        <v>732</v>
      </c>
      <c r="P149" s="26">
        <v>0.88714285714285723</v>
      </c>
      <c r="Q149" s="23" t="s">
        <v>733</v>
      </c>
      <c r="R149" s="23" t="s">
        <v>385</v>
      </c>
      <c r="S149" s="23" t="s">
        <v>734</v>
      </c>
    </row>
    <row r="150" spans="1:19">
      <c r="A150" s="23" t="s">
        <v>49</v>
      </c>
      <c r="B150" s="23" t="s">
        <v>56</v>
      </c>
      <c r="C150" s="23" t="s">
        <v>23</v>
      </c>
      <c r="D150" s="23" t="s">
        <v>224</v>
      </c>
      <c r="E150" s="23" t="s">
        <v>728</v>
      </c>
      <c r="F150" s="23" t="s">
        <v>796</v>
      </c>
      <c r="G150" s="23" t="s">
        <v>844</v>
      </c>
      <c r="H150" s="23" t="s">
        <v>845</v>
      </c>
      <c r="I150" s="25">
        <v>229</v>
      </c>
      <c r="J150" s="25">
        <v>223</v>
      </c>
      <c r="K150" s="24">
        <v>0.97379912663755464</v>
      </c>
      <c r="L150" s="24">
        <v>1</v>
      </c>
      <c r="M150" s="24">
        <v>0.7142857142857143</v>
      </c>
      <c r="N150" s="24">
        <v>0</v>
      </c>
      <c r="O150" s="23" t="s">
        <v>732</v>
      </c>
      <c r="P150" s="26">
        <v>0.88714285714285723</v>
      </c>
      <c r="Q150" s="23" t="s">
        <v>733</v>
      </c>
      <c r="R150" s="23" t="s">
        <v>392</v>
      </c>
      <c r="S150" s="23" t="s">
        <v>734</v>
      </c>
    </row>
    <row r="151" spans="1:19">
      <c r="A151" s="23" t="s">
        <v>59</v>
      </c>
      <c r="B151" s="23" t="s">
        <v>72</v>
      </c>
      <c r="C151" s="23" t="s">
        <v>23</v>
      </c>
      <c r="D151" s="23" t="s">
        <v>224</v>
      </c>
      <c r="E151" s="23" t="s">
        <v>728</v>
      </c>
      <c r="F151" s="23" t="s">
        <v>796</v>
      </c>
      <c r="G151" s="23" t="s">
        <v>844</v>
      </c>
      <c r="H151" s="23" t="s">
        <v>845</v>
      </c>
      <c r="I151" s="25">
        <v>229</v>
      </c>
      <c r="J151" s="25">
        <v>223</v>
      </c>
      <c r="K151" s="24">
        <v>0.97379912663755464</v>
      </c>
      <c r="L151" s="24">
        <v>1</v>
      </c>
      <c r="M151" s="24">
        <v>0.7142857142857143</v>
      </c>
      <c r="N151" s="24">
        <v>0</v>
      </c>
      <c r="O151" s="23" t="s">
        <v>732</v>
      </c>
      <c r="P151" s="26">
        <v>0.88714285714285723</v>
      </c>
      <c r="Q151" s="23" t="s">
        <v>733</v>
      </c>
      <c r="R151" s="23" t="s">
        <v>426</v>
      </c>
      <c r="S151" s="23" t="s">
        <v>734</v>
      </c>
    </row>
    <row r="152" spans="1:19">
      <c r="A152" s="23" t="s">
        <v>49</v>
      </c>
      <c r="B152" s="23" t="s">
        <v>55</v>
      </c>
      <c r="C152" s="23" t="s">
        <v>579</v>
      </c>
      <c r="D152" s="23" t="s">
        <v>224</v>
      </c>
      <c r="E152" s="23" t="s">
        <v>225</v>
      </c>
      <c r="F152" s="23" t="s">
        <v>81</v>
      </c>
      <c r="G152" s="23" t="s">
        <v>846</v>
      </c>
      <c r="H152" s="23" t="s">
        <v>847</v>
      </c>
      <c r="I152" s="25">
        <v>58</v>
      </c>
      <c r="J152" s="25">
        <v>54</v>
      </c>
      <c r="K152" s="24">
        <v>0.93103448275862066</v>
      </c>
      <c r="L152" s="24">
        <v>1</v>
      </c>
      <c r="M152" s="24">
        <v>0.88</v>
      </c>
      <c r="N152" s="24">
        <v>0</v>
      </c>
      <c r="O152" s="23" t="s">
        <v>732</v>
      </c>
      <c r="P152" s="26">
        <v>0.9</v>
      </c>
      <c r="Q152" s="23" t="s">
        <v>733</v>
      </c>
      <c r="R152" s="23" t="s">
        <v>389</v>
      </c>
      <c r="S152" s="23" t="s">
        <v>734</v>
      </c>
    </row>
    <row r="153" spans="1:19">
      <c r="A153" s="23" t="s">
        <v>98</v>
      </c>
      <c r="B153" s="23" t="s">
        <v>102</v>
      </c>
      <c r="C153" s="23" t="s">
        <v>579</v>
      </c>
      <c r="D153" s="23" t="s">
        <v>224</v>
      </c>
      <c r="E153" s="23" t="s">
        <v>225</v>
      </c>
      <c r="F153" s="23" t="s">
        <v>81</v>
      </c>
      <c r="G153" s="23" t="s">
        <v>844</v>
      </c>
      <c r="H153" s="23" t="s">
        <v>845</v>
      </c>
      <c r="I153" s="25">
        <v>58</v>
      </c>
      <c r="J153" s="25">
        <v>56</v>
      </c>
      <c r="K153" s="24">
        <v>0.96551724137931039</v>
      </c>
      <c r="L153" s="24">
        <v>9.0577377119553548E-2</v>
      </c>
      <c r="M153" s="24">
        <v>0</v>
      </c>
      <c r="N153" s="24">
        <v>1</v>
      </c>
      <c r="O153" s="23" t="s">
        <v>739</v>
      </c>
      <c r="P153" s="26">
        <v>0.6726443442798884</v>
      </c>
      <c r="Q153" s="23" t="s">
        <v>733</v>
      </c>
      <c r="R153" s="23" t="s">
        <v>472</v>
      </c>
      <c r="S153" s="23" t="s">
        <v>734</v>
      </c>
    </row>
    <row r="154" spans="1:19">
      <c r="A154" s="23" t="s">
        <v>59</v>
      </c>
      <c r="B154" s="23" t="s">
        <v>61</v>
      </c>
      <c r="C154" s="23" t="s">
        <v>579</v>
      </c>
      <c r="D154" s="23" t="s">
        <v>224</v>
      </c>
      <c r="E154" s="23" t="s">
        <v>227</v>
      </c>
      <c r="F154" s="23" t="s">
        <v>135</v>
      </c>
      <c r="G154" s="23" t="s">
        <v>844</v>
      </c>
      <c r="H154" s="23" t="s">
        <v>845</v>
      </c>
      <c r="I154" s="25">
        <v>196</v>
      </c>
      <c r="J154" s="25">
        <v>184</v>
      </c>
      <c r="K154" s="24">
        <v>0.93877551020408168</v>
      </c>
      <c r="L154" s="24">
        <v>0.64448037250210177</v>
      </c>
      <c r="M154" s="24">
        <v>0.73076923076923073</v>
      </c>
      <c r="N154" s="24">
        <v>0</v>
      </c>
      <c r="O154" s="23" t="s">
        <v>739</v>
      </c>
      <c r="P154" s="26">
        <v>0.80419701620244854</v>
      </c>
      <c r="Q154" s="23" t="s">
        <v>733</v>
      </c>
      <c r="R154" s="23" t="s">
        <v>404</v>
      </c>
      <c r="S154" s="23" t="s">
        <v>734</v>
      </c>
    </row>
    <row r="155" spans="1:19">
      <c r="A155" s="23" t="s">
        <v>98</v>
      </c>
      <c r="B155" s="23" t="s">
        <v>102</v>
      </c>
      <c r="C155" s="23" t="s">
        <v>579</v>
      </c>
      <c r="D155" s="23" t="s">
        <v>224</v>
      </c>
      <c r="E155" s="23" t="s">
        <v>227</v>
      </c>
      <c r="F155" s="23" t="s">
        <v>135</v>
      </c>
      <c r="G155" s="23" t="s">
        <v>848</v>
      </c>
      <c r="H155" s="23" t="s">
        <v>849</v>
      </c>
      <c r="I155" s="25">
        <v>196</v>
      </c>
      <c r="J155" s="25">
        <v>181</v>
      </c>
      <c r="K155" s="24">
        <v>0.92346938775510201</v>
      </c>
      <c r="L155" s="24">
        <v>1</v>
      </c>
      <c r="M155" s="24">
        <v>0</v>
      </c>
      <c r="N155" s="24">
        <v>1</v>
      </c>
      <c r="O155" s="23" t="s">
        <v>732</v>
      </c>
      <c r="P155" s="26">
        <v>0.9</v>
      </c>
      <c r="Q155" s="23" t="s">
        <v>733</v>
      </c>
      <c r="R155" s="23" t="s">
        <v>472</v>
      </c>
      <c r="S155" s="23" t="s">
        <v>734</v>
      </c>
    </row>
    <row r="156" spans="1:19">
      <c r="A156" s="23" t="s">
        <v>104</v>
      </c>
      <c r="B156" s="23" t="s">
        <v>106</v>
      </c>
      <c r="C156" s="23" t="s">
        <v>579</v>
      </c>
      <c r="D156" s="23" t="s">
        <v>224</v>
      </c>
      <c r="E156" s="23" t="s">
        <v>227</v>
      </c>
      <c r="F156" s="23" t="s">
        <v>135</v>
      </c>
      <c r="G156" s="23" t="s">
        <v>848</v>
      </c>
      <c r="H156" s="23" t="s">
        <v>849</v>
      </c>
      <c r="I156" s="25">
        <v>196</v>
      </c>
      <c r="J156" s="25">
        <v>181</v>
      </c>
      <c r="K156" s="24">
        <v>0.92346938775510201</v>
      </c>
      <c r="L156" s="24">
        <v>1</v>
      </c>
      <c r="M156" s="24">
        <v>0</v>
      </c>
      <c r="N156" s="24">
        <v>1</v>
      </c>
      <c r="O156" s="23" t="s">
        <v>732</v>
      </c>
      <c r="P156" s="26">
        <v>0.9</v>
      </c>
      <c r="Q156" s="23" t="s">
        <v>733</v>
      </c>
      <c r="R156" s="23" t="s">
        <v>477</v>
      </c>
      <c r="S156" s="23" t="s">
        <v>734</v>
      </c>
    </row>
    <row r="157" spans="1:19">
      <c r="A157" s="23" t="s">
        <v>49</v>
      </c>
      <c r="B157" s="23" t="s">
        <v>57</v>
      </c>
      <c r="C157" s="23" t="s">
        <v>579</v>
      </c>
      <c r="D157" s="23" t="s">
        <v>224</v>
      </c>
      <c r="E157" s="23" t="s">
        <v>230</v>
      </c>
      <c r="F157" s="23" t="s">
        <v>139</v>
      </c>
      <c r="G157" s="23" t="s">
        <v>844</v>
      </c>
      <c r="H157" s="23" t="s">
        <v>845</v>
      </c>
      <c r="I157" s="25">
        <v>65</v>
      </c>
      <c r="J157" s="25">
        <v>63</v>
      </c>
      <c r="K157" s="24">
        <v>0.96923076923076923</v>
      </c>
      <c r="L157" s="24">
        <v>0.18676841492595228</v>
      </c>
      <c r="M157" s="24">
        <v>0.7</v>
      </c>
      <c r="N157" s="24">
        <v>0</v>
      </c>
      <c r="O157" s="23" t="s">
        <v>739</v>
      </c>
      <c r="P157" s="26">
        <v>0.67869210373148814</v>
      </c>
      <c r="Q157" s="23" t="s">
        <v>733</v>
      </c>
      <c r="R157" s="23" t="s">
        <v>57</v>
      </c>
      <c r="S157" s="23" t="s">
        <v>734</v>
      </c>
    </row>
    <row r="158" spans="1:19">
      <c r="A158" s="23" t="s">
        <v>98</v>
      </c>
      <c r="B158" s="23" t="s">
        <v>102</v>
      </c>
      <c r="C158" s="23" t="s">
        <v>579</v>
      </c>
      <c r="D158" s="23" t="s">
        <v>224</v>
      </c>
      <c r="E158" s="23" t="s">
        <v>230</v>
      </c>
      <c r="F158" s="23" t="s">
        <v>139</v>
      </c>
      <c r="G158" s="23" t="s">
        <v>850</v>
      </c>
      <c r="H158" s="23" t="s">
        <v>851</v>
      </c>
      <c r="I158" s="25">
        <v>65</v>
      </c>
      <c r="J158" s="25">
        <v>59</v>
      </c>
      <c r="K158" s="24">
        <v>0.90769230769230769</v>
      </c>
      <c r="L158" s="24">
        <v>1</v>
      </c>
      <c r="M158" s="24">
        <v>0</v>
      </c>
      <c r="N158" s="24">
        <v>1</v>
      </c>
      <c r="O158" s="23" t="s">
        <v>732</v>
      </c>
      <c r="P158" s="26">
        <v>0.9</v>
      </c>
      <c r="Q158" s="23" t="s">
        <v>733</v>
      </c>
      <c r="R158" s="23" t="s">
        <v>472</v>
      </c>
      <c r="S158" s="23" t="s">
        <v>734</v>
      </c>
    </row>
    <row r="159" spans="1:19">
      <c r="A159" s="23" t="s">
        <v>98</v>
      </c>
      <c r="B159" s="23" t="s">
        <v>101</v>
      </c>
      <c r="C159" s="23" t="s">
        <v>579</v>
      </c>
      <c r="D159" s="23" t="s">
        <v>224</v>
      </c>
      <c r="E159" s="23" t="s">
        <v>230</v>
      </c>
      <c r="F159" s="23" t="s">
        <v>139</v>
      </c>
      <c r="G159" s="23" t="s">
        <v>850</v>
      </c>
      <c r="H159" s="23" t="s">
        <v>851</v>
      </c>
      <c r="I159" s="25">
        <v>65</v>
      </c>
      <c r="J159" s="25">
        <v>59</v>
      </c>
      <c r="K159" s="24">
        <v>0.90769230769230769</v>
      </c>
      <c r="L159" s="24">
        <v>1</v>
      </c>
      <c r="M159" s="24">
        <v>0</v>
      </c>
      <c r="N159" s="24">
        <v>1</v>
      </c>
      <c r="O159" s="23" t="s">
        <v>732</v>
      </c>
      <c r="P159" s="26">
        <v>0.9</v>
      </c>
      <c r="Q159" s="23" t="s">
        <v>733</v>
      </c>
      <c r="R159" s="23" t="s">
        <v>469</v>
      </c>
      <c r="S159" s="23" t="s">
        <v>734</v>
      </c>
    </row>
    <row r="160" spans="1:19">
      <c r="A160" s="23" t="s">
        <v>104</v>
      </c>
      <c r="B160" s="23" t="s">
        <v>107</v>
      </c>
      <c r="C160" s="23" t="s">
        <v>579</v>
      </c>
      <c r="D160" s="23" t="s">
        <v>224</v>
      </c>
      <c r="E160" s="23" t="s">
        <v>230</v>
      </c>
      <c r="F160" s="23" t="s">
        <v>139</v>
      </c>
      <c r="G160" s="23" t="s">
        <v>850</v>
      </c>
      <c r="H160" s="23" t="s">
        <v>851</v>
      </c>
      <c r="I160" s="25">
        <v>65</v>
      </c>
      <c r="J160" s="25">
        <v>59</v>
      </c>
      <c r="K160" s="24">
        <v>0.90769230769230769</v>
      </c>
      <c r="L160" s="24">
        <v>1</v>
      </c>
      <c r="M160" s="24">
        <v>0</v>
      </c>
      <c r="N160" s="24">
        <v>1</v>
      </c>
      <c r="O160" s="23" t="s">
        <v>732</v>
      </c>
      <c r="P160" s="26">
        <v>0.9</v>
      </c>
      <c r="Q160" s="23" t="s">
        <v>733</v>
      </c>
      <c r="R160" s="23" t="s">
        <v>480</v>
      </c>
      <c r="S160" s="23" t="s">
        <v>734</v>
      </c>
    </row>
    <row r="161" spans="1:19">
      <c r="A161" s="23" t="s">
        <v>59</v>
      </c>
      <c r="B161" s="23" t="s">
        <v>80</v>
      </c>
      <c r="C161" s="23" t="s">
        <v>579</v>
      </c>
      <c r="D161" s="23" t="s">
        <v>224</v>
      </c>
      <c r="E161" s="23" t="s">
        <v>233</v>
      </c>
      <c r="F161" s="23" t="s">
        <v>78</v>
      </c>
      <c r="G161" s="23" t="s">
        <v>844</v>
      </c>
      <c r="H161" s="23" t="s">
        <v>845</v>
      </c>
      <c r="I161" s="25">
        <v>33</v>
      </c>
      <c r="J161" s="25">
        <v>32</v>
      </c>
      <c r="K161" s="24">
        <v>0.96969696969696972</v>
      </c>
      <c r="L161" s="24">
        <v>4.7636293086723146E-2</v>
      </c>
      <c r="M161" s="24">
        <v>0.7</v>
      </c>
      <c r="N161" s="24">
        <v>0</v>
      </c>
      <c r="O161" s="23" t="s">
        <v>739</v>
      </c>
      <c r="P161" s="26">
        <v>0.64390907327168079</v>
      </c>
      <c r="Q161" s="23" t="s">
        <v>733</v>
      </c>
      <c r="R161" s="23" t="s">
        <v>434</v>
      </c>
      <c r="S161" s="23" t="s">
        <v>734</v>
      </c>
    </row>
    <row r="162" spans="1:19">
      <c r="A162" s="23" t="s">
        <v>59</v>
      </c>
      <c r="B162" s="23" t="s">
        <v>92</v>
      </c>
      <c r="C162" s="23" t="s">
        <v>579</v>
      </c>
      <c r="D162" s="23" t="s">
        <v>224</v>
      </c>
      <c r="E162" s="23" t="s">
        <v>233</v>
      </c>
      <c r="F162" s="23" t="s">
        <v>78</v>
      </c>
      <c r="G162" s="23" t="s">
        <v>844</v>
      </c>
      <c r="H162" s="23" t="s">
        <v>845</v>
      </c>
      <c r="I162" s="25">
        <v>33</v>
      </c>
      <c r="J162" s="25">
        <v>32</v>
      </c>
      <c r="K162" s="24">
        <v>0.96969696969696972</v>
      </c>
      <c r="L162" s="24">
        <v>4.7636293086723146E-2</v>
      </c>
      <c r="M162" s="24">
        <v>0.7</v>
      </c>
      <c r="N162" s="24">
        <v>0</v>
      </c>
      <c r="O162" s="23" t="s">
        <v>739</v>
      </c>
      <c r="P162" s="26">
        <v>0.64390907327168079</v>
      </c>
      <c r="Q162" s="23" t="s">
        <v>733</v>
      </c>
      <c r="R162" s="23" t="s">
        <v>447</v>
      </c>
      <c r="S162" s="23" t="s">
        <v>734</v>
      </c>
    </row>
    <row r="163" spans="1:19">
      <c r="A163" s="23" t="s">
        <v>104</v>
      </c>
      <c r="B163" s="23" t="s">
        <v>106</v>
      </c>
      <c r="C163" s="23" t="s">
        <v>579</v>
      </c>
      <c r="D163" s="23" t="s">
        <v>224</v>
      </c>
      <c r="E163" s="23" t="s">
        <v>233</v>
      </c>
      <c r="F163" s="23" t="s">
        <v>78</v>
      </c>
      <c r="G163" s="23" t="s">
        <v>852</v>
      </c>
      <c r="H163" s="23" t="s">
        <v>853</v>
      </c>
      <c r="I163" s="25">
        <v>33</v>
      </c>
      <c r="J163" s="25">
        <v>32</v>
      </c>
      <c r="K163" s="24">
        <v>0.96969696969696972</v>
      </c>
      <c r="L163" s="24">
        <v>1</v>
      </c>
      <c r="M163" s="24">
        <v>0</v>
      </c>
      <c r="N163" s="24">
        <v>1</v>
      </c>
      <c r="O163" s="23" t="s">
        <v>732</v>
      </c>
      <c r="P163" s="26">
        <v>0.9</v>
      </c>
      <c r="Q163" s="23" t="s">
        <v>733</v>
      </c>
      <c r="R163" s="23" t="s">
        <v>477</v>
      </c>
      <c r="S163" s="23" t="s">
        <v>734</v>
      </c>
    </row>
    <row r="164" spans="1:19">
      <c r="A164" s="23" t="s">
        <v>104</v>
      </c>
      <c r="B164" s="23" t="s">
        <v>107</v>
      </c>
      <c r="C164" s="23" t="s">
        <v>579</v>
      </c>
      <c r="D164" s="23" t="s">
        <v>224</v>
      </c>
      <c r="E164" s="23" t="s">
        <v>233</v>
      </c>
      <c r="F164" s="23" t="s">
        <v>78</v>
      </c>
      <c r="G164" s="23" t="s">
        <v>852</v>
      </c>
      <c r="H164" s="23" t="s">
        <v>853</v>
      </c>
      <c r="I164" s="25">
        <v>33</v>
      </c>
      <c r="J164" s="25">
        <v>32</v>
      </c>
      <c r="K164" s="24">
        <v>0.96969696969696972</v>
      </c>
      <c r="L164" s="24">
        <v>1</v>
      </c>
      <c r="M164" s="24">
        <v>0</v>
      </c>
      <c r="N164" s="24">
        <v>1</v>
      </c>
      <c r="O164" s="23" t="s">
        <v>732</v>
      </c>
      <c r="P164" s="26">
        <v>0.9</v>
      </c>
      <c r="Q164" s="23" t="s">
        <v>733</v>
      </c>
      <c r="R164" s="23" t="s">
        <v>480</v>
      </c>
      <c r="S164" s="23" t="s">
        <v>734</v>
      </c>
    </row>
    <row r="165" spans="1:19">
      <c r="A165" s="23" t="s">
        <v>104</v>
      </c>
      <c r="B165" s="23" t="s">
        <v>110</v>
      </c>
      <c r="C165" s="23" t="s">
        <v>579</v>
      </c>
      <c r="D165" s="23" t="s">
        <v>224</v>
      </c>
      <c r="E165" s="23" t="s">
        <v>233</v>
      </c>
      <c r="F165" s="23" t="s">
        <v>78</v>
      </c>
      <c r="G165" s="23" t="s">
        <v>852</v>
      </c>
      <c r="H165" s="23" t="s">
        <v>853</v>
      </c>
      <c r="I165" s="25">
        <v>33</v>
      </c>
      <c r="J165" s="25">
        <v>32</v>
      </c>
      <c r="K165" s="24">
        <v>0.96969696969696972</v>
      </c>
      <c r="L165" s="24">
        <v>1</v>
      </c>
      <c r="M165" s="24">
        <v>0</v>
      </c>
      <c r="N165" s="24">
        <v>1</v>
      </c>
      <c r="O165" s="23" t="s">
        <v>732</v>
      </c>
      <c r="P165" s="26">
        <v>0.9</v>
      </c>
      <c r="Q165" s="23" t="s">
        <v>733</v>
      </c>
      <c r="R165" s="23" t="s">
        <v>489</v>
      </c>
      <c r="S165" s="23" t="s">
        <v>734</v>
      </c>
    </row>
    <row r="166" spans="1:19">
      <c r="A166" s="23" t="s">
        <v>36</v>
      </c>
      <c r="B166" s="23" t="s">
        <v>37</v>
      </c>
      <c r="C166" s="23" t="s">
        <v>23</v>
      </c>
      <c r="D166" s="23" t="s">
        <v>236</v>
      </c>
      <c r="E166" s="23" t="s">
        <v>728</v>
      </c>
      <c r="F166" s="23" t="s">
        <v>809</v>
      </c>
      <c r="G166" s="23" t="s">
        <v>854</v>
      </c>
      <c r="H166" s="23" t="s">
        <v>855</v>
      </c>
      <c r="I166" s="25">
        <v>211</v>
      </c>
      <c r="J166" s="25">
        <v>175</v>
      </c>
      <c r="K166" s="24">
        <v>0.82938388625592419</v>
      </c>
      <c r="L166" s="24">
        <v>1</v>
      </c>
      <c r="M166" s="24">
        <v>0.92</v>
      </c>
      <c r="N166" s="24">
        <v>0</v>
      </c>
      <c r="O166" s="23" t="s">
        <v>732</v>
      </c>
      <c r="P166" s="26">
        <v>0.9</v>
      </c>
      <c r="Q166" s="23" t="s">
        <v>733</v>
      </c>
      <c r="R166" s="23" t="s">
        <v>351</v>
      </c>
      <c r="S166" s="23" t="s">
        <v>734</v>
      </c>
    </row>
    <row r="167" spans="1:19">
      <c r="A167" s="23" t="s">
        <v>36</v>
      </c>
      <c r="B167" s="23" t="s">
        <v>44</v>
      </c>
      <c r="C167" s="23" t="s">
        <v>23</v>
      </c>
      <c r="D167" s="23" t="s">
        <v>236</v>
      </c>
      <c r="E167" s="23" t="s">
        <v>728</v>
      </c>
      <c r="F167" s="23" t="s">
        <v>809</v>
      </c>
      <c r="G167" s="23" t="s">
        <v>854</v>
      </c>
      <c r="H167" s="23" t="s">
        <v>855</v>
      </c>
      <c r="I167" s="25">
        <v>211</v>
      </c>
      <c r="J167" s="25">
        <v>175</v>
      </c>
      <c r="K167" s="24">
        <v>0.82938388625592419</v>
      </c>
      <c r="L167" s="24">
        <v>1</v>
      </c>
      <c r="M167" s="24">
        <v>0.92</v>
      </c>
      <c r="N167" s="24">
        <v>0</v>
      </c>
      <c r="O167" s="23" t="s">
        <v>732</v>
      </c>
      <c r="P167" s="26">
        <v>0.9</v>
      </c>
      <c r="Q167" s="23" t="s">
        <v>733</v>
      </c>
      <c r="R167" s="23" t="s">
        <v>366</v>
      </c>
      <c r="S167" s="23" t="s">
        <v>734</v>
      </c>
    </row>
    <row r="168" spans="1:19">
      <c r="A168" s="23" t="s">
        <v>36</v>
      </c>
      <c r="B168" s="23" t="s">
        <v>47</v>
      </c>
      <c r="C168" s="23" t="s">
        <v>579</v>
      </c>
      <c r="D168" s="23" t="s">
        <v>236</v>
      </c>
      <c r="E168" s="23" t="s">
        <v>237</v>
      </c>
      <c r="F168" s="23" t="s">
        <v>135</v>
      </c>
      <c r="G168" s="23" t="s">
        <v>854</v>
      </c>
      <c r="H168" s="23" t="s">
        <v>855</v>
      </c>
      <c r="I168" s="25">
        <v>43</v>
      </c>
      <c r="J168" s="25">
        <v>17</v>
      </c>
      <c r="K168" s="24">
        <v>0.39534883720930231</v>
      </c>
      <c r="L168" s="24">
        <v>6.4196340503817978E-2</v>
      </c>
      <c r="M168" s="24">
        <v>0.84</v>
      </c>
      <c r="N168" s="24">
        <v>0</v>
      </c>
      <c r="O168" s="23" t="s">
        <v>776</v>
      </c>
      <c r="P168" s="26">
        <v>0.4863591626453343</v>
      </c>
      <c r="Q168" s="23" t="s">
        <v>733</v>
      </c>
      <c r="R168" s="23" t="s">
        <v>376</v>
      </c>
      <c r="S168" s="23" t="s">
        <v>734</v>
      </c>
    </row>
    <row r="169" spans="1:19">
      <c r="A169" s="23" t="s">
        <v>94</v>
      </c>
      <c r="B169" s="23" t="s">
        <v>97</v>
      </c>
      <c r="C169" s="23" t="s">
        <v>579</v>
      </c>
      <c r="D169" s="23" t="s">
        <v>236</v>
      </c>
      <c r="E169" s="23" t="s">
        <v>237</v>
      </c>
      <c r="F169" s="23" t="s">
        <v>135</v>
      </c>
      <c r="G169" s="23" t="s">
        <v>856</v>
      </c>
      <c r="H169" s="23" t="s">
        <v>857</v>
      </c>
      <c r="I169" s="25">
        <v>43</v>
      </c>
      <c r="J169" s="25">
        <v>42</v>
      </c>
      <c r="K169" s="24">
        <v>0.97674418604651159</v>
      </c>
      <c r="L169" s="24">
        <v>1</v>
      </c>
      <c r="M169" s="24">
        <v>0</v>
      </c>
      <c r="N169" s="24">
        <v>1</v>
      </c>
      <c r="O169" s="23" t="s">
        <v>732</v>
      </c>
      <c r="P169" s="26">
        <v>0.9</v>
      </c>
      <c r="Q169" s="23" t="s">
        <v>733</v>
      </c>
      <c r="R169" s="23" t="s">
        <v>459</v>
      </c>
      <c r="S169" s="23" t="s">
        <v>734</v>
      </c>
    </row>
    <row r="170" spans="1:19">
      <c r="A170" s="23" t="s">
        <v>59</v>
      </c>
      <c r="B170" s="23" t="s">
        <v>61</v>
      </c>
      <c r="C170" s="23" t="s">
        <v>579</v>
      </c>
      <c r="D170" s="23" t="s">
        <v>236</v>
      </c>
      <c r="E170" s="23" t="s">
        <v>239</v>
      </c>
      <c r="F170" s="23" t="s">
        <v>135</v>
      </c>
      <c r="G170" s="23" t="s">
        <v>854</v>
      </c>
      <c r="H170" s="23" t="s">
        <v>855</v>
      </c>
      <c r="I170" s="25">
        <v>169</v>
      </c>
      <c r="J170" s="25">
        <v>110</v>
      </c>
      <c r="K170" s="24">
        <v>0.65088757396449703</v>
      </c>
      <c r="L170" s="24">
        <v>0.64436280214117103</v>
      </c>
      <c r="M170" s="24">
        <v>0.92</v>
      </c>
      <c r="N170" s="24">
        <v>0</v>
      </c>
      <c r="O170" s="23" t="s">
        <v>739</v>
      </c>
      <c r="P170" s="26">
        <v>0.76087373801063796</v>
      </c>
      <c r="Q170" s="23" t="s">
        <v>733</v>
      </c>
      <c r="R170" s="23" t="s">
        <v>404</v>
      </c>
      <c r="S170" s="23" t="s">
        <v>734</v>
      </c>
    </row>
    <row r="171" spans="1:19">
      <c r="A171" s="23" t="s">
        <v>104</v>
      </c>
      <c r="B171" s="23" t="s">
        <v>105</v>
      </c>
      <c r="C171" s="23" t="s">
        <v>579</v>
      </c>
      <c r="D171" s="23" t="s">
        <v>236</v>
      </c>
      <c r="E171" s="23" t="s">
        <v>239</v>
      </c>
      <c r="F171" s="23" t="s">
        <v>135</v>
      </c>
      <c r="G171" s="23" t="s">
        <v>858</v>
      </c>
      <c r="H171" s="23" t="s">
        <v>859</v>
      </c>
      <c r="I171" s="25">
        <v>169</v>
      </c>
      <c r="J171" s="25">
        <v>156</v>
      </c>
      <c r="K171" s="24">
        <v>0.92307692307692313</v>
      </c>
      <c r="L171" s="24">
        <v>1</v>
      </c>
      <c r="M171" s="24">
        <v>0</v>
      </c>
      <c r="N171" s="24">
        <v>1</v>
      </c>
      <c r="O171" s="23" t="s">
        <v>732</v>
      </c>
      <c r="P171" s="26">
        <v>0.9</v>
      </c>
      <c r="Q171" s="23" t="s">
        <v>733</v>
      </c>
      <c r="R171" s="23" t="s">
        <v>105</v>
      </c>
      <c r="S171" s="23" t="s">
        <v>734</v>
      </c>
    </row>
    <row r="172" spans="1:19">
      <c r="A172" s="23" t="s">
        <v>36</v>
      </c>
      <c r="B172" s="23" t="s">
        <v>46</v>
      </c>
      <c r="C172" s="23" t="s">
        <v>579</v>
      </c>
      <c r="D172" s="23" t="s">
        <v>236</v>
      </c>
      <c r="E172" s="23" t="s">
        <v>241</v>
      </c>
      <c r="F172" s="23" t="s">
        <v>78</v>
      </c>
      <c r="G172" s="23" t="s">
        <v>860</v>
      </c>
      <c r="H172" s="23" t="s">
        <v>861</v>
      </c>
      <c r="I172" s="25">
        <v>73</v>
      </c>
      <c r="J172" s="25">
        <v>63</v>
      </c>
      <c r="K172" s="24">
        <v>0.86301369863013699</v>
      </c>
      <c r="L172" s="24">
        <v>1</v>
      </c>
      <c r="M172" s="24">
        <v>0.86363636363636365</v>
      </c>
      <c r="N172" s="24">
        <v>0</v>
      </c>
      <c r="O172" s="23" t="s">
        <v>732</v>
      </c>
      <c r="P172" s="26">
        <v>0.9</v>
      </c>
      <c r="Q172" s="23" t="s">
        <v>733</v>
      </c>
      <c r="R172" s="23" t="s">
        <v>373</v>
      </c>
      <c r="S172" s="23" t="s">
        <v>734</v>
      </c>
    </row>
    <row r="173" spans="1:19">
      <c r="A173" s="23" t="s">
        <v>59</v>
      </c>
      <c r="B173" s="23" t="s">
        <v>80</v>
      </c>
      <c r="C173" s="23" t="s">
        <v>579</v>
      </c>
      <c r="D173" s="23" t="s">
        <v>236</v>
      </c>
      <c r="E173" s="23" t="s">
        <v>241</v>
      </c>
      <c r="F173" s="23" t="s">
        <v>78</v>
      </c>
      <c r="G173" s="23" t="s">
        <v>860</v>
      </c>
      <c r="H173" s="23" t="s">
        <v>861</v>
      </c>
      <c r="I173" s="25">
        <v>73</v>
      </c>
      <c r="J173" s="25">
        <v>63</v>
      </c>
      <c r="K173" s="24">
        <v>0.86301369863013699</v>
      </c>
      <c r="L173" s="24">
        <v>1</v>
      </c>
      <c r="M173" s="24">
        <v>0.86363636363636365</v>
      </c>
      <c r="N173" s="24">
        <v>0</v>
      </c>
      <c r="O173" s="23" t="s">
        <v>732</v>
      </c>
      <c r="P173" s="26">
        <v>0.9</v>
      </c>
      <c r="Q173" s="23" t="s">
        <v>733</v>
      </c>
      <c r="R173" s="23" t="s">
        <v>434</v>
      </c>
      <c r="S173" s="23" t="s">
        <v>734</v>
      </c>
    </row>
    <row r="174" spans="1:19">
      <c r="A174" s="23" t="s">
        <v>59</v>
      </c>
      <c r="B174" s="23" t="s">
        <v>92</v>
      </c>
      <c r="C174" s="23" t="s">
        <v>579</v>
      </c>
      <c r="D174" s="23" t="s">
        <v>236</v>
      </c>
      <c r="E174" s="23" t="s">
        <v>241</v>
      </c>
      <c r="F174" s="23" t="s">
        <v>78</v>
      </c>
      <c r="G174" s="23" t="s">
        <v>860</v>
      </c>
      <c r="H174" s="23" t="s">
        <v>861</v>
      </c>
      <c r="I174" s="25">
        <v>73</v>
      </c>
      <c r="J174" s="25">
        <v>63</v>
      </c>
      <c r="K174" s="24">
        <v>0.86301369863013699</v>
      </c>
      <c r="L174" s="24">
        <v>1</v>
      </c>
      <c r="M174" s="24">
        <v>0.86363636363636365</v>
      </c>
      <c r="N174" s="24">
        <v>0</v>
      </c>
      <c r="O174" s="23" t="s">
        <v>732</v>
      </c>
      <c r="P174" s="26">
        <v>1</v>
      </c>
      <c r="Q174" s="23" t="s">
        <v>733</v>
      </c>
      <c r="R174" s="23" t="s">
        <v>447</v>
      </c>
      <c r="S174" s="23" t="s">
        <v>734</v>
      </c>
    </row>
    <row r="175" spans="1:19">
      <c r="A175" s="23" t="s">
        <v>104</v>
      </c>
      <c r="B175" s="23" t="s">
        <v>109</v>
      </c>
      <c r="C175" s="23" t="s">
        <v>579</v>
      </c>
      <c r="D175" s="23" t="s">
        <v>236</v>
      </c>
      <c r="E175" s="23" t="s">
        <v>241</v>
      </c>
      <c r="F175" s="23" t="s">
        <v>78</v>
      </c>
      <c r="G175" s="23" t="s">
        <v>862</v>
      </c>
      <c r="H175" s="23" t="s">
        <v>863</v>
      </c>
      <c r="I175" s="25">
        <v>73</v>
      </c>
      <c r="J175" s="25">
        <v>66</v>
      </c>
      <c r="K175" s="24">
        <v>0.90410958904109584</v>
      </c>
      <c r="L175" s="24">
        <v>1</v>
      </c>
      <c r="M175" s="24">
        <v>0</v>
      </c>
      <c r="N175" s="24">
        <v>0.98484848484848486</v>
      </c>
      <c r="O175" s="23" t="s">
        <v>732</v>
      </c>
      <c r="P175" s="26">
        <v>0.89590909090909099</v>
      </c>
      <c r="Q175" s="23" t="s">
        <v>733</v>
      </c>
      <c r="R175" s="23" t="s">
        <v>486</v>
      </c>
      <c r="S175" s="23" t="s">
        <v>734</v>
      </c>
    </row>
    <row r="176" spans="1:19">
      <c r="A176" s="23" t="s">
        <v>104</v>
      </c>
      <c r="B176" s="23" t="s">
        <v>107</v>
      </c>
      <c r="C176" s="23" t="s">
        <v>579</v>
      </c>
      <c r="D176" s="23" t="s">
        <v>236</v>
      </c>
      <c r="E176" s="23" t="s">
        <v>241</v>
      </c>
      <c r="F176" s="23" t="s">
        <v>78</v>
      </c>
      <c r="G176" s="23" t="s">
        <v>862</v>
      </c>
      <c r="H176" s="23" t="s">
        <v>863</v>
      </c>
      <c r="I176" s="25">
        <v>73</v>
      </c>
      <c r="J176" s="25">
        <v>66</v>
      </c>
      <c r="K176" s="24">
        <v>0.90410958904109584</v>
      </c>
      <c r="L176" s="24">
        <v>1</v>
      </c>
      <c r="M176" s="24">
        <v>0</v>
      </c>
      <c r="N176" s="24">
        <v>0.98484848484848486</v>
      </c>
      <c r="O176" s="23" t="s">
        <v>732</v>
      </c>
      <c r="P176" s="26">
        <v>0.89590909090909099</v>
      </c>
      <c r="Q176" s="23" t="s">
        <v>733</v>
      </c>
      <c r="R176" s="23" t="s">
        <v>480</v>
      </c>
      <c r="S176" s="23" t="s">
        <v>734</v>
      </c>
    </row>
    <row r="177" spans="1:19">
      <c r="A177" s="23" t="s">
        <v>36</v>
      </c>
      <c r="B177" s="23" t="s">
        <v>38</v>
      </c>
      <c r="C177" s="23" t="s">
        <v>23</v>
      </c>
      <c r="D177" s="23" t="s">
        <v>244</v>
      </c>
      <c r="E177" s="23" t="s">
        <v>728</v>
      </c>
      <c r="F177" s="23" t="s">
        <v>864</v>
      </c>
      <c r="G177" s="23" t="s">
        <v>865</v>
      </c>
      <c r="H177" s="23" t="s">
        <v>866</v>
      </c>
      <c r="I177" s="25">
        <v>231</v>
      </c>
      <c r="J177" s="25">
        <v>176</v>
      </c>
      <c r="K177" s="24">
        <v>0.76190476190476186</v>
      </c>
      <c r="L177" s="24">
        <v>1</v>
      </c>
      <c r="M177" s="24">
        <v>0.90692640692640691</v>
      </c>
      <c r="N177" s="24">
        <v>0</v>
      </c>
      <c r="O177" s="23" t="s">
        <v>732</v>
      </c>
      <c r="P177" s="26">
        <v>0.9</v>
      </c>
      <c r="Q177" s="23" t="s">
        <v>733</v>
      </c>
      <c r="R177" s="23" t="s">
        <v>356</v>
      </c>
      <c r="S177" s="23" t="s">
        <v>734</v>
      </c>
    </row>
    <row r="178" spans="1:19">
      <c r="A178" s="23" t="s">
        <v>59</v>
      </c>
      <c r="B178" s="23" t="s">
        <v>62</v>
      </c>
      <c r="C178" s="23" t="s">
        <v>23</v>
      </c>
      <c r="D178" s="23" t="s">
        <v>244</v>
      </c>
      <c r="E178" s="23" t="s">
        <v>728</v>
      </c>
      <c r="F178" s="23" t="s">
        <v>864</v>
      </c>
      <c r="G178" s="23" t="s">
        <v>865</v>
      </c>
      <c r="H178" s="23" t="s">
        <v>866</v>
      </c>
      <c r="I178" s="25">
        <v>231</v>
      </c>
      <c r="J178" s="25">
        <v>176</v>
      </c>
      <c r="K178" s="24">
        <v>0.76190476190476186</v>
      </c>
      <c r="L178" s="24">
        <v>1</v>
      </c>
      <c r="M178" s="24">
        <v>0.90692640692640691</v>
      </c>
      <c r="N178" s="24">
        <v>0</v>
      </c>
      <c r="O178" s="23" t="s">
        <v>732</v>
      </c>
      <c r="P178" s="26">
        <v>0.9</v>
      </c>
      <c r="Q178" s="23" t="s">
        <v>733</v>
      </c>
      <c r="R178" s="23" t="s">
        <v>407</v>
      </c>
      <c r="S178" s="23" t="s">
        <v>734</v>
      </c>
    </row>
    <row r="179" spans="1:19">
      <c r="A179" s="23" t="s">
        <v>36</v>
      </c>
      <c r="B179" s="23" t="s">
        <v>44</v>
      </c>
      <c r="C179" s="23" t="s">
        <v>23</v>
      </c>
      <c r="D179" s="23" t="s">
        <v>244</v>
      </c>
      <c r="E179" s="23" t="s">
        <v>728</v>
      </c>
      <c r="F179" s="23" t="s">
        <v>864</v>
      </c>
      <c r="G179" s="23" t="s">
        <v>865</v>
      </c>
      <c r="H179" s="23" t="s">
        <v>866</v>
      </c>
      <c r="I179" s="25">
        <v>231</v>
      </c>
      <c r="J179" s="25">
        <v>176</v>
      </c>
      <c r="K179" s="24">
        <v>0.76190476190476186</v>
      </c>
      <c r="L179" s="24">
        <v>1</v>
      </c>
      <c r="M179" s="24">
        <v>0.90692640692640691</v>
      </c>
      <c r="N179" s="24">
        <v>0</v>
      </c>
      <c r="O179" s="23" t="s">
        <v>732</v>
      </c>
      <c r="P179" s="26">
        <v>0.9</v>
      </c>
      <c r="Q179" s="23" t="s">
        <v>733</v>
      </c>
      <c r="R179" s="23" t="s">
        <v>366</v>
      </c>
      <c r="S179" s="23" t="s">
        <v>734</v>
      </c>
    </row>
    <row r="180" spans="1:19">
      <c r="A180" s="23" t="s">
        <v>49</v>
      </c>
      <c r="B180" s="23" t="s">
        <v>53</v>
      </c>
      <c r="C180" s="23" t="s">
        <v>23</v>
      </c>
      <c r="D180" s="23" t="s">
        <v>244</v>
      </c>
      <c r="E180" s="23" t="s">
        <v>728</v>
      </c>
      <c r="F180" s="23" t="s">
        <v>864</v>
      </c>
      <c r="G180" s="23" t="s">
        <v>865</v>
      </c>
      <c r="H180" s="23" t="s">
        <v>866</v>
      </c>
      <c r="I180" s="25">
        <v>231</v>
      </c>
      <c r="J180" s="25">
        <v>176</v>
      </c>
      <c r="K180" s="24">
        <v>0.76190476190476186</v>
      </c>
      <c r="L180" s="24">
        <v>1</v>
      </c>
      <c r="M180" s="24">
        <v>0.90692640692640691</v>
      </c>
      <c r="N180" s="24">
        <v>0</v>
      </c>
      <c r="O180" s="23" t="s">
        <v>732</v>
      </c>
      <c r="P180" s="26">
        <v>0.9</v>
      </c>
      <c r="Q180" s="23" t="s">
        <v>733</v>
      </c>
      <c r="R180" s="23" t="s">
        <v>382</v>
      </c>
      <c r="S180" s="23" t="s">
        <v>734</v>
      </c>
    </row>
    <row r="181" spans="1:19">
      <c r="A181" s="23" t="s">
        <v>59</v>
      </c>
      <c r="B181" s="23" t="s">
        <v>66</v>
      </c>
      <c r="C181" s="23" t="s">
        <v>23</v>
      </c>
      <c r="D181" s="23" t="s">
        <v>244</v>
      </c>
      <c r="E181" s="23" t="s">
        <v>728</v>
      </c>
      <c r="F181" s="23" t="s">
        <v>864</v>
      </c>
      <c r="G181" s="23" t="s">
        <v>865</v>
      </c>
      <c r="H181" s="23" t="s">
        <v>866</v>
      </c>
      <c r="I181" s="25">
        <v>231</v>
      </c>
      <c r="J181" s="25">
        <v>176</v>
      </c>
      <c r="K181" s="24">
        <v>0.76190476190476186</v>
      </c>
      <c r="L181" s="24">
        <v>1</v>
      </c>
      <c r="M181" s="24">
        <v>0.90692640692640691</v>
      </c>
      <c r="N181" s="24">
        <v>0</v>
      </c>
      <c r="O181" s="23" t="s">
        <v>732</v>
      </c>
      <c r="P181" s="26">
        <v>0.9</v>
      </c>
      <c r="Q181" s="23" t="s">
        <v>733</v>
      </c>
      <c r="R181" s="23" t="s">
        <v>417</v>
      </c>
      <c r="S181" s="23" t="s">
        <v>734</v>
      </c>
    </row>
    <row r="182" spans="1:19">
      <c r="A182" s="23" t="s">
        <v>59</v>
      </c>
      <c r="B182" s="23" t="s">
        <v>69</v>
      </c>
      <c r="C182" s="23" t="s">
        <v>23</v>
      </c>
      <c r="D182" s="23" t="s">
        <v>244</v>
      </c>
      <c r="E182" s="23" t="s">
        <v>728</v>
      </c>
      <c r="F182" s="23" t="s">
        <v>864</v>
      </c>
      <c r="G182" s="23" t="s">
        <v>865</v>
      </c>
      <c r="H182" s="23" t="s">
        <v>866</v>
      </c>
      <c r="I182" s="25">
        <v>231</v>
      </c>
      <c r="J182" s="25">
        <v>176</v>
      </c>
      <c r="K182" s="24">
        <v>0.76190476190476186</v>
      </c>
      <c r="L182" s="24">
        <v>1</v>
      </c>
      <c r="M182" s="24">
        <v>0.90692640692640691</v>
      </c>
      <c r="N182" s="24">
        <v>0</v>
      </c>
      <c r="O182" s="23" t="s">
        <v>732</v>
      </c>
      <c r="P182" s="26">
        <v>0.9</v>
      </c>
      <c r="Q182" s="23" t="s">
        <v>733</v>
      </c>
      <c r="R182" s="23" t="s">
        <v>423</v>
      </c>
      <c r="S182" s="23" t="s">
        <v>734</v>
      </c>
    </row>
    <row r="183" spans="1:19">
      <c r="A183" s="23" t="s">
        <v>36</v>
      </c>
      <c r="B183" s="23" t="s">
        <v>46</v>
      </c>
      <c r="C183" s="23" t="s">
        <v>579</v>
      </c>
      <c r="D183" s="23" t="s">
        <v>244</v>
      </c>
      <c r="E183" s="23" t="s">
        <v>245</v>
      </c>
      <c r="F183" s="23" t="s">
        <v>135</v>
      </c>
      <c r="G183" s="23" t="s">
        <v>867</v>
      </c>
      <c r="H183" s="23" t="s">
        <v>868</v>
      </c>
      <c r="I183" s="25">
        <v>77</v>
      </c>
      <c r="J183" s="25">
        <v>53</v>
      </c>
      <c r="K183" s="24">
        <v>0.68831168831168832</v>
      </c>
      <c r="L183" s="24">
        <v>0.32287414965986394</v>
      </c>
      <c r="M183" s="24">
        <v>0.73913043478260865</v>
      </c>
      <c r="N183" s="24">
        <v>0</v>
      </c>
      <c r="O183" s="23" t="s">
        <v>739</v>
      </c>
      <c r="P183" s="26">
        <v>0.69555008268129392</v>
      </c>
      <c r="Q183" s="23" t="s">
        <v>733</v>
      </c>
      <c r="R183" s="23" t="s">
        <v>373</v>
      </c>
      <c r="S183" s="23" t="s">
        <v>734</v>
      </c>
    </row>
    <row r="184" spans="1:19">
      <c r="A184" s="23" t="s">
        <v>94</v>
      </c>
      <c r="B184" s="23" t="s">
        <v>95</v>
      </c>
      <c r="C184" s="23" t="s">
        <v>579</v>
      </c>
      <c r="D184" s="23" t="s">
        <v>244</v>
      </c>
      <c r="E184" s="23" t="s">
        <v>245</v>
      </c>
      <c r="F184" s="23" t="s">
        <v>135</v>
      </c>
      <c r="G184" s="23" t="s">
        <v>869</v>
      </c>
      <c r="H184" s="23" t="s">
        <v>870</v>
      </c>
      <c r="I184" s="25">
        <v>77</v>
      </c>
      <c r="J184" s="25">
        <v>77</v>
      </c>
      <c r="K184" s="24">
        <v>1</v>
      </c>
      <c r="L184" s="24">
        <v>1</v>
      </c>
      <c r="M184" s="24">
        <v>0</v>
      </c>
      <c r="N184" s="24">
        <v>1</v>
      </c>
      <c r="O184" s="23" t="s">
        <v>732</v>
      </c>
      <c r="P184" s="26">
        <v>0.9</v>
      </c>
      <c r="Q184" s="23" t="s">
        <v>733</v>
      </c>
      <c r="R184" s="23" t="s">
        <v>453</v>
      </c>
      <c r="S184" s="23" t="s">
        <v>734</v>
      </c>
    </row>
    <row r="185" spans="1:19">
      <c r="A185" s="23" t="s">
        <v>94</v>
      </c>
      <c r="B185" s="23" t="s">
        <v>96</v>
      </c>
      <c r="C185" s="23" t="s">
        <v>579</v>
      </c>
      <c r="D185" s="23" t="s">
        <v>244</v>
      </c>
      <c r="E185" s="23" t="s">
        <v>245</v>
      </c>
      <c r="F185" s="23" t="s">
        <v>135</v>
      </c>
      <c r="G185" s="23" t="s">
        <v>869</v>
      </c>
      <c r="H185" s="23" t="s">
        <v>870</v>
      </c>
      <c r="I185" s="25">
        <v>77</v>
      </c>
      <c r="J185" s="25">
        <v>77</v>
      </c>
      <c r="K185" s="24">
        <v>1</v>
      </c>
      <c r="L185" s="24">
        <v>1</v>
      </c>
      <c r="M185" s="24">
        <v>0</v>
      </c>
      <c r="N185" s="24">
        <v>1</v>
      </c>
      <c r="O185" s="23" t="s">
        <v>732</v>
      </c>
      <c r="P185" s="26">
        <v>0.9</v>
      </c>
      <c r="Q185" s="23" t="s">
        <v>733</v>
      </c>
      <c r="R185" s="23" t="s">
        <v>456</v>
      </c>
      <c r="S185" s="23" t="s">
        <v>734</v>
      </c>
    </row>
    <row r="186" spans="1:19">
      <c r="A186" s="23" t="s">
        <v>49</v>
      </c>
      <c r="B186" s="23" t="s">
        <v>57</v>
      </c>
      <c r="C186" s="23" t="s">
        <v>579</v>
      </c>
      <c r="D186" s="23" t="s">
        <v>244</v>
      </c>
      <c r="E186" s="23" t="s">
        <v>248</v>
      </c>
      <c r="F186" s="23" t="s">
        <v>78</v>
      </c>
      <c r="G186" s="23" t="s">
        <v>865</v>
      </c>
      <c r="H186" s="23" t="s">
        <v>866</v>
      </c>
      <c r="I186" s="25">
        <v>42</v>
      </c>
      <c r="J186" s="25">
        <v>31</v>
      </c>
      <c r="K186" s="24">
        <v>0.73809523809523814</v>
      </c>
      <c r="L186" s="24">
        <v>9.5591299983838446E-2</v>
      </c>
      <c r="M186" s="24">
        <v>0.90909090909090906</v>
      </c>
      <c r="N186" s="24">
        <v>0</v>
      </c>
      <c r="O186" s="23" t="s">
        <v>739</v>
      </c>
      <c r="P186" s="26">
        <v>0.66786607896421368</v>
      </c>
      <c r="Q186" s="23" t="s">
        <v>733</v>
      </c>
      <c r="R186" s="23" t="s">
        <v>57</v>
      </c>
      <c r="S186" s="23" t="s">
        <v>734</v>
      </c>
    </row>
    <row r="187" spans="1:19">
      <c r="A187" s="23" t="s">
        <v>94</v>
      </c>
      <c r="B187" s="23" t="s">
        <v>95</v>
      </c>
      <c r="C187" s="23" t="s">
        <v>579</v>
      </c>
      <c r="D187" s="23" t="s">
        <v>244</v>
      </c>
      <c r="E187" s="23" t="s">
        <v>248</v>
      </c>
      <c r="F187" s="23" t="s">
        <v>78</v>
      </c>
      <c r="G187" s="23" t="s">
        <v>871</v>
      </c>
      <c r="H187" s="23" t="s">
        <v>872</v>
      </c>
      <c r="I187" s="25">
        <v>42</v>
      </c>
      <c r="J187" s="25">
        <v>42</v>
      </c>
      <c r="K187" s="24">
        <v>1</v>
      </c>
      <c r="L187" s="24">
        <v>1</v>
      </c>
      <c r="M187" s="24">
        <v>0</v>
      </c>
      <c r="N187" s="24">
        <v>1</v>
      </c>
      <c r="O187" s="23" t="s">
        <v>732</v>
      </c>
      <c r="P187" s="26">
        <v>0.9</v>
      </c>
      <c r="Q187" s="23" t="s">
        <v>733</v>
      </c>
      <c r="R187" s="23" t="s">
        <v>453</v>
      </c>
      <c r="S187" s="23" t="s">
        <v>734</v>
      </c>
    </row>
    <row r="188" spans="1:19">
      <c r="A188" s="23" t="s">
        <v>104</v>
      </c>
      <c r="B188" s="23" t="s">
        <v>106</v>
      </c>
      <c r="C188" s="23" t="s">
        <v>579</v>
      </c>
      <c r="D188" s="23" t="s">
        <v>244</v>
      </c>
      <c r="E188" s="23" t="s">
        <v>248</v>
      </c>
      <c r="F188" s="23" t="s">
        <v>78</v>
      </c>
      <c r="G188" s="23" t="s">
        <v>871</v>
      </c>
      <c r="H188" s="23" t="s">
        <v>872</v>
      </c>
      <c r="I188" s="25">
        <v>42</v>
      </c>
      <c r="J188" s="25">
        <v>42</v>
      </c>
      <c r="K188" s="24">
        <v>1</v>
      </c>
      <c r="L188" s="24">
        <v>1</v>
      </c>
      <c r="M188" s="24">
        <v>0</v>
      </c>
      <c r="N188" s="24">
        <v>1</v>
      </c>
      <c r="O188" s="23" t="s">
        <v>732</v>
      </c>
      <c r="P188" s="26">
        <v>0.9</v>
      </c>
      <c r="Q188" s="23" t="s">
        <v>733</v>
      </c>
      <c r="R188" s="23" t="s">
        <v>477</v>
      </c>
      <c r="S188" s="23" t="s">
        <v>734</v>
      </c>
    </row>
    <row r="189" spans="1:19">
      <c r="A189" s="23" t="s">
        <v>104</v>
      </c>
      <c r="B189" s="23" t="s">
        <v>107</v>
      </c>
      <c r="C189" s="23" t="s">
        <v>579</v>
      </c>
      <c r="D189" s="23" t="s">
        <v>244</v>
      </c>
      <c r="E189" s="23" t="s">
        <v>248</v>
      </c>
      <c r="F189" s="23" t="s">
        <v>78</v>
      </c>
      <c r="G189" s="23" t="s">
        <v>871</v>
      </c>
      <c r="H189" s="23" t="s">
        <v>872</v>
      </c>
      <c r="I189" s="25">
        <v>42</v>
      </c>
      <c r="J189" s="25">
        <v>42</v>
      </c>
      <c r="K189" s="24">
        <v>1</v>
      </c>
      <c r="L189" s="24">
        <v>1</v>
      </c>
      <c r="M189" s="24">
        <v>0</v>
      </c>
      <c r="N189" s="24">
        <v>1</v>
      </c>
      <c r="O189" s="23" t="s">
        <v>732</v>
      </c>
      <c r="P189" s="26">
        <v>0.9</v>
      </c>
      <c r="Q189" s="23" t="s">
        <v>733</v>
      </c>
      <c r="R189" s="23" t="s">
        <v>480</v>
      </c>
      <c r="S189" s="23" t="s">
        <v>734</v>
      </c>
    </row>
    <row r="190" spans="1:19">
      <c r="A190" s="23" t="s">
        <v>49</v>
      </c>
      <c r="B190" s="23" t="s">
        <v>55</v>
      </c>
      <c r="C190" s="23" t="s">
        <v>579</v>
      </c>
      <c r="D190" s="23" t="s">
        <v>244</v>
      </c>
      <c r="E190" s="23" t="s">
        <v>251</v>
      </c>
      <c r="F190" s="23" t="s">
        <v>139</v>
      </c>
      <c r="G190" s="23" t="s">
        <v>757</v>
      </c>
      <c r="H190" s="23" t="s">
        <v>758</v>
      </c>
      <c r="I190" s="25">
        <v>26</v>
      </c>
      <c r="J190" s="25">
        <v>19</v>
      </c>
      <c r="K190" s="24">
        <v>0.73076923076923073</v>
      </c>
      <c r="L190" s="24">
        <v>6.4928295930068054E-3</v>
      </c>
      <c r="M190" s="24">
        <v>1</v>
      </c>
      <c r="N190" s="24">
        <v>0</v>
      </c>
      <c r="O190" s="23" t="s">
        <v>739</v>
      </c>
      <c r="P190" s="26">
        <v>0.64187961765466195</v>
      </c>
      <c r="Q190" s="23" t="s">
        <v>733</v>
      </c>
      <c r="R190" s="23" t="s">
        <v>389</v>
      </c>
      <c r="S190" s="23" t="s">
        <v>734</v>
      </c>
    </row>
    <row r="191" spans="1:19">
      <c r="A191" s="23" t="s">
        <v>98</v>
      </c>
      <c r="B191" s="23" t="s">
        <v>101</v>
      </c>
      <c r="C191" s="23" t="s">
        <v>579</v>
      </c>
      <c r="D191" s="23" t="s">
        <v>244</v>
      </c>
      <c r="E191" s="23" t="s">
        <v>251</v>
      </c>
      <c r="F191" s="23" t="s">
        <v>139</v>
      </c>
      <c r="G191" s="23" t="s">
        <v>873</v>
      </c>
      <c r="H191" s="23" t="s">
        <v>874</v>
      </c>
      <c r="I191" s="25">
        <v>26</v>
      </c>
      <c r="J191" s="25">
        <v>23</v>
      </c>
      <c r="K191" s="24">
        <v>0.88461538461538458</v>
      </c>
      <c r="L191" s="24">
        <v>1</v>
      </c>
      <c r="M191" s="24">
        <v>0</v>
      </c>
      <c r="N191" s="24">
        <v>1</v>
      </c>
      <c r="O191" s="23" t="s">
        <v>732</v>
      </c>
      <c r="P191" s="26">
        <v>0.9</v>
      </c>
      <c r="Q191" s="23" t="s">
        <v>733</v>
      </c>
      <c r="R191" s="23" t="s">
        <v>469</v>
      </c>
      <c r="S191" s="23" t="s">
        <v>734</v>
      </c>
    </row>
    <row r="192" spans="1:19">
      <c r="A192" s="23" t="s">
        <v>98</v>
      </c>
      <c r="B192" s="23" t="s">
        <v>100</v>
      </c>
      <c r="C192" s="23" t="s">
        <v>579</v>
      </c>
      <c r="D192" s="23" t="s">
        <v>244</v>
      </c>
      <c r="E192" s="23" t="s">
        <v>251</v>
      </c>
      <c r="F192" s="23" t="s">
        <v>139</v>
      </c>
      <c r="G192" s="23" t="s">
        <v>873</v>
      </c>
      <c r="H192" s="23" t="s">
        <v>874</v>
      </c>
      <c r="I192" s="25">
        <v>26</v>
      </c>
      <c r="J192" s="25">
        <v>23</v>
      </c>
      <c r="K192" s="24">
        <v>0.88461538461538458</v>
      </c>
      <c r="L192" s="24">
        <v>1</v>
      </c>
      <c r="M192" s="24">
        <v>0</v>
      </c>
      <c r="N192" s="24">
        <v>1</v>
      </c>
      <c r="O192" s="23" t="s">
        <v>732</v>
      </c>
      <c r="P192" s="26">
        <v>0.9</v>
      </c>
      <c r="Q192" s="23" t="s">
        <v>733</v>
      </c>
      <c r="R192" s="23" t="s">
        <v>466</v>
      </c>
      <c r="S192" s="23" t="s">
        <v>734</v>
      </c>
    </row>
    <row r="193" spans="1:19">
      <c r="A193" s="23" t="s">
        <v>104</v>
      </c>
      <c r="B193" s="23" t="s">
        <v>107</v>
      </c>
      <c r="C193" s="23" t="s">
        <v>579</v>
      </c>
      <c r="D193" s="23" t="s">
        <v>244</v>
      </c>
      <c r="E193" s="23" t="s">
        <v>251</v>
      </c>
      <c r="F193" s="23" t="s">
        <v>139</v>
      </c>
      <c r="G193" s="23" t="s">
        <v>873</v>
      </c>
      <c r="H193" s="23" t="s">
        <v>874</v>
      </c>
      <c r="I193" s="25">
        <v>26</v>
      </c>
      <c r="J193" s="25">
        <v>23</v>
      </c>
      <c r="K193" s="24">
        <v>0.88461538461538458</v>
      </c>
      <c r="L193" s="24">
        <v>1</v>
      </c>
      <c r="M193" s="24">
        <v>0</v>
      </c>
      <c r="N193" s="24">
        <v>1</v>
      </c>
      <c r="O193" s="23" t="s">
        <v>732</v>
      </c>
      <c r="P193" s="26">
        <v>0.9</v>
      </c>
      <c r="Q193" s="23" t="s">
        <v>733</v>
      </c>
      <c r="R193" s="23" t="s">
        <v>480</v>
      </c>
      <c r="S193" s="23" t="s">
        <v>734</v>
      </c>
    </row>
    <row r="194" spans="1:19">
      <c r="A194" s="23" t="s">
        <v>59</v>
      </c>
      <c r="B194" s="23" t="s">
        <v>80</v>
      </c>
      <c r="C194" s="23" t="s">
        <v>579</v>
      </c>
      <c r="D194" s="23" t="s">
        <v>244</v>
      </c>
      <c r="E194" s="23" t="s">
        <v>254</v>
      </c>
      <c r="F194" s="23" t="s">
        <v>84</v>
      </c>
      <c r="G194" s="23" t="s">
        <v>875</v>
      </c>
      <c r="H194" s="23" t="s">
        <v>876</v>
      </c>
      <c r="I194" s="25">
        <v>174</v>
      </c>
      <c r="J194" s="25">
        <v>147</v>
      </c>
      <c r="K194" s="24">
        <v>0.84482758620689657</v>
      </c>
      <c r="L194" s="24">
        <v>1</v>
      </c>
      <c r="M194" s="24">
        <v>0.96153846153846156</v>
      </c>
      <c r="N194" s="24">
        <v>1.3605442176870748E-2</v>
      </c>
      <c r="O194" s="23" t="s">
        <v>732</v>
      </c>
      <c r="P194" s="26">
        <v>0.9</v>
      </c>
      <c r="Q194" s="23" t="s">
        <v>733</v>
      </c>
      <c r="R194" s="23" t="s">
        <v>434</v>
      </c>
      <c r="S194" s="23" t="s">
        <v>734</v>
      </c>
    </row>
    <row r="195" spans="1:19">
      <c r="A195" s="23" t="s">
        <v>59</v>
      </c>
      <c r="B195" s="23" t="s">
        <v>91</v>
      </c>
      <c r="C195" s="23" t="s">
        <v>579</v>
      </c>
      <c r="D195" s="23" t="s">
        <v>244</v>
      </c>
      <c r="E195" s="23" t="s">
        <v>254</v>
      </c>
      <c r="F195" s="23" t="s">
        <v>84</v>
      </c>
      <c r="G195" s="23" t="s">
        <v>875</v>
      </c>
      <c r="H195" s="23" t="s">
        <v>876</v>
      </c>
      <c r="I195" s="25">
        <v>174</v>
      </c>
      <c r="J195" s="25">
        <v>147</v>
      </c>
      <c r="K195" s="24">
        <v>0.84482758620689657</v>
      </c>
      <c r="L195" s="24">
        <v>1</v>
      </c>
      <c r="M195" s="24">
        <v>0.96153846153846156</v>
      </c>
      <c r="N195" s="24">
        <v>1.3605442176870748E-2</v>
      </c>
      <c r="O195" s="23" t="s">
        <v>732</v>
      </c>
      <c r="P195" s="26">
        <v>0.9</v>
      </c>
      <c r="Q195" s="23" t="s">
        <v>733</v>
      </c>
      <c r="R195" s="23" t="s">
        <v>444</v>
      </c>
      <c r="S195" s="23" t="s">
        <v>734</v>
      </c>
    </row>
    <row r="196" spans="1:19">
      <c r="A196" s="23" t="s">
        <v>59</v>
      </c>
      <c r="B196" s="23" t="s">
        <v>93</v>
      </c>
      <c r="C196" s="23" t="s">
        <v>579</v>
      </c>
      <c r="D196" s="23" t="s">
        <v>244</v>
      </c>
      <c r="E196" s="23" t="s">
        <v>254</v>
      </c>
      <c r="F196" s="23" t="s">
        <v>84</v>
      </c>
      <c r="G196" s="23" t="s">
        <v>875</v>
      </c>
      <c r="H196" s="23" t="s">
        <v>876</v>
      </c>
      <c r="I196" s="25">
        <v>174</v>
      </c>
      <c r="J196" s="25">
        <v>147</v>
      </c>
      <c r="K196" s="24">
        <v>0.84482758620689657</v>
      </c>
      <c r="L196" s="24">
        <v>1</v>
      </c>
      <c r="M196" s="24">
        <v>0.96153846153846156</v>
      </c>
      <c r="N196" s="24">
        <v>1.3605442176870748E-2</v>
      </c>
      <c r="O196" s="23" t="s">
        <v>732</v>
      </c>
      <c r="P196" s="26">
        <v>0.9</v>
      </c>
      <c r="Q196" s="23" t="s">
        <v>733</v>
      </c>
      <c r="R196" s="23" t="s">
        <v>450</v>
      </c>
      <c r="S196" s="23" t="s">
        <v>734</v>
      </c>
    </row>
    <row r="197" spans="1:19">
      <c r="A197" s="23" t="s">
        <v>94</v>
      </c>
      <c r="B197" s="23" t="s">
        <v>97</v>
      </c>
      <c r="C197" s="23" t="s">
        <v>579</v>
      </c>
      <c r="D197" s="23" t="s">
        <v>244</v>
      </c>
      <c r="E197" s="23" t="s">
        <v>254</v>
      </c>
      <c r="F197" s="23" t="s">
        <v>84</v>
      </c>
      <c r="G197" s="23" t="s">
        <v>877</v>
      </c>
      <c r="H197" s="23" t="s">
        <v>878</v>
      </c>
      <c r="I197" s="25">
        <v>174</v>
      </c>
      <c r="J197" s="25">
        <v>146</v>
      </c>
      <c r="K197" s="24">
        <v>0.83908045977011492</v>
      </c>
      <c r="L197" s="24">
        <v>1</v>
      </c>
      <c r="M197" s="24">
        <v>0</v>
      </c>
      <c r="N197" s="24">
        <v>1</v>
      </c>
      <c r="O197" s="23" t="s">
        <v>732</v>
      </c>
      <c r="P197" s="26">
        <v>0.9</v>
      </c>
      <c r="Q197" s="23" t="s">
        <v>733</v>
      </c>
      <c r="R197" s="23" t="s">
        <v>459</v>
      </c>
      <c r="S197" s="23" t="s">
        <v>734</v>
      </c>
    </row>
    <row r="198" spans="1:19">
      <c r="A198" s="23" t="s">
        <v>36</v>
      </c>
      <c r="B198" s="23" t="s">
        <v>42</v>
      </c>
      <c r="C198" s="23" t="s">
        <v>23</v>
      </c>
      <c r="D198" s="23" t="s">
        <v>256</v>
      </c>
      <c r="E198" s="23" t="s">
        <v>728</v>
      </c>
      <c r="F198" s="23" t="s">
        <v>864</v>
      </c>
      <c r="G198" s="23" t="s">
        <v>879</v>
      </c>
      <c r="H198" s="23" t="s">
        <v>880</v>
      </c>
      <c r="I198" s="25">
        <v>185</v>
      </c>
      <c r="J198" s="25">
        <v>132</v>
      </c>
      <c r="K198" s="24">
        <v>0.71351351351351355</v>
      </c>
      <c r="L198" s="24">
        <v>1</v>
      </c>
      <c r="M198" s="24">
        <v>0.95454545454545459</v>
      </c>
      <c r="N198" s="24">
        <v>0</v>
      </c>
      <c r="O198" s="23" t="s">
        <v>732</v>
      </c>
      <c r="P198" s="26">
        <v>0.88151351351351348</v>
      </c>
      <c r="Q198" s="23" t="s">
        <v>733</v>
      </c>
      <c r="R198" s="23" t="s">
        <v>360</v>
      </c>
      <c r="S198" s="23" t="s">
        <v>734</v>
      </c>
    </row>
    <row r="199" spans="1:19">
      <c r="A199" s="23" t="s">
        <v>59</v>
      </c>
      <c r="B199" s="23" t="s">
        <v>83</v>
      </c>
      <c r="C199" s="23" t="s">
        <v>23</v>
      </c>
      <c r="D199" s="23" t="s">
        <v>256</v>
      </c>
      <c r="E199" s="23" t="s">
        <v>728</v>
      </c>
      <c r="F199" s="23" t="s">
        <v>864</v>
      </c>
      <c r="G199" s="23" t="s">
        <v>879</v>
      </c>
      <c r="H199" s="23" t="s">
        <v>880</v>
      </c>
      <c r="I199" s="25">
        <v>185</v>
      </c>
      <c r="J199" s="25">
        <v>132</v>
      </c>
      <c r="K199" s="24">
        <v>0.71351351351351355</v>
      </c>
      <c r="L199" s="24">
        <v>1</v>
      </c>
      <c r="M199" s="24">
        <v>0.95454545454545459</v>
      </c>
      <c r="N199" s="24">
        <v>0</v>
      </c>
      <c r="O199" s="23" t="s">
        <v>732</v>
      </c>
      <c r="P199" s="26">
        <v>0.88151351351351348</v>
      </c>
      <c r="Q199" s="23" t="s">
        <v>733</v>
      </c>
      <c r="R199" s="23" t="s">
        <v>83</v>
      </c>
      <c r="S199" s="23" t="s">
        <v>734</v>
      </c>
    </row>
    <row r="200" spans="1:19">
      <c r="A200" s="23" t="s">
        <v>49</v>
      </c>
      <c r="B200" s="23" t="s">
        <v>55</v>
      </c>
      <c r="C200" s="23" t="s">
        <v>579</v>
      </c>
      <c r="D200" s="23" t="s">
        <v>256</v>
      </c>
      <c r="E200" s="23" t="s">
        <v>257</v>
      </c>
      <c r="F200" s="23" t="s">
        <v>139</v>
      </c>
      <c r="G200" s="23" t="s">
        <v>881</v>
      </c>
      <c r="H200" s="23" t="s">
        <v>882</v>
      </c>
      <c r="I200" s="25">
        <v>33</v>
      </c>
      <c r="J200" s="25">
        <v>21</v>
      </c>
      <c r="K200" s="24">
        <v>0.63636363636363635</v>
      </c>
      <c r="L200" s="24">
        <v>0.16661407384032817</v>
      </c>
      <c r="M200" s="24">
        <v>0.96296296296296291</v>
      </c>
      <c r="N200" s="24">
        <v>0</v>
      </c>
      <c r="O200" s="23" t="s">
        <v>739</v>
      </c>
      <c r="P200" s="26">
        <v>0.63407776088432444</v>
      </c>
      <c r="Q200" s="23" t="s">
        <v>733</v>
      </c>
      <c r="R200" s="23" t="s">
        <v>389</v>
      </c>
      <c r="S200" s="23" t="s">
        <v>734</v>
      </c>
    </row>
    <row r="201" spans="1:19">
      <c r="A201" s="23" t="s">
        <v>98</v>
      </c>
      <c r="B201" s="23" t="s">
        <v>100</v>
      </c>
      <c r="C201" s="23" t="s">
        <v>579</v>
      </c>
      <c r="D201" s="23" t="s">
        <v>256</v>
      </c>
      <c r="E201" s="23" t="s">
        <v>257</v>
      </c>
      <c r="F201" s="23" t="s">
        <v>139</v>
      </c>
      <c r="G201" s="23" t="s">
        <v>883</v>
      </c>
      <c r="H201" s="23" t="s">
        <v>884</v>
      </c>
      <c r="I201" s="25">
        <v>33</v>
      </c>
      <c r="J201" s="25">
        <v>33</v>
      </c>
      <c r="K201" s="24">
        <v>1</v>
      </c>
      <c r="L201" s="24">
        <v>1</v>
      </c>
      <c r="M201" s="24">
        <v>0</v>
      </c>
      <c r="N201" s="24">
        <v>1</v>
      </c>
      <c r="O201" s="23" t="s">
        <v>732</v>
      </c>
      <c r="P201" s="26">
        <v>0.9</v>
      </c>
      <c r="Q201" s="23" t="s">
        <v>733</v>
      </c>
      <c r="R201" s="23" t="s">
        <v>466</v>
      </c>
      <c r="S201" s="23" t="s">
        <v>734</v>
      </c>
    </row>
    <row r="202" spans="1:19">
      <c r="A202" s="23" t="s">
        <v>94</v>
      </c>
      <c r="B202" s="23" t="s">
        <v>96</v>
      </c>
      <c r="C202" s="23" t="s">
        <v>579</v>
      </c>
      <c r="D202" s="23" t="s">
        <v>256</v>
      </c>
      <c r="E202" s="23" t="s">
        <v>257</v>
      </c>
      <c r="F202" s="23" t="s">
        <v>139</v>
      </c>
      <c r="G202" s="23" t="s">
        <v>883</v>
      </c>
      <c r="H202" s="23" t="s">
        <v>884</v>
      </c>
      <c r="I202" s="25">
        <v>33</v>
      </c>
      <c r="J202" s="25">
        <v>33</v>
      </c>
      <c r="K202" s="24">
        <v>1</v>
      </c>
      <c r="L202" s="24">
        <v>1</v>
      </c>
      <c r="M202" s="24">
        <v>0</v>
      </c>
      <c r="N202" s="24">
        <v>1</v>
      </c>
      <c r="O202" s="23" t="s">
        <v>732</v>
      </c>
      <c r="P202" s="26">
        <v>0.9</v>
      </c>
      <c r="Q202" s="23" t="s">
        <v>733</v>
      </c>
      <c r="R202" s="23" t="s">
        <v>456</v>
      </c>
      <c r="S202" s="23" t="s">
        <v>734</v>
      </c>
    </row>
    <row r="203" spans="1:19">
      <c r="A203" s="23" t="s">
        <v>104</v>
      </c>
      <c r="B203" s="23" t="s">
        <v>106</v>
      </c>
      <c r="C203" s="23" t="s">
        <v>579</v>
      </c>
      <c r="D203" s="23" t="s">
        <v>256</v>
      </c>
      <c r="E203" s="23" t="s">
        <v>257</v>
      </c>
      <c r="F203" s="23" t="s">
        <v>139</v>
      </c>
      <c r="G203" s="23" t="s">
        <v>883</v>
      </c>
      <c r="H203" s="23" t="s">
        <v>884</v>
      </c>
      <c r="I203" s="25">
        <v>33</v>
      </c>
      <c r="J203" s="25">
        <v>33</v>
      </c>
      <c r="K203" s="24">
        <v>1</v>
      </c>
      <c r="L203" s="24">
        <v>1</v>
      </c>
      <c r="M203" s="24">
        <v>0</v>
      </c>
      <c r="N203" s="24">
        <v>1</v>
      </c>
      <c r="O203" s="23" t="s">
        <v>732</v>
      </c>
      <c r="P203" s="26">
        <v>0.9</v>
      </c>
      <c r="Q203" s="23" t="s">
        <v>733</v>
      </c>
      <c r="R203" s="23" t="s">
        <v>477</v>
      </c>
      <c r="S203" s="23" t="s">
        <v>734</v>
      </c>
    </row>
    <row r="204" spans="1:19">
      <c r="A204" s="23" t="s">
        <v>59</v>
      </c>
      <c r="B204" s="23" t="s">
        <v>91</v>
      </c>
      <c r="C204" s="23" t="s">
        <v>579</v>
      </c>
      <c r="D204" s="23" t="s">
        <v>256</v>
      </c>
      <c r="E204" s="23" t="s">
        <v>260</v>
      </c>
      <c r="F204" s="23" t="s">
        <v>84</v>
      </c>
      <c r="G204" s="23" t="s">
        <v>885</v>
      </c>
      <c r="H204" s="23" t="s">
        <v>886</v>
      </c>
      <c r="I204" s="25">
        <v>112</v>
      </c>
      <c r="J204" s="25">
        <v>106</v>
      </c>
      <c r="K204" s="24">
        <v>0.9464285714285714</v>
      </c>
      <c r="L204" s="24">
        <v>1</v>
      </c>
      <c r="M204" s="24">
        <v>0.76556776556776551</v>
      </c>
      <c r="N204" s="24">
        <v>0</v>
      </c>
      <c r="O204" s="23" t="s">
        <v>732</v>
      </c>
      <c r="P204" s="26">
        <v>0.9</v>
      </c>
      <c r="Q204" s="23" t="s">
        <v>733</v>
      </c>
      <c r="R204" s="23" t="s">
        <v>444</v>
      </c>
      <c r="S204" s="23" t="s">
        <v>734</v>
      </c>
    </row>
    <row r="205" spans="1:19">
      <c r="A205" s="23" t="s">
        <v>59</v>
      </c>
      <c r="B205" s="23" t="s">
        <v>93</v>
      </c>
      <c r="C205" s="23" t="s">
        <v>579</v>
      </c>
      <c r="D205" s="23" t="s">
        <v>256</v>
      </c>
      <c r="E205" s="23" t="s">
        <v>260</v>
      </c>
      <c r="F205" s="23" t="s">
        <v>84</v>
      </c>
      <c r="G205" s="23" t="s">
        <v>885</v>
      </c>
      <c r="H205" s="23" t="s">
        <v>886</v>
      </c>
      <c r="I205" s="25">
        <v>112</v>
      </c>
      <c r="J205" s="25">
        <v>106</v>
      </c>
      <c r="K205" s="24">
        <v>0.9464285714285714</v>
      </c>
      <c r="L205" s="24">
        <v>1</v>
      </c>
      <c r="M205" s="24">
        <v>0.76556776556776551</v>
      </c>
      <c r="N205" s="24">
        <v>0</v>
      </c>
      <c r="O205" s="23" t="s">
        <v>732</v>
      </c>
      <c r="P205" s="26">
        <v>0.9</v>
      </c>
      <c r="Q205" s="23" t="s">
        <v>733</v>
      </c>
      <c r="R205" s="23" t="s">
        <v>450</v>
      </c>
      <c r="S205" s="23" t="s">
        <v>734</v>
      </c>
    </row>
    <row r="206" spans="1:19">
      <c r="A206" s="23" t="s">
        <v>94</v>
      </c>
      <c r="B206" s="23" t="s">
        <v>96</v>
      </c>
      <c r="C206" s="23" t="s">
        <v>579</v>
      </c>
      <c r="D206" s="23" t="s">
        <v>256</v>
      </c>
      <c r="E206" s="23" t="s">
        <v>260</v>
      </c>
      <c r="F206" s="23" t="s">
        <v>84</v>
      </c>
      <c r="G206" s="23" t="s">
        <v>887</v>
      </c>
      <c r="H206" s="23" t="s">
        <v>888</v>
      </c>
      <c r="I206" s="25">
        <v>112</v>
      </c>
      <c r="J206" s="25">
        <v>109</v>
      </c>
      <c r="K206" s="24">
        <v>0.9732142857142857</v>
      </c>
      <c r="L206" s="24">
        <v>1</v>
      </c>
      <c r="M206" s="24">
        <v>0</v>
      </c>
      <c r="N206" s="24">
        <v>1</v>
      </c>
      <c r="O206" s="23" t="s">
        <v>732</v>
      </c>
      <c r="P206" s="26">
        <v>0.9</v>
      </c>
      <c r="Q206" s="23" t="s">
        <v>733</v>
      </c>
      <c r="R206" s="23" t="s">
        <v>456</v>
      </c>
      <c r="S206" s="23" t="s">
        <v>734</v>
      </c>
    </row>
    <row r="207" spans="1:19">
      <c r="A207" s="23" t="s">
        <v>49</v>
      </c>
      <c r="B207" s="23" t="s">
        <v>55</v>
      </c>
      <c r="C207" s="23" t="s">
        <v>579</v>
      </c>
      <c r="D207" s="23" t="s">
        <v>256</v>
      </c>
      <c r="E207" s="23" t="s">
        <v>262</v>
      </c>
      <c r="F207" s="23" t="s">
        <v>135</v>
      </c>
      <c r="G207" s="23" t="s">
        <v>889</v>
      </c>
      <c r="H207" s="23" t="s">
        <v>890</v>
      </c>
      <c r="I207" s="25">
        <v>14</v>
      </c>
      <c r="J207" s="25">
        <v>7</v>
      </c>
      <c r="K207" s="24">
        <v>0.5</v>
      </c>
      <c r="L207" s="24">
        <v>5.8123680141006669E-2</v>
      </c>
      <c r="M207" s="24">
        <v>0.76</v>
      </c>
      <c r="N207" s="24">
        <v>1</v>
      </c>
      <c r="O207" s="23" t="s">
        <v>776</v>
      </c>
      <c r="P207" s="26">
        <v>0.53786425336858501</v>
      </c>
      <c r="Q207" s="23" t="s">
        <v>733</v>
      </c>
      <c r="R207" s="23" t="s">
        <v>389</v>
      </c>
      <c r="S207" s="23" t="s">
        <v>734</v>
      </c>
    </row>
    <row r="208" spans="1:19">
      <c r="A208" s="23" t="s">
        <v>59</v>
      </c>
      <c r="B208" s="23" t="s">
        <v>60</v>
      </c>
      <c r="C208" s="23" t="s">
        <v>579</v>
      </c>
      <c r="D208" s="23" t="s">
        <v>256</v>
      </c>
      <c r="E208" s="23" t="s">
        <v>262</v>
      </c>
      <c r="F208" s="23" t="s">
        <v>135</v>
      </c>
      <c r="G208" s="23" t="s">
        <v>889</v>
      </c>
      <c r="H208" s="23" t="s">
        <v>890</v>
      </c>
      <c r="I208" s="25">
        <v>14</v>
      </c>
      <c r="J208" s="25">
        <v>7</v>
      </c>
      <c r="K208" s="24">
        <v>0.5</v>
      </c>
      <c r="L208" s="24">
        <v>5.8123680141006669E-2</v>
      </c>
      <c r="M208" s="24">
        <v>0.76</v>
      </c>
      <c r="N208" s="24">
        <v>1</v>
      </c>
      <c r="O208" s="23" t="s">
        <v>776</v>
      </c>
      <c r="P208" s="26">
        <v>0.53786425336858501</v>
      </c>
      <c r="Q208" s="23" t="s">
        <v>733</v>
      </c>
      <c r="R208" s="23" t="s">
        <v>401</v>
      </c>
      <c r="S208" s="23" t="s">
        <v>734</v>
      </c>
    </row>
    <row r="209" spans="1:19">
      <c r="A209" s="23" t="s">
        <v>94</v>
      </c>
      <c r="B209" s="23" t="s">
        <v>96</v>
      </c>
      <c r="C209" s="23" t="s">
        <v>579</v>
      </c>
      <c r="D209" s="23" t="s">
        <v>256</v>
      </c>
      <c r="E209" s="23" t="s">
        <v>262</v>
      </c>
      <c r="F209" s="23" t="s">
        <v>135</v>
      </c>
      <c r="G209" s="23" t="s">
        <v>891</v>
      </c>
      <c r="H209" s="23" t="s">
        <v>892</v>
      </c>
      <c r="I209" s="25">
        <v>14</v>
      </c>
      <c r="J209" s="25">
        <v>14</v>
      </c>
      <c r="K209" s="24">
        <v>1</v>
      </c>
      <c r="L209" s="24">
        <v>1</v>
      </c>
      <c r="M209" s="24">
        <v>0</v>
      </c>
      <c r="N209" s="24">
        <v>1</v>
      </c>
      <c r="O209" s="23" t="s">
        <v>732</v>
      </c>
      <c r="P209" s="26">
        <v>0.9</v>
      </c>
      <c r="Q209" s="23" t="s">
        <v>733</v>
      </c>
      <c r="R209" s="23" t="s">
        <v>456</v>
      </c>
      <c r="S209" s="23" t="s">
        <v>734</v>
      </c>
    </row>
    <row r="210" spans="1:19">
      <c r="A210" s="23" t="s">
        <v>104</v>
      </c>
      <c r="B210" s="23" t="s">
        <v>108</v>
      </c>
      <c r="C210" s="23" t="s">
        <v>579</v>
      </c>
      <c r="D210" s="23" t="s">
        <v>256</v>
      </c>
      <c r="E210" s="23" t="s">
        <v>262</v>
      </c>
      <c r="F210" s="23" t="s">
        <v>135</v>
      </c>
      <c r="G210" s="23" t="s">
        <v>891</v>
      </c>
      <c r="H210" s="23" t="s">
        <v>892</v>
      </c>
      <c r="I210" s="25">
        <v>14</v>
      </c>
      <c r="J210" s="25">
        <v>14</v>
      </c>
      <c r="K210" s="24">
        <v>1</v>
      </c>
      <c r="L210" s="24">
        <v>1</v>
      </c>
      <c r="M210" s="24">
        <v>0</v>
      </c>
      <c r="N210" s="24">
        <v>1</v>
      </c>
      <c r="O210" s="23" t="s">
        <v>732</v>
      </c>
      <c r="P210" s="26">
        <v>0.9</v>
      </c>
      <c r="Q210" s="23" t="s">
        <v>733</v>
      </c>
      <c r="R210" s="23" t="s">
        <v>483</v>
      </c>
      <c r="S210" s="23" t="s">
        <v>734</v>
      </c>
    </row>
    <row r="211" spans="1:19">
      <c r="A211" s="23" t="s">
        <v>36</v>
      </c>
      <c r="B211" s="23" t="s">
        <v>46</v>
      </c>
      <c r="C211" s="23" t="s">
        <v>579</v>
      </c>
      <c r="D211" s="23" t="s">
        <v>256</v>
      </c>
      <c r="E211" s="23" t="s">
        <v>264</v>
      </c>
      <c r="F211" s="23" t="s">
        <v>78</v>
      </c>
      <c r="G211" s="23" t="s">
        <v>889</v>
      </c>
      <c r="H211" s="23" t="s">
        <v>890</v>
      </c>
      <c r="I211" s="25">
        <v>66</v>
      </c>
      <c r="J211" s="25">
        <v>56</v>
      </c>
      <c r="K211" s="24">
        <v>0.84848484848484851</v>
      </c>
      <c r="L211" s="24">
        <v>0.55014217063802195</v>
      </c>
      <c r="M211" s="24">
        <v>0.83333333333333337</v>
      </c>
      <c r="N211" s="24">
        <v>1</v>
      </c>
      <c r="O211" s="23" t="s">
        <v>739</v>
      </c>
      <c r="P211" s="26">
        <v>0.78753554265950554</v>
      </c>
      <c r="Q211" s="23" t="s">
        <v>733</v>
      </c>
      <c r="R211" s="23" t="s">
        <v>373</v>
      </c>
      <c r="S211" s="23" t="s">
        <v>734</v>
      </c>
    </row>
    <row r="212" spans="1:19">
      <c r="A212" s="23" t="s">
        <v>59</v>
      </c>
      <c r="B212" s="23" t="s">
        <v>80</v>
      </c>
      <c r="C212" s="23" t="s">
        <v>579</v>
      </c>
      <c r="D212" s="23" t="s">
        <v>256</v>
      </c>
      <c r="E212" s="23" t="s">
        <v>264</v>
      </c>
      <c r="F212" s="23" t="s">
        <v>78</v>
      </c>
      <c r="G212" s="23" t="s">
        <v>889</v>
      </c>
      <c r="H212" s="23" t="s">
        <v>890</v>
      </c>
      <c r="I212" s="25">
        <v>66</v>
      </c>
      <c r="J212" s="25">
        <v>56</v>
      </c>
      <c r="K212" s="24">
        <v>0.84848484848484851</v>
      </c>
      <c r="L212" s="24">
        <v>0.55014217063802195</v>
      </c>
      <c r="M212" s="24">
        <v>0.83333333333333337</v>
      </c>
      <c r="N212" s="24">
        <v>1</v>
      </c>
      <c r="O212" s="23" t="s">
        <v>739</v>
      </c>
      <c r="P212" s="26">
        <v>0.78753554265950554</v>
      </c>
      <c r="Q212" s="23" t="s">
        <v>733</v>
      </c>
      <c r="R212" s="23" t="s">
        <v>434</v>
      </c>
      <c r="S212" s="23" t="s">
        <v>734</v>
      </c>
    </row>
    <row r="213" spans="1:19">
      <c r="A213" s="23" t="s">
        <v>94</v>
      </c>
      <c r="B213" s="23" t="s">
        <v>96</v>
      </c>
      <c r="C213" s="23" t="s">
        <v>579</v>
      </c>
      <c r="D213" s="23" t="s">
        <v>256</v>
      </c>
      <c r="E213" s="23" t="s">
        <v>264</v>
      </c>
      <c r="F213" s="23" t="s">
        <v>78</v>
      </c>
      <c r="G213" s="23" t="s">
        <v>893</v>
      </c>
      <c r="H213" s="23" t="s">
        <v>894</v>
      </c>
      <c r="I213" s="25">
        <v>66</v>
      </c>
      <c r="J213" s="25">
        <v>64</v>
      </c>
      <c r="K213" s="24">
        <v>0.96969696969696972</v>
      </c>
      <c r="L213" s="24">
        <v>1</v>
      </c>
      <c r="M213" s="24">
        <v>0</v>
      </c>
      <c r="N213" s="24">
        <v>1</v>
      </c>
      <c r="O213" s="23" t="s">
        <v>732</v>
      </c>
      <c r="P213" s="26">
        <v>0.9</v>
      </c>
      <c r="Q213" s="23" t="s">
        <v>733</v>
      </c>
      <c r="R213" s="23" t="s">
        <v>456</v>
      </c>
      <c r="S213" s="23" t="s">
        <v>734</v>
      </c>
    </row>
    <row r="214" spans="1:19">
      <c r="A214" s="23" t="s">
        <v>104</v>
      </c>
      <c r="B214" s="23" t="s">
        <v>106</v>
      </c>
      <c r="C214" s="23" t="s">
        <v>579</v>
      </c>
      <c r="D214" s="23" t="s">
        <v>256</v>
      </c>
      <c r="E214" s="23" t="s">
        <v>264</v>
      </c>
      <c r="F214" s="23" t="s">
        <v>78</v>
      </c>
      <c r="G214" s="23" t="s">
        <v>893</v>
      </c>
      <c r="H214" s="23" t="s">
        <v>894</v>
      </c>
      <c r="I214" s="25">
        <v>66</v>
      </c>
      <c r="J214" s="25">
        <v>64</v>
      </c>
      <c r="K214" s="24">
        <v>0.96969696969696972</v>
      </c>
      <c r="L214" s="24">
        <v>1</v>
      </c>
      <c r="M214" s="24">
        <v>0</v>
      </c>
      <c r="N214" s="24">
        <v>1</v>
      </c>
      <c r="O214" s="23" t="s">
        <v>732</v>
      </c>
      <c r="P214" s="26">
        <v>0.9</v>
      </c>
      <c r="Q214" s="23" t="s">
        <v>733</v>
      </c>
      <c r="R214" s="23" t="s">
        <v>477</v>
      </c>
      <c r="S214" s="23" t="s">
        <v>734</v>
      </c>
    </row>
    <row r="215" spans="1:19">
      <c r="A215" s="23" t="s">
        <v>104</v>
      </c>
      <c r="B215" s="23" t="s">
        <v>107</v>
      </c>
      <c r="C215" s="23" t="s">
        <v>579</v>
      </c>
      <c r="D215" s="23" t="s">
        <v>256</v>
      </c>
      <c r="E215" s="23" t="s">
        <v>264</v>
      </c>
      <c r="F215" s="23" t="s">
        <v>78</v>
      </c>
      <c r="G215" s="23" t="s">
        <v>893</v>
      </c>
      <c r="H215" s="23" t="s">
        <v>894</v>
      </c>
      <c r="I215" s="25">
        <v>66</v>
      </c>
      <c r="J215" s="25">
        <v>64</v>
      </c>
      <c r="K215" s="24">
        <v>0.96969696969696972</v>
      </c>
      <c r="L215" s="24">
        <v>1</v>
      </c>
      <c r="M215" s="24">
        <v>0</v>
      </c>
      <c r="N215" s="24">
        <v>1</v>
      </c>
      <c r="O215" s="23" t="s">
        <v>732</v>
      </c>
      <c r="P215" s="26">
        <v>0.9</v>
      </c>
      <c r="Q215" s="23" t="s">
        <v>733</v>
      </c>
      <c r="R215" s="23" t="s">
        <v>480</v>
      </c>
      <c r="S215" s="23" t="s">
        <v>734</v>
      </c>
    </row>
    <row r="216" spans="1:19">
      <c r="A216" s="23" t="s">
        <v>49</v>
      </c>
      <c r="B216" s="23" t="s">
        <v>50</v>
      </c>
      <c r="C216" s="23" t="s">
        <v>23</v>
      </c>
      <c r="D216" s="23" t="s">
        <v>267</v>
      </c>
      <c r="E216" s="23" t="s">
        <v>728</v>
      </c>
      <c r="F216" s="23" t="s">
        <v>746</v>
      </c>
      <c r="G216" s="23" t="s">
        <v>895</v>
      </c>
      <c r="H216" s="23" t="s">
        <v>896</v>
      </c>
      <c r="I216" s="25">
        <v>199</v>
      </c>
      <c r="J216" s="25">
        <v>154</v>
      </c>
      <c r="K216" s="24">
        <v>0.77386934673366836</v>
      </c>
      <c r="L216" s="24">
        <v>0.99394590538558614</v>
      </c>
      <c r="M216" s="24">
        <v>0.86956521739130432</v>
      </c>
      <c r="N216" s="24">
        <v>0</v>
      </c>
      <c r="O216" s="23" t="s">
        <v>732</v>
      </c>
      <c r="P216" s="26">
        <v>0.89848647634639656</v>
      </c>
      <c r="Q216" s="23" t="s">
        <v>733</v>
      </c>
      <c r="R216" s="23" t="s">
        <v>379</v>
      </c>
      <c r="S216" s="23" t="s">
        <v>734</v>
      </c>
    </row>
    <row r="217" spans="1:19">
      <c r="A217" s="23" t="s">
        <v>49</v>
      </c>
      <c r="B217" s="23" t="s">
        <v>53</v>
      </c>
      <c r="C217" s="23" t="s">
        <v>23</v>
      </c>
      <c r="D217" s="23" t="s">
        <v>267</v>
      </c>
      <c r="E217" s="23" t="s">
        <v>728</v>
      </c>
      <c r="F217" s="23" t="s">
        <v>746</v>
      </c>
      <c r="G217" s="23" t="s">
        <v>895</v>
      </c>
      <c r="H217" s="23" t="s">
        <v>896</v>
      </c>
      <c r="I217" s="25">
        <v>199</v>
      </c>
      <c r="J217" s="25">
        <v>154</v>
      </c>
      <c r="K217" s="24">
        <v>0.77386934673366836</v>
      </c>
      <c r="L217" s="24">
        <v>0.99394590538558614</v>
      </c>
      <c r="M217" s="24">
        <v>0.86956521739130432</v>
      </c>
      <c r="N217" s="24">
        <v>0</v>
      </c>
      <c r="O217" s="23" t="s">
        <v>732</v>
      </c>
      <c r="P217" s="26">
        <v>0.89848647634639656</v>
      </c>
      <c r="Q217" s="23" t="s">
        <v>733</v>
      </c>
      <c r="R217" s="23" t="s">
        <v>382</v>
      </c>
      <c r="S217" s="23" t="s">
        <v>734</v>
      </c>
    </row>
    <row r="218" spans="1:19">
      <c r="A218" s="23" t="s">
        <v>49</v>
      </c>
      <c r="B218" s="23" t="s">
        <v>58</v>
      </c>
      <c r="C218" s="23" t="s">
        <v>23</v>
      </c>
      <c r="D218" s="23" t="s">
        <v>267</v>
      </c>
      <c r="E218" s="23" t="s">
        <v>728</v>
      </c>
      <c r="F218" s="23" t="s">
        <v>746</v>
      </c>
      <c r="G218" s="23" t="s">
        <v>895</v>
      </c>
      <c r="H218" s="23" t="s">
        <v>896</v>
      </c>
      <c r="I218" s="25">
        <v>199</v>
      </c>
      <c r="J218" s="25">
        <v>154</v>
      </c>
      <c r="K218" s="24">
        <v>0.77386934673366836</v>
      </c>
      <c r="L218" s="24">
        <v>0.99394590538558614</v>
      </c>
      <c r="M218" s="24">
        <v>0.86956521739130432</v>
      </c>
      <c r="N218" s="24">
        <v>0</v>
      </c>
      <c r="O218" s="23" t="s">
        <v>732</v>
      </c>
      <c r="P218" s="26">
        <v>0.89848647634639656</v>
      </c>
      <c r="Q218" s="23" t="s">
        <v>733</v>
      </c>
      <c r="R218" s="23" t="s">
        <v>398</v>
      </c>
      <c r="S218" s="23" t="s">
        <v>734</v>
      </c>
    </row>
    <row r="219" spans="1:19">
      <c r="A219" s="23" t="s">
        <v>59</v>
      </c>
      <c r="B219" s="23" t="s">
        <v>63</v>
      </c>
      <c r="C219" s="23" t="s">
        <v>23</v>
      </c>
      <c r="D219" s="23" t="s">
        <v>267</v>
      </c>
      <c r="E219" s="23" t="s">
        <v>728</v>
      </c>
      <c r="F219" s="23" t="s">
        <v>746</v>
      </c>
      <c r="G219" s="23" t="s">
        <v>895</v>
      </c>
      <c r="H219" s="23" t="s">
        <v>896</v>
      </c>
      <c r="I219" s="25">
        <v>199</v>
      </c>
      <c r="J219" s="25">
        <v>154</v>
      </c>
      <c r="K219" s="24">
        <v>0.77386934673366836</v>
      </c>
      <c r="L219" s="24">
        <v>0.99394590538558614</v>
      </c>
      <c r="M219" s="24">
        <v>0.86956521739130432</v>
      </c>
      <c r="N219" s="24">
        <v>0</v>
      </c>
      <c r="O219" s="23" t="s">
        <v>732</v>
      </c>
      <c r="P219" s="26">
        <v>0.89848647634639656</v>
      </c>
      <c r="Q219" s="23" t="s">
        <v>733</v>
      </c>
      <c r="R219" s="23" t="s">
        <v>410</v>
      </c>
      <c r="S219" s="23" t="s">
        <v>734</v>
      </c>
    </row>
    <row r="220" spans="1:19">
      <c r="A220" s="23" t="s">
        <v>59</v>
      </c>
      <c r="B220" s="23" t="s">
        <v>69</v>
      </c>
      <c r="C220" s="23" t="s">
        <v>23</v>
      </c>
      <c r="D220" s="23" t="s">
        <v>267</v>
      </c>
      <c r="E220" s="23" t="s">
        <v>728</v>
      </c>
      <c r="F220" s="23" t="s">
        <v>746</v>
      </c>
      <c r="G220" s="23" t="s">
        <v>895</v>
      </c>
      <c r="H220" s="23" t="s">
        <v>896</v>
      </c>
      <c r="I220" s="25">
        <v>199</v>
      </c>
      <c r="J220" s="25">
        <v>154</v>
      </c>
      <c r="K220" s="24">
        <v>0.77386934673366836</v>
      </c>
      <c r="L220" s="24">
        <v>0.99394590538558614</v>
      </c>
      <c r="M220" s="24">
        <v>0.86956521739130432</v>
      </c>
      <c r="N220" s="24">
        <v>0</v>
      </c>
      <c r="O220" s="23" t="s">
        <v>732</v>
      </c>
      <c r="P220" s="26">
        <v>0.89848647634639656</v>
      </c>
      <c r="Q220" s="23" t="s">
        <v>733</v>
      </c>
      <c r="R220" s="23" t="s">
        <v>423</v>
      </c>
      <c r="S220" s="23" t="s">
        <v>734</v>
      </c>
    </row>
    <row r="221" spans="1:19">
      <c r="A221" s="23" t="s">
        <v>49</v>
      </c>
      <c r="B221" s="23" t="s">
        <v>57</v>
      </c>
      <c r="C221" s="23" t="s">
        <v>579</v>
      </c>
      <c r="D221" s="23" t="s">
        <v>267</v>
      </c>
      <c r="E221" s="23" t="s">
        <v>268</v>
      </c>
      <c r="F221" s="23" t="s">
        <v>81</v>
      </c>
      <c r="G221" s="23" t="s">
        <v>897</v>
      </c>
      <c r="H221" s="23" t="s">
        <v>898</v>
      </c>
      <c r="I221" s="25">
        <v>128</v>
      </c>
      <c r="J221" s="25">
        <v>122</v>
      </c>
      <c r="K221" s="24">
        <v>0.953125</v>
      </c>
      <c r="L221" s="24">
        <v>0.9850768251563593</v>
      </c>
      <c r="M221" s="24">
        <v>1</v>
      </c>
      <c r="N221" s="24">
        <v>0</v>
      </c>
      <c r="O221" s="23" t="s">
        <v>732</v>
      </c>
      <c r="P221" s="26">
        <v>0.89626920628908979</v>
      </c>
      <c r="Q221" s="23" t="s">
        <v>733</v>
      </c>
      <c r="R221" s="23" t="s">
        <v>57</v>
      </c>
      <c r="S221" s="23" t="s">
        <v>734</v>
      </c>
    </row>
    <row r="222" spans="1:19">
      <c r="A222" s="23" t="s">
        <v>104</v>
      </c>
      <c r="B222" s="23" t="s">
        <v>108</v>
      </c>
      <c r="C222" s="23" t="s">
        <v>579</v>
      </c>
      <c r="D222" s="23" t="s">
        <v>267</v>
      </c>
      <c r="E222" s="23" t="s">
        <v>268</v>
      </c>
      <c r="F222" s="23" t="s">
        <v>81</v>
      </c>
      <c r="G222" s="23" t="s">
        <v>899</v>
      </c>
      <c r="H222" s="23" t="s">
        <v>900</v>
      </c>
      <c r="I222" s="25">
        <v>128</v>
      </c>
      <c r="J222" s="25">
        <v>69</v>
      </c>
      <c r="K222" s="24">
        <v>0.5390625</v>
      </c>
      <c r="L222" s="24">
        <v>0.22695178535404478</v>
      </c>
      <c r="M222" s="24">
        <v>0</v>
      </c>
      <c r="N222" s="24">
        <v>0.94202898550724634</v>
      </c>
      <c r="O222" s="23" t="s">
        <v>776</v>
      </c>
      <c r="P222" s="26">
        <v>0.58421077242546771</v>
      </c>
      <c r="Q222" s="23" t="s">
        <v>733</v>
      </c>
      <c r="R222" s="23" t="s">
        <v>483</v>
      </c>
      <c r="S222" s="23" t="s">
        <v>734</v>
      </c>
    </row>
    <row r="223" spans="1:19">
      <c r="A223" s="23" t="s">
        <v>49</v>
      </c>
      <c r="B223" s="23" t="s">
        <v>55</v>
      </c>
      <c r="C223" s="23" t="s">
        <v>579</v>
      </c>
      <c r="D223" s="23" t="s">
        <v>267</v>
      </c>
      <c r="E223" s="23" t="s">
        <v>270</v>
      </c>
      <c r="F223" s="23" t="s">
        <v>139</v>
      </c>
      <c r="G223" s="23" t="s">
        <v>895</v>
      </c>
      <c r="H223" s="23" t="s">
        <v>896</v>
      </c>
      <c r="I223" s="25">
        <v>61</v>
      </c>
      <c r="J223" s="25">
        <v>37</v>
      </c>
      <c r="K223" s="24">
        <v>0.60655737704918034</v>
      </c>
      <c r="L223" s="24">
        <v>0.21548313380401787</v>
      </c>
      <c r="M223" s="24">
        <v>0.90909090909090906</v>
      </c>
      <c r="N223" s="24">
        <v>0</v>
      </c>
      <c r="O223" s="23" t="s">
        <v>739</v>
      </c>
      <c r="P223" s="26">
        <v>0.63119318782258915</v>
      </c>
      <c r="Q223" s="23" t="s">
        <v>733</v>
      </c>
      <c r="R223" s="23" t="s">
        <v>389</v>
      </c>
      <c r="S223" s="23" t="s">
        <v>734</v>
      </c>
    </row>
    <row r="224" spans="1:19">
      <c r="A224" s="23" t="s">
        <v>98</v>
      </c>
      <c r="B224" s="23" t="s">
        <v>101</v>
      </c>
      <c r="C224" s="23" t="s">
        <v>579</v>
      </c>
      <c r="D224" s="23" t="s">
        <v>267</v>
      </c>
      <c r="E224" s="23" t="s">
        <v>270</v>
      </c>
      <c r="F224" s="23" t="s">
        <v>139</v>
      </c>
      <c r="G224" s="23" t="s">
        <v>901</v>
      </c>
      <c r="H224" s="23" t="s">
        <v>902</v>
      </c>
      <c r="I224" s="25">
        <v>61</v>
      </c>
      <c r="J224" s="25">
        <v>51</v>
      </c>
      <c r="K224" s="24">
        <v>0.83606557377049184</v>
      </c>
      <c r="L224" s="24">
        <v>0.99826212889210719</v>
      </c>
      <c r="M224" s="24">
        <v>0</v>
      </c>
      <c r="N224" s="24">
        <v>0.88235294117647056</v>
      </c>
      <c r="O224" s="23" t="s">
        <v>732</v>
      </c>
      <c r="P224" s="26">
        <v>0.8678008263406739</v>
      </c>
      <c r="Q224" s="23" t="s">
        <v>733</v>
      </c>
      <c r="R224" s="23" t="s">
        <v>469</v>
      </c>
      <c r="S224" s="23" t="s">
        <v>734</v>
      </c>
    </row>
    <row r="225" spans="1:19">
      <c r="A225" s="23" t="s">
        <v>104</v>
      </c>
      <c r="B225" s="23" t="s">
        <v>108</v>
      </c>
      <c r="C225" s="23" t="s">
        <v>579</v>
      </c>
      <c r="D225" s="23" t="s">
        <v>267</v>
      </c>
      <c r="E225" s="23" t="s">
        <v>270</v>
      </c>
      <c r="F225" s="23" t="s">
        <v>139</v>
      </c>
      <c r="G225" s="23" t="s">
        <v>901</v>
      </c>
      <c r="H225" s="23" t="s">
        <v>902</v>
      </c>
      <c r="I225" s="25">
        <v>61</v>
      </c>
      <c r="J225" s="25">
        <v>51</v>
      </c>
      <c r="K225" s="24">
        <v>0.83606557377049184</v>
      </c>
      <c r="L225" s="24">
        <v>0.99826212889210719</v>
      </c>
      <c r="M225" s="24">
        <v>0</v>
      </c>
      <c r="N225" s="24">
        <v>0.88235294117647056</v>
      </c>
      <c r="O225" s="23" t="s">
        <v>732</v>
      </c>
      <c r="P225" s="26">
        <v>0.8678008263406739</v>
      </c>
      <c r="Q225" s="23" t="s">
        <v>733</v>
      </c>
      <c r="R225" s="23" t="s">
        <v>483</v>
      </c>
      <c r="S225" s="23" t="s">
        <v>734</v>
      </c>
    </row>
    <row r="226" spans="1:19">
      <c r="A226" s="23" t="s">
        <v>59</v>
      </c>
      <c r="B226" s="23" t="s">
        <v>60</v>
      </c>
      <c r="C226" s="23" t="s">
        <v>579</v>
      </c>
      <c r="D226" s="23" t="s">
        <v>267</v>
      </c>
      <c r="E226" s="23" t="s">
        <v>273</v>
      </c>
      <c r="F226" s="23" t="s">
        <v>139</v>
      </c>
      <c r="G226" s="23" t="s">
        <v>895</v>
      </c>
      <c r="H226" s="23" t="s">
        <v>896</v>
      </c>
      <c r="I226" s="25">
        <v>61</v>
      </c>
      <c r="J226" s="25">
        <v>57</v>
      </c>
      <c r="K226" s="24">
        <v>0.93442622950819676</v>
      </c>
      <c r="L226" s="24">
        <v>0.31827483884170676</v>
      </c>
      <c r="M226" s="24">
        <v>0.86956521739130432</v>
      </c>
      <c r="N226" s="24">
        <v>0</v>
      </c>
      <c r="O226" s="23" t="s">
        <v>739</v>
      </c>
      <c r="P226" s="26">
        <v>0.72956870971042664</v>
      </c>
      <c r="Q226" s="23" t="s">
        <v>733</v>
      </c>
      <c r="R226" s="23" t="s">
        <v>401</v>
      </c>
      <c r="S226" s="23" t="s">
        <v>734</v>
      </c>
    </row>
    <row r="227" spans="1:19">
      <c r="A227" s="23" t="s">
        <v>98</v>
      </c>
      <c r="B227" s="23" t="s">
        <v>100</v>
      </c>
      <c r="C227" s="23" t="s">
        <v>579</v>
      </c>
      <c r="D227" s="23" t="s">
        <v>267</v>
      </c>
      <c r="E227" s="23" t="s">
        <v>273</v>
      </c>
      <c r="F227" s="23" t="s">
        <v>139</v>
      </c>
      <c r="G227" s="23" t="s">
        <v>903</v>
      </c>
      <c r="H227" s="23" t="s">
        <v>904</v>
      </c>
      <c r="I227" s="25">
        <v>61</v>
      </c>
      <c r="J227" s="25">
        <v>61</v>
      </c>
      <c r="K227" s="24">
        <v>1</v>
      </c>
      <c r="L227" s="24">
        <v>1</v>
      </c>
      <c r="M227" s="24">
        <v>0</v>
      </c>
      <c r="N227" s="24">
        <v>1</v>
      </c>
      <c r="O227" s="23" t="s">
        <v>732</v>
      </c>
      <c r="P227" s="26">
        <v>0.9</v>
      </c>
      <c r="Q227" s="23" t="s">
        <v>733</v>
      </c>
      <c r="R227" s="23" t="s">
        <v>466</v>
      </c>
      <c r="S227" s="23" t="s">
        <v>734</v>
      </c>
    </row>
    <row r="228" spans="1:19">
      <c r="A228" s="23" t="s">
        <v>104</v>
      </c>
      <c r="B228" s="23" t="s">
        <v>108</v>
      </c>
      <c r="C228" s="23" t="s">
        <v>579</v>
      </c>
      <c r="D228" s="23" t="s">
        <v>267</v>
      </c>
      <c r="E228" s="23" t="s">
        <v>273</v>
      </c>
      <c r="F228" s="23" t="s">
        <v>139</v>
      </c>
      <c r="G228" s="23" t="s">
        <v>903</v>
      </c>
      <c r="H228" s="23" t="s">
        <v>904</v>
      </c>
      <c r="I228" s="25">
        <v>61</v>
      </c>
      <c r="J228" s="25">
        <v>61</v>
      </c>
      <c r="K228" s="24">
        <v>1</v>
      </c>
      <c r="L228" s="24">
        <v>1</v>
      </c>
      <c r="M228" s="24">
        <v>0</v>
      </c>
      <c r="N228" s="24">
        <v>1</v>
      </c>
      <c r="O228" s="23" t="s">
        <v>732</v>
      </c>
      <c r="P228" s="26">
        <v>0.9</v>
      </c>
      <c r="Q228" s="23" t="s">
        <v>733</v>
      </c>
      <c r="R228" s="23" t="s">
        <v>483</v>
      </c>
      <c r="S228" s="23" t="s">
        <v>734</v>
      </c>
    </row>
    <row r="229" spans="1:19">
      <c r="A229" s="23" t="s">
        <v>36</v>
      </c>
      <c r="B229" s="23" t="s">
        <v>38</v>
      </c>
      <c r="C229" s="23" t="s">
        <v>23</v>
      </c>
      <c r="D229" s="23" t="s">
        <v>276</v>
      </c>
      <c r="E229" s="23" t="s">
        <v>728</v>
      </c>
      <c r="F229" s="23" t="s">
        <v>729</v>
      </c>
      <c r="G229" s="23" t="s">
        <v>905</v>
      </c>
      <c r="H229" s="23" t="s">
        <v>906</v>
      </c>
      <c r="I229" s="25">
        <v>151</v>
      </c>
      <c r="J229" s="25">
        <v>91</v>
      </c>
      <c r="K229" s="24">
        <v>0.60264900662251653</v>
      </c>
      <c r="L229" s="24">
        <v>1</v>
      </c>
      <c r="M229" s="24">
        <v>0.95652173913043481</v>
      </c>
      <c r="N229" s="24">
        <v>0</v>
      </c>
      <c r="O229" s="23" t="s">
        <v>732</v>
      </c>
      <c r="P229" s="26">
        <v>0.92534216335540831</v>
      </c>
      <c r="Q229" s="23" t="s">
        <v>733</v>
      </c>
      <c r="R229" s="23" t="s">
        <v>356</v>
      </c>
      <c r="S229" s="23" t="s">
        <v>734</v>
      </c>
    </row>
    <row r="230" spans="1:19">
      <c r="A230" s="23" t="s">
        <v>36</v>
      </c>
      <c r="B230" s="23" t="s">
        <v>44</v>
      </c>
      <c r="C230" s="23" t="s">
        <v>23</v>
      </c>
      <c r="D230" s="23" t="s">
        <v>276</v>
      </c>
      <c r="E230" s="23" t="s">
        <v>728</v>
      </c>
      <c r="F230" s="23" t="s">
        <v>729</v>
      </c>
      <c r="G230" s="23" t="s">
        <v>907</v>
      </c>
      <c r="H230" s="23" t="s">
        <v>908</v>
      </c>
      <c r="I230" s="25">
        <v>151</v>
      </c>
      <c r="J230" s="25">
        <v>140</v>
      </c>
      <c r="K230" s="24">
        <v>0.92715231788079466</v>
      </c>
      <c r="L230" s="24">
        <v>1</v>
      </c>
      <c r="M230" s="24">
        <v>1</v>
      </c>
      <c r="N230" s="24">
        <v>0</v>
      </c>
      <c r="O230" s="23" t="s">
        <v>732</v>
      </c>
      <c r="P230" s="26">
        <v>0.9</v>
      </c>
      <c r="Q230" s="23" t="s">
        <v>733</v>
      </c>
      <c r="R230" s="23" t="s">
        <v>366</v>
      </c>
      <c r="S230" s="23" t="s">
        <v>734</v>
      </c>
    </row>
    <row r="231" spans="1:19">
      <c r="A231" s="23" t="s">
        <v>59</v>
      </c>
      <c r="B231" s="23" t="s">
        <v>66</v>
      </c>
      <c r="C231" s="23" t="s">
        <v>23</v>
      </c>
      <c r="D231" s="23" t="s">
        <v>276</v>
      </c>
      <c r="E231" s="23" t="s">
        <v>728</v>
      </c>
      <c r="F231" s="23" t="s">
        <v>729</v>
      </c>
      <c r="G231" s="23" t="s">
        <v>907</v>
      </c>
      <c r="H231" s="23" t="s">
        <v>908</v>
      </c>
      <c r="I231" s="25">
        <v>151</v>
      </c>
      <c r="J231" s="25">
        <v>140</v>
      </c>
      <c r="K231" s="24">
        <v>0.92715231788079466</v>
      </c>
      <c r="L231" s="24">
        <v>1</v>
      </c>
      <c r="M231" s="24">
        <v>1</v>
      </c>
      <c r="N231" s="24">
        <v>0</v>
      </c>
      <c r="O231" s="23" t="s">
        <v>732</v>
      </c>
      <c r="P231" s="26">
        <v>0.9</v>
      </c>
      <c r="Q231" s="23" t="s">
        <v>733</v>
      </c>
      <c r="R231" s="23" t="s">
        <v>417</v>
      </c>
      <c r="S231" s="23" t="s">
        <v>734</v>
      </c>
    </row>
    <row r="232" spans="1:19">
      <c r="A232" s="23" t="s">
        <v>36</v>
      </c>
      <c r="B232" s="23" t="s">
        <v>47</v>
      </c>
      <c r="C232" s="23" t="s">
        <v>579</v>
      </c>
      <c r="D232" s="23" t="s">
        <v>276</v>
      </c>
      <c r="E232" s="23" t="s">
        <v>277</v>
      </c>
      <c r="F232" s="23" t="s">
        <v>135</v>
      </c>
      <c r="G232" s="23" t="s">
        <v>909</v>
      </c>
      <c r="H232" s="23" t="s">
        <v>910</v>
      </c>
      <c r="I232" s="25">
        <v>9</v>
      </c>
      <c r="J232" s="25">
        <v>6</v>
      </c>
      <c r="K232" s="24">
        <v>0.66666666666666663</v>
      </c>
      <c r="L232" s="24">
        <v>8.1927710843373497E-2</v>
      </c>
      <c r="M232" s="24">
        <v>0.91999999999999993</v>
      </c>
      <c r="N232" s="24">
        <v>0</v>
      </c>
      <c r="O232" s="23" t="s">
        <v>776</v>
      </c>
      <c r="P232" s="26">
        <v>0.58428152610441764</v>
      </c>
      <c r="Q232" s="23" t="s">
        <v>733</v>
      </c>
      <c r="R232" s="23" t="s">
        <v>376</v>
      </c>
      <c r="S232" s="23" t="s">
        <v>734</v>
      </c>
    </row>
    <row r="233" spans="1:19">
      <c r="A233" s="23" t="s">
        <v>104</v>
      </c>
      <c r="B233" s="23" t="s">
        <v>108</v>
      </c>
      <c r="C233" s="23" t="s">
        <v>579</v>
      </c>
      <c r="D233" s="23" t="s">
        <v>276</v>
      </c>
      <c r="E233" s="23" t="s">
        <v>277</v>
      </c>
      <c r="F233" s="23" t="s">
        <v>135</v>
      </c>
      <c r="G233" s="23" t="s">
        <v>911</v>
      </c>
      <c r="H233" s="23" t="s">
        <v>912</v>
      </c>
      <c r="I233" s="25">
        <v>9</v>
      </c>
      <c r="J233" s="25">
        <v>9</v>
      </c>
      <c r="K233" s="24">
        <v>1</v>
      </c>
      <c r="L233" s="24">
        <v>1</v>
      </c>
      <c r="M233" s="24">
        <v>0</v>
      </c>
      <c r="N233" s="24">
        <v>1</v>
      </c>
      <c r="O233" s="23" t="s">
        <v>732</v>
      </c>
      <c r="P233" s="26">
        <v>0.83699999999999997</v>
      </c>
      <c r="Q233" s="23" t="s">
        <v>733</v>
      </c>
      <c r="R233" s="23" t="s">
        <v>483</v>
      </c>
      <c r="S233" s="23" t="s">
        <v>734</v>
      </c>
    </row>
    <row r="234" spans="1:19">
      <c r="A234" s="23" t="s">
        <v>104</v>
      </c>
      <c r="B234" s="23" t="s">
        <v>107</v>
      </c>
      <c r="C234" s="23" t="s">
        <v>579</v>
      </c>
      <c r="D234" s="23" t="s">
        <v>276</v>
      </c>
      <c r="E234" s="23" t="s">
        <v>277</v>
      </c>
      <c r="F234" s="23" t="s">
        <v>135</v>
      </c>
      <c r="G234" s="23" t="s">
        <v>911</v>
      </c>
      <c r="H234" s="23" t="s">
        <v>912</v>
      </c>
      <c r="I234" s="25">
        <v>9</v>
      </c>
      <c r="J234" s="25">
        <v>9</v>
      </c>
      <c r="K234" s="24">
        <v>1</v>
      </c>
      <c r="L234" s="24">
        <v>1</v>
      </c>
      <c r="M234" s="24">
        <v>0</v>
      </c>
      <c r="N234" s="24">
        <v>1</v>
      </c>
      <c r="O234" s="23" t="s">
        <v>732</v>
      </c>
      <c r="P234" s="26">
        <v>0.83699999999999997</v>
      </c>
      <c r="Q234" s="23" t="s">
        <v>733</v>
      </c>
      <c r="R234" s="23" t="s">
        <v>480</v>
      </c>
      <c r="S234" s="23" t="s">
        <v>734</v>
      </c>
    </row>
    <row r="235" spans="1:19">
      <c r="A235" s="23" t="s">
        <v>36</v>
      </c>
      <c r="B235" s="23" t="s">
        <v>47</v>
      </c>
      <c r="C235" s="23" t="s">
        <v>579</v>
      </c>
      <c r="D235" s="23" t="s">
        <v>276</v>
      </c>
      <c r="E235" s="23" t="s">
        <v>280</v>
      </c>
      <c r="F235" s="23" t="s">
        <v>139</v>
      </c>
      <c r="G235" s="23" t="s">
        <v>907</v>
      </c>
      <c r="H235" s="23" t="s">
        <v>908</v>
      </c>
      <c r="I235" s="25">
        <v>145</v>
      </c>
      <c r="J235" s="25">
        <v>137</v>
      </c>
      <c r="K235" s="24">
        <v>0.94482758620689655</v>
      </c>
      <c r="L235" s="24">
        <v>0.95078569362768728</v>
      </c>
      <c r="M235" s="24">
        <v>1</v>
      </c>
      <c r="N235" s="24">
        <v>0</v>
      </c>
      <c r="O235" s="23" t="s">
        <v>732</v>
      </c>
      <c r="P235" s="26">
        <v>0.88769642340692179</v>
      </c>
      <c r="Q235" s="23" t="s">
        <v>733</v>
      </c>
      <c r="R235" s="23" t="s">
        <v>376</v>
      </c>
      <c r="S235" s="23" t="s">
        <v>734</v>
      </c>
    </row>
    <row r="236" spans="1:19">
      <c r="A236" s="23" t="s">
        <v>94</v>
      </c>
      <c r="B236" s="23" t="s">
        <v>95</v>
      </c>
      <c r="C236" s="23" t="s">
        <v>579</v>
      </c>
      <c r="D236" s="23" t="s">
        <v>276</v>
      </c>
      <c r="E236" s="23" t="s">
        <v>280</v>
      </c>
      <c r="F236" s="23" t="s">
        <v>139</v>
      </c>
      <c r="G236" s="23" t="s">
        <v>913</v>
      </c>
      <c r="H236" s="23" t="s">
        <v>914</v>
      </c>
      <c r="I236" s="25">
        <v>145</v>
      </c>
      <c r="J236" s="25">
        <v>106</v>
      </c>
      <c r="K236" s="24">
        <v>0.73103448275862071</v>
      </c>
      <c r="L236" s="24">
        <v>1</v>
      </c>
      <c r="M236" s="24">
        <v>0</v>
      </c>
      <c r="N236" s="24">
        <v>1</v>
      </c>
      <c r="O236" s="23" t="s">
        <v>732</v>
      </c>
      <c r="P236" s="26">
        <v>0.89039080459770115</v>
      </c>
      <c r="Q236" s="23" t="s">
        <v>733</v>
      </c>
      <c r="R236" s="23" t="s">
        <v>453</v>
      </c>
      <c r="S236" s="23" t="s">
        <v>734</v>
      </c>
    </row>
    <row r="237" spans="1:19">
      <c r="A237" s="23" t="s">
        <v>94</v>
      </c>
      <c r="B237" s="23" t="s">
        <v>96</v>
      </c>
      <c r="C237" s="23" t="s">
        <v>579</v>
      </c>
      <c r="D237" s="23" t="s">
        <v>276</v>
      </c>
      <c r="E237" s="23" t="s">
        <v>280</v>
      </c>
      <c r="F237" s="23" t="s">
        <v>139</v>
      </c>
      <c r="G237" s="23" t="s">
        <v>913</v>
      </c>
      <c r="H237" s="23" t="s">
        <v>914</v>
      </c>
      <c r="I237" s="25">
        <v>145</v>
      </c>
      <c r="J237" s="25">
        <v>106</v>
      </c>
      <c r="K237" s="24">
        <v>0.73103448275862071</v>
      </c>
      <c r="L237" s="24">
        <v>1</v>
      </c>
      <c r="M237" s="24">
        <v>0</v>
      </c>
      <c r="N237" s="24">
        <v>1</v>
      </c>
      <c r="O237" s="23" t="s">
        <v>732</v>
      </c>
      <c r="P237" s="26">
        <v>0.89039080459770115</v>
      </c>
      <c r="Q237" s="23" t="s">
        <v>733</v>
      </c>
      <c r="R237" s="23" t="s">
        <v>456</v>
      </c>
      <c r="S237" s="23" t="s">
        <v>734</v>
      </c>
    </row>
    <row r="238" spans="1:19">
      <c r="A238" s="23" t="s">
        <v>104</v>
      </c>
      <c r="B238" s="23" t="s">
        <v>107</v>
      </c>
      <c r="C238" s="23" t="s">
        <v>579</v>
      </c>
      <c r="D238" s="23" t="s">
        <v>276</v>
      </c>
      <c r="E238" s="23" t="s">
        <v>280</v>
      </c>
      <c r="F238" s="23" t="s">
        <v>139</v>
      </c>
      <c r="G238" s="23" t="s">
        <v>913</v>
      </c>
      <c r="H238" s="23" t="s">
        <v>914</v>
      </c>
      <c r="I238" s="25">
        <v>145</v>
      </c>
      <c r="J238" s="25">
        <v>106</v>
      </c>
      <c r="K238" s="24">
        <v>0.73103448275862071</v>
      </c>
      <c r="L238" s="24">
        <v>1</v>
      </c>
      <c r="M238" s="24">
        <v>0</v>
      </c>
      <c r="N238" s="24">
        <v>1</v>
      </c>
      <c r="O238" s="23" t="s">
        <v>732</v>
      </c>
      <c r="P238" s="26">
        <v>0.89039080459770115</v>
      </c>
      <c r="Q238" s="23" t="s">
        <v>733</v>
      </c>
      <c r="R238" s="23" t="s">
        <v>480</v>
      </c>
      <c r="S238" s="23" t="s">
        <v>734</v>
      </c>
    </row>
    <row r="239" spans="1:19">
      <c r="A239" s="23" t="s">
        <v>36</v>
      </c>
      <c r="B239" s="23" t="s">
        <v>47</v>
      </c>
      <c r="C239" s="23" t="s">
        <v>579</v>
      </c>
      <c r="D239" s="23" t="s">
        <v>276</v>
      </c>
      <c r="E239" s="23" t="s">
        <v>282</v>
      </c>
      <c r="F239" s="23" t="s">
        <v>84</v>
      </c>
      <c r="G239" s="23" t="s">
        <v>915</v>
      </c>
      <c r="H239" s="23" t="s">
        <v>916</v>
      </c>
      <c r="I239" s="25">
        <v>1</v>
      </c>
      <c r="J239" s="25">
        <v>1</v>
      </c>
      <c r="K239" s="24">
        <v>1</v>
      </c>
      <c r="L239" s="24">
        <v>1</v>
      </c>
      <c r="M239" s="24">
        <v>1</v>
      </c>
      <c r="N239" s="24">
        <v>0</v>
      </c>
      <c r="O239" s="23" t="s">
        <v>739</v>
      </c>
      <c r="P239" s="26">
        <v>0.66899999999999993</v>
      </c>
      <c r="Q239" s="23" t="s">
        <v>733</v>
      </c>
      <c r="R239" s="23" t="s">
        <v>376</v>
      </c>
      <c r="S239" s="23" t="s">
        <v>734</v>
      </c>
    </row>
    <row r="240" spans="1:19">
      <c r="A240" s="23" t="s">
        <v>59</v>
      </c>
      <c r="B240" s="23" t="s">
        <v>91</v>
      </c>
      <c r="C240" s="23" t="s">
        <v>579</v>
      </c>
      <c r="D240" s="23" t="s">
        <v>276</v>
      </c>
      <c r="E240" s="23" t="s">
        <v>282</v>
      </c>
      <c r="F240" s="23" t="s">
        <v>84</v>
      </c>
      <c r="G240" s="23" t="s">
        <v>915</v>
      </c>
      <c r="H240" s="23" t="s">
        <v>916</v>
      </c>
      <c r="I240" s="25">
        <v>1</v>
      </c>
      <c r="J240" s="25">
        <v>1</v>
      </c>
      <c r="K240" s="24">
        <v>1</v>
      </c>
      <c r="L240" s="24">
        <v>1</v>
      </c>
      <c r="M240" s="24">
        <v>1</v>
      </c>
      <c r="N240" s="24">
        <v>0</v>
      </c>
      <c r="O240" s="23" t="s">
        <v>739</v>
      </c>
      <c r="P240" s="26">
        <v>0.66899999999999993</v>
      </c>
      <c r="Q240" s="23" t="s">
        <v>733</v>
      </c>
      <c r="R240" s="23" t="s">
        <v>444</v>
      </c>
      <c r="S240" s="23" t="s">
        <v>734</v>
      </c>
    </row>
    <row r="241" spans="1:19">
      <c r="A241" s="23" t="s">
        <v>59</v>
      </c>
      <c r="B241" s="23" t="s">
        <v>93</v>
      </c>
      <c r="C241" s="23" t="s">
        <v>579</v>
      </c>
      <c r="D241" s="23" t="s">
        <v>276</v>
      </c>
      <c r="E241" s="23" t="s">
        <v>282</v>
      </c>
      <c r="F241" s="23" t="s">
        <v>84</v>
      </c>
      <c r="G241" s="23" t="s">
        <v>915</v>
      </c>
      <c r="H241" s="23" t="s">
        <v>916</v>
      </c>
      <c r="I241" s="25">
        <v>1</v>
      </c>
      <c r="J241" s="25">
        <v>1</v>
      </c>
      <c r="K241" s="24">
        <v>1</v>
      </c>
      <c r="L241" s="24">
        <v>1</v>
      </c>
      <c r="M241" s="24">
        <v>1</v>
      </c>
      <c r="N241" s="24">
        <v>0</v>
      </c>
      <c r="O241" s="23" t="s">
        <v>739</v>
      </c>
      <c r="P241" s="26">
        <v>0.66899999999999993</v>
      </c>
      <c r="Q241" s="23" t="s">
        <v>733</v>
      </c>
      <c r="R241" s="23" t="s">
        <v>450</v>
      </c>
      <c r="S241" s="23" t="s">
        <v>734</v>
      </c>
    </row>
    <row r="242" spans="1:19">
      <c r="A242" s="23" t="s">
        <v>104</v>
      </c>
      <c r="B242" s="23" t="s">
        <v>105</v>
      </c>
      <c r="C242" s="23" t="s">
        <v>579</v>
      </c>
      <c r="D242" s="23" t="s">
        <v>276</v>
      </c>
      <c r="E242" s="23" t="s">
        <v>282</v>
      </c>
      <c r="F242" s="23" t="s">
        <v>84</v>
      </c>
      <c r="G242" s="23" t="s">
        <v>917</v>
      </c>
      <c r="H242" s="23" t="s">
        <v>918</v>
      </c>
      <c r="I242" s="25">
        <v>1</v>
      </c>
      <c r="J242" s="25">
        <v>1</v>
      </c>
      <c r="K242" s="24">
        <v>1</v>
      </c>
      <c r="L242" s="24">
        <v>1</v>
      </c>
      <c r="M242" s="24">
        <v>0</v>
      </c>
      <c r="N242" s="24">
        <v>1</v>
      </c>
      <c r="O242" s="23" t="s">
        <v>739</v>
      </c>
      <c r="P242" s="26">
        <v>0.66899999999999993</v>
      </c>
      <c r="Q242" s="23" t="s">
        <v>733</v>
      </c>
      <c r="R242" s="23" t="s">
        <v>105</v>
      </c>
      <c r="S242" s="23" t="s">
        <v>734</v>
      </c>
    </row>
    <row r="243" spans="1:19">
      <c r="A243" s="23" t="s">
        <v>104</v>
      </c>
      <c r="B243" s="23" t="s">
        <v>107</v>
      </c>
      <c r="C243" s="23" t="s">
        <v>579</v>
      </c>
      <c r="D243" s="23" t="s">
        <v>276</v>
      </c>
      <c r="E243" s="23" t="s">
        <v>282</v>
      </c>
      <c r="F243" s="23" t="s">
        <v>84</v>
      </c>
      <c r="G243" s="23" t="s">
        <v>917</v>
      </c>
      <c r="H243" s="23" t="s">
        <v>918</v>
      </c>
      <c r="I243" s="25">
        <v>1</v>
      </c>
      <c r="J243" s="25">
        <v>1</v>
      </c>
      <c r="K243" s="24">
        <v>1</v>
      </c>
      <c r="L243" s="24">
        <v>1</v>
      </c>
      <c r="M243" s="24">
        <v>0</v>
      </c>
      <c r="N243" s="24">
        <v>1</v>
      </c>
      <c r="O243" s="23" t="s">
        <v>739</v>
      </c>
      <c r="P243" s="26">
        <v>0.66899999999999993</v>
      </c>
      <c r="Q243" s="23" t="s">
        <v>733</v>
      </c>
      <c r="R243" s="23" t="s">
        <v>480</v>
      </c>
      <c r="S243" s="23" t="s">
        <v>734</v>
      </c>
    </row>
    <row r="244" spans="1:19">
      <c r="A244" s="23" t="s">
        <v>59</v>
      </c>
      <c r="B244" s="23" t="s">
        <v>62</v>
      </c>
      <c r="C244" s="23" t="s">
        <v>23</v>
      </c>
      <c r="D244" s="23" t="s">
        <v>285</v>
      </c>
      <c r="E244" s="23" t="s">
        <v>728</v>
      </c>
      <c r="F244" s="23" t="s">
        <v>809</v>
      </c>
      <c r="G244" s="23" t="s">
        <v>919</v>
      </c>
      <c r="H244" s="23" t="s">
        <v>920</v>
      </c>
      <c r="I244" s="25">
        <v>143</v>
      </c>
      <c r="J244" s="25">
        <v>68</v>
      </c>
      <c r="K244" s="24">
        <v>0.47552447552447552</v>
      </c>
      <c r="L244" s="24">
        <v>1</v>
      </c>
      <c r="M244" s="24">
        <v>0.67333333333333334</v>
      </c>
      <c r="N244" s="24">
        <v>0</v>
      </c>
      <c r="O244" s="23" t="s">
        <v>739</v>
      </c>
      <c r="P244" s="26">
        <v>0.73333240093240093</v>
      </c>
      <c r="Q244" s="23" t="s">
        <v>733</v>
      </c>
      <c r="R244" s="23" t="s">
        <v>407</v>
      </c>
      <c r="S244" s="23" t="s">
        <v>734</v>
      </c>
    </row>
    <row r="245" spans="1:19">
      <c r="A245" s="23" t="s">
        <v>36</v>
      </c>
      <c r="B245" s="23" t="s">
        <v>42</v>
      </c>
      <c r="C245" s="23" t="s">
        <v>23</v>
      </c>
      <c r="D245" s="23" t="s">
        <v>285</v>
      </c>
      <c r="E245" s="23" t="s">
        <v>728</v>
      </c>
      <c r="F245" s="23" t="s">
        <v>809</v>
      </c>
      <c r="G245" s="23" t="s">
        <v>919</v>
      </c>
      <c r="H245" s="23" t="s">
        <v>920</v>
      </c>
      <c r="I245" s="25">
        <v>143</v>
      </c>
      <c r="J245" s="25">
        <v>68</v>
      </c>
      <c r="K245" s="24">
        <v>0.47552447552447552</v>
      </c>
      <c r="L245" s="24">
        <v>1</v>
      </c>
      <c r="M245" s="24">
        <v>0.67333333333333334</v>
      </c>
      <c r="N245" s="24">
        <v>0</v>
      </c>
      <c r="O245" s="23" t="s">
        <v>739</v>
      </c>
      <c r="P245" s="26">
        <v>0.73333240093240093</v>
      </c>
      <c r="Q245" s="23" t="s">
        <v>733</v>
      </c>
      <c r="R245" s="23" t="s">
        <v>360</v>
      </c>
      <c r="S245" s="23" t="s">
        <v>734</v>
      </c>
    </row>
    <row r="246" spans="1:19">
      <c r="A246" s="23" t="s">
        <v>36</v>
      </c>
      <c r="B246" s="23" t="s">
        <v>43</v>
      </c>
      <c r="C246" s="23" t="s">
        <v>23</v>
      </c>
      <c r="D246" s="23" t="s">
        <v>285</v>
      </c>
      <c r="E246" s="23" t="s">
        <v>728</v>
      </c>
      <c r="F246" s="23" t="s">
        <v>809</v>
      </c>
      <c r="G246" s="23" t="s">
        <v>919</v>
      </c>
      <c r="H246" s="23" t="s">
        <v>920</v>
      </c>
      <c r="I246" s="25">
        <v>143</v>
      </c>
      <c r="J246" s="25">
        <v>68</v>
      </c>
      <c r="K246" s="24">
        <v>0.47552447552447552</v>
      </c>
      <c r="L246" s="24">
        <v>1</v>
      </c>
      <c r="M246" s="24">
        <v>0.67333333333333334</v>
      </c>
      <c r="N246" s="24">
        <v>0</v>
      </c>
      <c r="O246" s="23" t="s">
        <v>739</v>
      </c>
      <c r="P246" s="26">
        <v>0.73333240093240093</v>
      </c>
      <c r="Q246" s="23" t="s">
        <v>733</v>
      </c>
      <c r="R246" s="23" t="s">
        <v>363</v>
      </c>
      <c r="S246" s="23" t="s">
        <v>734</v>
      </c>
    </row>
    <row r="247" spans="1:19">
      <c r="A247" s="23" t="s">
        <v>98</v>
      </c>
      <c r="B247" s="23" t="s">
        <v>99</v>
      </c>
      <c r="C247" s="23" t="s">
        <v>579</v>
      </c>
      <c r="D247" s="23" t="s">
        <v>285</v>
      </c>
      <c r="E247" s="23" t="s">
        <v>286</v>
      </c>
      <c r="F247" s="23" t="s">
        <v>135</v>
      </c>
      <c r="G247" s="23" t="s">
        <v>921</v>
      </c>
      <c r="H247" s="23" t="s">
        <v>922</v>
      </c>
      <c r="I247" s="25">
        <v>20</v>
      </c>
      <c r="J247" s="25">
        <v>20</v>
      </c>
      <c r="K247" s="24">
        <v>1</v>
      </c>
      <c r="L247" s="24">
        <v>1</v>
      </c>
      <c r="M247" s="24">
        <v>0</v>
      </c>
      <c r="N247" s="24">
        <v>1</v>
      </c>
      <c r="O247" s="23" t="s">
        <v>732</v>
      </c>
      <c r="P247" s="26">
        <v>0.9</v>
      </c>
      <c r="Q247" s="23" t="s">
        <v>733</v>
      </c>
      <c r="R247" s="23" t="s">
        <v>462</v>
      </c>
      <c r="S247" s="23" t="s">
        <v>734</v>
      </c>
    </row>
    <row r="248" spans="1:19">
      <c r="A248" s="23" t="s">
        <v>104</v>
      </c>
      <c r="B248" s="23" t="s">
        <v>106</v>
      </c>
      <c r="C248" s="23" t="s">
        <v>579</v>
      </c>
      <c r="D248" s="23" t="s">
        <v>285</v>
      </c>
      <c r="E248" s="23" t="s">
        <v>286</v>
      </c>
      <c r="F248" s="23" t="s">
        <v>135</v>
      </c>
      <c r="G248" s="23" t="s">
        <v>921</v>
      </c>
      <c r="H248" s="23" t="s">
        <v>922</v>
      </c>
      <c r="I248" s="25">
        <v>20</v>
      </c>
      <c r="J248" s="25">
        <v>20</v>
      </c>
      <c r="K248" s="24">
        <v>1</v>
      </c>
      <c r="L248" s="24">
        <v>1</v>
      </c>
      <c r="M248" s="24">
        <v>0</v>
      </c>
      <c r="N248" s="24">
        <v>1</v>
      </c>
      <c r="O248" s="23" t="s">
        <v>732</v>
      </c>
      <c r="P248" s="26">
        <v>0.9</v>
      </c>
      <c r="Q248" s="23" t="s">
        <v>733</v>
      </c>
      <c r="R248" s="23" t="s">
        <v>477</v>
      </c>
      <c r="S248" s="23" t="s">
        <v>734</v>
      </c>
    </row>
    <row r="249" spans="1:19">
      <c r="A249" s="23" t="s">
        <v>104</v>
      </c>
      <c r="B249" s="23" t="s">
        <v>107</v>
      </c>
      <c r="C249" s="23" t="s">
        <v>579</v>
      </c>
      <c r="D249" s="23" t="s">
        <v>285</v>
      </c>
      <c r="E249" s="23" t="s">
        <v>286</v>
      </c>
      <c r="F249" s="23" t="s">
        <v>135</v>
      </c>
      <c r="G249" s="23" t="s">
        <v>921</v>
      </c>
      <c r="H249" s="23" t="s">
        <v>922</v>
      </c>
      <c r="I249" s="25">
        <v>20</v>
      </c>
      <c r="J249" s="25">
        <v>20</v>
      </c>
      <c r="K249" s="24">
        <v>1</v>
      </c>
      <c r="L249" s="24">
        <v>1</v>
      </c>
      <c r="M249" s="24">
        <v>0</v>
      </c>
      <c r="N249" s="24">
        <v>1</v>
      </c>
      <c r="O249" s="23" t="s">
        <v>732</v>
      </c>
      <c r="P249" s="26">
        <v>0.9</v>
      </c>
      <c r="Q249" s="23" t="s">
        <v>733</v>
      </c>
      <c r="R249" s="23" t="s">
        <v>480</v>
      </c>
      <c r="S249" s="23" t="s">
        <v>734</v>
      </c>
    </row>
    <row r="250" spans="1:19">
      <c r="A250" s="23" t="s">
        <v>59</v>
      </c>
      <c r="B250" s="23" t="s">
        <v>60</v>
      </c>
      <c r="C250" s="23" t="s">
        <v>579</v>
      </c>
      <c r="D250" s="23" t="s">
        <v>285</v>
      </c>
      <c r="E250" s="23" t="s">
        <v>289</v>
      </c>
      <c r="F250" s="23" t="s">
        <v>135</v>
      </c>
      <c r="G250" s="23" t="s">
        <v>923</v>
      </c>
      <c r="H250" s="23" t="s">
        <v>924</v>
      </c>
      <c r="I250" s="25">
        <v>116</v>
      </c>
      <c r="J250" s="25">
        <v>27</v>
      </c>
      <c r="K250" s="24">
        <v>0.23275862068965517</v>
      </c>
      <c r="L250" s="24">
        <v>1</v>
      </c>
      <c r="M250" s="24">
        <v>0.84</v>
      </c>
      <c r="N250" s="24">
        <v>0</v>
      </c>
      <c r="O250" s="23" t="s">
        <v>739</v>
      </c>
      <c r="P250" s="26">
        <v>0.63793103448275867</v>
      </c>
      <c r="Q250" s="23" t="s">
        <v>733</v>
      </c>
      <c r="R250" s="23" t="s">
        <v>401</v>
      </c>
      <c r="S250" s="23" t="s">
        <v>734</v>
      </c>
    </row>
    <row r="251" spans="1:19">
      <c r="A251" s="23" t="s">
        <v>104</v>
      </c>
      <c r="B251" s="23" t="s">
        <v>108</v>
      </c>
      <c r="C251" s="23" t="s">
        <v>579</v>
      </c>
      <c r="D251" s="23" t="s">
        <v>285</v>
      </c>
      <c r="E251" s="23" t="s">
        <v>289</v>
      </c>
      <c r="F251" s="23" t="s">
        <v>135</v>
      </c>
      <c r="G251" s="23" t="s">
        <v>925</v>
      </c>
      <c r="H251" s="23" t="s">
        <v>926</v>
      </c>
      <c r="I251" s="25">
        <v>116</v>
      </c>
      <c r="J251" s="25">
        <v>116</v>
      </c>
      <c r="K251" s="24">
        <v>1</v>
      </c>
      <c r="L251" s="24">
        <v>1</v>
      </c>
      <c r="M251" s="24">
        <v>0</v>
      </c>
      <c r="N251" s="24">
        <v>0.99137931034482762</v>
      </c>
      <c r="O251" s="23" t="s">
        <v>732</v>
      </c>
      <c r="P251" s="26">
        <v>0.89767241379310347</v>
      </c>
      <c r="Q251" s="23" t="s">
        <v>733</v>
      </c>
      <c r="R251" s="23" t="s">
        <v>483</v>
      </c>
      <c r="S251" s="23" t="s">
        <v>734</v>
      </c>
    </row>
    <row r="252" spans="1:19">
      <c r="A252" s="23" t="s">
        <v>104</v>
      </c>
      <c r="B252" s="23" t="s">
        <v>105</v>
      </c>
      <c r="C252" s="23" t="s">
        <v>579</v>
      </c>
      <c r="D252" s="23" t="s">
        <v>285</v>
      </c>
      <c r="E252" s="23" t="s">
        <v>289</v>
      </c>
      <c r="F252" s="23" t="s">
        <v>135</v>
      </c>
      <c r="G252" s="23" t="s">
        <v>925</v>
      </c>
      <c r="H252" s="23" t="s">
        <v>926</v>
      </c>
      <c r="I252" s="25">
        <v>116</v>
      </c>
      <c r="J252" s="25">
        <v>116</v>
      </c>
      <c r="K252" s="24">
        <v>1</v>
      </c>
      <c r="L252" s="24">
        <v>1</v>
      </c>
      <c r="M252" s="24">
        <v>0</v>
      </c>
      <c r="N252" s="24">
        <v>0.99137931034482762</v>
      </c>
      <c r="O252" s="23" t="s">
        <v>732</v>
      </c>
      <c r="P252" s="26">
        <v>0.89767241379310347</v>
      </c>
      <c r="Q252" s="23" t="s">
        <v>733</v>
      </c>
      <c r="R252" s="23" t="s">
        <v>105</v>
      </c>
      <c r="S252" s="23" t="s">
        <v>734</v>
      </c>
    </row>
    <row r="253" spans="1:19">
      <c r="A253" s="23" t="s">
        <v>104</v>
      </c>
      <c r="B253" s="23" t="s">
        <v>107</v>
      </c>
      <c r="C253" s="23" t="s">
        <v>579</v>
      </c>
      <c r="D253" s="23" t="s">
        <v>285</v>
      </c>
      <c r="E253" s="23" t="s">
        <v>289</v>
      </c>
      <c r="F253" s="23" t="s">
        <v>135</v>
      </c>
      <c r="G253" s="23" t="s">
        <v>925</v>
      </c>
      <c r="H253" s="23" t="s">
        <v>926</v>
      </c>
      <c r="I253" s="25">
        <v>116</v>
      </c>
      <c r="J253" s="25">
        <v>116</v>
      </c>
      <c r="K253" s="24">
        <v>1</v>
      </c>
      <c r="L253" s="24">
        <v>1</v>
      </c>
      <c r="M253" s="24">
        <v>0</v>
      </c>
      <c r="N253" s="24">
        <v>0.99137931034482762</v>
      </c>
      <c r="O253" s="23" t="s">
        <v>732</v>
      </c>
      <c r="P253" s="26">
        <v>0.89767241379310347</v>
      </c>
      <c r="Q253" s="23" t="s">
        <v>733</v>
      </c>
      <c r="R253" s="23" t="s">
        <v>480</v>
      </c>
      <c r="S253" s="23" t="s">
        <v>734</v>
      </c>
    </row>
    <row r="254" spans="1:19">
      <c r="A254" s="23" t="s">
        <v>59</v>
      </c>
      <c r="B254" s="23" t="s">
        <v>60</v>
      </c>
      <c r="C254" s="23" t="s">
        <v>579</v>
      </c>
      <c r="D254" s="23" t="s">
        <v>285</v>
      </c>
      <c r="E254" s="23" t="s">
        <v>292</v>
      </c>
      <c r="F254" s="23" t="s">
        <v>78</v>
      </c>
      <c r="G254" s="23" t="s">
        <v>927</v>
      </c>
      <c r="H254" s="23" t="s">
        <v>928</v>
      </c>
      <c r="I254" s="25">
        <v>46</v>
      </c>
      <c r="J254" s="25">
        <v>41</v>
      </c>
      <c r="K254" s="24">
        <v>0.89130434782608692</v>
      </c>
      <c r="L254" s="24">
        <v>0.99684115523465699</v>
      </c>
      <c r="M254" s="24">
        <v>0.4</v>
      </c>
      <c r="N254" s="24">
        <v>0</v>
      </c>
      <c r="O254" s="23" t="s">
        <v>739</v>
      </c>
      <c r="P254" s="26">
        <v>0.77321028880866427</v>
      </c>
      <c r="Q254" s="23" t="s">
        <v>733</v>
      </c>
      <c r="R254" s="23" t="s">
        <v>401</v>
      </c>
      <c r="S254" s="23" t="s">
        <v>734</v>
      </c>
    </row>
    <row r="255" spans="1:19">
      <c r="A255" s="23" t="s">
        <v>59</v>
      </c>
      <c r="B255" s="23" t="s">
        <v>77</v>
      </c>
      <c r="C255" s="23" t="s">
        <v>579</v>
      </c>
      <c r="D255" s="23" t="s">
        <v>285</v>
      </c>
      <c r="E255" s="23" t="s">
        <v>292</v>
      </c>
      <c r="F255" s="23" t="s">
        <v>78</v>
      </c>
      <c r="G255" s="23" t="s">
        <v>927</v>
      </c>
      <c r="H255" s="23" t="s">
        <v>928</v>
      </c>
      <c r="I255" s="25">
        <v>46</v>
      </c>
      <c r="J255" s="25">
        <v>41</v>
      </c>
      <c r="K255" s="24">
        <v>0.89130434782608692</v>
      </c>
      <c r="L255" s="24">
        <v>0.99684115523465699</v>
      </c>
      <c r="M255" s="24">
        <v>0.4</v>
      </c>
      <c r="N255" s="24">
        <v>0</v>
      </c>
      <c r="O255" s="23" t="s">
        <v>739</v>
      </c>
      <c r="P255" s="26">
        <v>0.77321028880866427</v>
      </c>
      <c r="Q255" s="23" t="s">
        <v>733</v>
      </c>
      <c r="R255" s="23" t="s">
        <v>430</v>
      </c>
      <c r="S255" s="23" t="s">
        <v>734</v>
      </c>
    </row>
    <row r="256" spans="1:19">
      <c r="A256" s="23" t="s">
        <v>94</v>
      </c>
      <c r="B256" s="23" t="s">
        <v>95</v>
      </c>
      <c r="C256" s="23" t="s">
        <v>579</v>
      </c>
      <c r="D256" s="23" t="s">
        <v>285</v>
      </c>
      <c r="E256" s="23" t="s">
        <v>292</v>
      </c>
      <c r="F256" s="23" t="s">
        <v>78</v>
      </c>
      <c r="G256" s="23" t="s">
        <v>929</v>
      </c>
      <c r="H256" s="23" t="s">
        <v>930</v>
      </c>
      <c r="I256" s="25">
        <v>46</v>
      </c>
      <c r="J256" s="25">
        <v>46</v>
      </c>
      <c r="K256" s="24">
        <v>1</v>
      </c>
      <c r="L256" s="24">
        <v>1</v>
      </c>
      <c r="M256" s="24">
        <v>0</v>
      </c>
      <c r="N256" s="24">
        <v>1</v>
      </c>
      <c r="O256" s="23" t="s">
        <v>732</v>
      </c>
      <c r="P256" s="26">
        <v>0.9</v>
      </c>
      <c r="Q256" s="23" t="s">
        <v>733</v>
      </c>
      <c r="R256" s="23" t="s">
        <v>453</v>
      </c>
      <c r="S256" s="23" t="s">
        <v>734</v>
      </c>
    </row>
    <row r="257" spans="1:19">
      <c r="A257" s="23" t="s">
        <v>104</v>
      </c>
      <c r="B257" s="23" t="s">
        <v>106</v>
      </c>
      <c r="C257" s="23" t="s">
        <v>579</v>
      </c>
      <c r="D257" s="23" t="s">
        <v>285</v>
      </c>
      <c r="E257" s="23" t="s">
        <v>292</v>
      </c>
      <c r="F257" s="23" t="s">
        <v>78</v>
      </c>
      <c r="G257" s="23" t="s">
        <v>929</v>
      </c>
      <c r="H257" s="23" t="s">
        <v>930</v>
      </c>
      <c r="I257" s="25">
        <v>46</v>
      </c>
      <c r="J257" s="25">
        <v>46</v>
      </c>
      <c r="K257" s="24">
        <v>1</v>
      </c>
      <c r="L257" s="24">
        <v>1</v>
      </c>
      <c r="M257" s="24">
        <v>0</v>
      </c>
      <c r="N257" s="24">
        <v>1</v>
      </c>
      <c r="O257" s="23" t="s">
        <v>732</v>
      </c>
      <c r="P257" s="26">
        <v>0.9</v>
      </c>
      <c r="Q257" s="23" t="s">
        <v>733</v>
      </c>
      <c r="R257" s="23" t="s">
        <v>477</v>
      </c>
      <c r="S257" s="23" t="s">
        <v>734</v>
      </c>
    </row>
    <row r="258" spans="1:19">
      <c r="A258" s="23" t="s">
        <v>104</v>
      </c>
      <c r="B258" s="23" t="s">
        <v>107</v>
      </c>
      <c r="C258" s="23" t="s">
        <v>579</v>
      </c>
      <c r="D258" s="23" t="s">
        <v>285</v>
      </c>
      <c r="E258" s="23" t="s">
        <v>292</v>
      </c>
      <c r="F258" s="23" t="s">
        <v>78</v>
      </c>
      <c r="G258" s="23" t="s">
        <v>929</v>
      </c>
      <c r="H258" s="23" t="s">
        <v>930</v>
      </c>
      <c r="I258" s="25">
        <v>46</v>
      </c>
      <c r="J258" s="25">
        <v>46</v>
      </c>
      <c r="K258" s="24">
        <v>1</v>
      </c>
      <c r="L258" s="24">
        <v>1</v>
      </c>
      <c r="M258" s="24">
        <v>0</v>
      </c>
      <c r="N258" s="24">
        <v>1</v>
      </c>
      <c r="O258" s="23" t="s">
        <v>732</v>
      </c>
      <c r="P258" s="26">
        <v>0.9</v>
      </c>
      <c r="Q258" s="23" t="s">
        <v>733</v>
      </c>
      <c r="R258" s="23" t="s">
        <v>480</v>
      </c>
      <c r="S258" s="23" t="s">
        <v>734</v>
      </c>
    </row>
    <row r="259" spans="1:19">
      <c r="A259" s="23" t="s">
        <v>36</v>
      </c>
      <c r="B259" s="23" t="s">
        <v>37</v>
      </c>
      <c r="C259" s="23" t="s">
        <v>23</v>
      </c>
      <c r="D259" s="23" t="s">
        <v>294</v>
      </c>
      <c r="E259" s="23" t="s">
        <v>728</v>
      </c>
      <c r="F259" s="23" t="s">
        <v>931</v>
      </c>
      <c r="G259" s="23" t="s">
        <v>932</v>
      </c>
      <c r="H259" s="23" t="s">
        <v>933</v>
      </c>
      <c r="I259" s="25">
        <v>183</v>
      </c>
      <c r="J259" s="25">
        <v>153</v>
      </c>
      <c r="K259" s="24">
        <v>0.83606557377049184</v>
      </c>
      <c r="L259" s="24">
        <v>1</v>
      </c>
      <c r="M259" s="24">
        <v>0.46666666666666667</v>
      </c>
      <c r="N259" s="24">
        <v>0</v>
      </c>
      <c r="O259" s="23" t="s">
        <v>732</v>
      </c>
      <c r="P259" s="26">
        <v>0.79800000000000004</v>
      </c>
      <c r="Q259" s="23" t="s">
        <v>733</v>
      </c>
      <c r="R259" s="23" t="s">
        <v>351</v>
      </c>
      <c r="S259" s="23" t="s">
        <v>734</v>
      </c>
    </row>
    <row r="260" spans="1:19">
      <c r="A260" s="23" t="s">
        <v>36</v>
      </c>
      <c r="B260" s="23" t="s">
        <v>44</v>
      </c>
      <c r="C260" s="23" t="s">
        <v>23</v>
      </c>
      <c r="D260" s="23" t="s">
        <v>294</v>
      </c>
      <c r="E260" s="23" t="s">
        <v>728</v>
      </c>
      <c r="F260" s="23" t="s">
        <v>931</v>
      </c>
      <c r="G260" s="23" t="s">
        <v>932</v>
      </c>
      <c r="H260" s="23" t="s">
        <v>933</v>
      </c>
      <c r="I260" s="25">
        <v>183</v>
      </c>
      <c r="J260" s="25">
        <v>153</v>
      </c>
      <c r="K260" s="24">
        <v>0.83606557377049184</v>
      </c>
      <c r="L260" s="24">
        <v>1</v>
      </c>
      <c r="M260" s="24">
        <v>0.46666666666666667</v>
      </c>
      <c r="N260" s="24">
        <v>0</v>
      </c>
      <c r="O260" s="23" t="s">
        <v>732</v>
      </c>
      <c r="P260" s="26">
        <v>0.79800000000000004</v>
      </c>
      <c r="Q260" s="23" t="s">
        <v>733</v>
      </c>
      <c r="R260" s="23" t="s">
        <v>366</v>
      </c>
      <c r="S260" s="23" t="s">
        <v>734</v>
      </c>
    </row>
    <row r="261" spans="1:19">
      <c r="A261" s="23" t="s">
        <v>59</v>
      </c>
      <c r="B261" s="23" t="s">
        <v>72</v>
      </c>
      <c r="C261" s="23" t="s">
        <v>23</v>
      </c>
      <c r="D261" s="23" t="s">
        <v>294</v>
      </c>
      <c r="E261" s="23" t="s">
        <v>728</v>
      </c>
      <c r="F261" s="23" t="s">
        <v>931</v>
      </c>
      <c r="G261" s="23" t="s">
        <v>932</v>
      </c>
      <c r="H261" s="23" t="s">
        <v>933</v>
      </c>
      <c r="I261" s="25">
        <v>183</v>
      </c>
      <c r="J261" s="25">
        <v>153</v>
      </c>
      <c r="K261" s="24">
        <v>0.83606557377049184</v>
      </c>
      <c r="L261" s="24">
        <v>1</v>
      </c>
      <c r="M261" s="24">
        <v>0.46666666666666667</v>
      </c>
      <c r="N261" s="24">
        <v>0</v>
      </c>
      <c r="O261" s="23" t="s">
        <v>732</v>
      </c>
      <c r="P261" s="26">
        <v>0.79800000000000004</v>
      </c>
      <c r="Q261" s="23" t="s">
        <v>733</v>
      </c>
      <c r="R261" s="23" t="s">
        <v>426</v>
      </c>
      <c r="S261" s="23" t="s">
        <v>734</v>
      </c>
    </row>
    <row r="262" spans="1:19">
      <c r="A262" s="23" t="s">
        <v>49</v>
      </c>
      <c r="B262" s="23" t="s">
        <v>58</v>
      </c>
      <c r="C262" s="23" t="s">
        <v>23</v>
      </c>
      <c r="D262" s="23" t="s">
        <v>294</v>
      </c>
      <c r="E262" s="23" t="s">
        <v>728</v>
      </c>
      <c r="F262" s="23" t="s">
        <v>931</v>
      </c>
      <c r="G262" s="23" t="s">
        <v>932</v>
      </c>
      <c r="H262" s="23" t="s">
        <v>933</v>
      </c>
      <c r="I262" s="25">
        <v>183</v>
      </c>
      <c r="J262" s="25">
        <v>153</v>
      </c>
      <c r="K262" s="24">
        <v>0.83606557377049184</v>
      </c>
      <c r="L262" s="24">
        <v>1</v>
      </c>
      <c r="M262" s="24">
        <v>0.46666666666666667</v>
      </c>
      <c r="N262" s="24">
        <v>0</v>
      </c>
      <c r="O262" s="23" t="s">
        <v>732</v>
      </c>
      <c r="P262" s="26">
        <v>0.88200000000000001</v>
      </c>
      <c r="Q262" s="23" t="s">
        <v>733</v>
      </c>
      <c r="R262" s="23" t="s">
        <v>398</v>
      </c>
      <c r="S262" s="23" t="s">
        <v>734</v>
      </c>
    </row>
    <row r="263" spans="1:19">
      <c r="A263" s="23" t="s">
        <v>59</v>
      </c>
      <c r="B263" s="23" t="s">
        <v>86</v>
      </c>
      <c r="C263" s="23" t="s">
        <v>23</v>
      </c>
      <c r="D263" s="23" t="s">
        <v>294</v>
      </c>
      <c r="E263" s="23" t="s">
        <v>728</v>
      </c>
      <c r="F263" s="23" t="s">
        <v>931</v>
      </c>
      <c r="G263" s="23" t="s">
        <v>932</v>
      </c>
      <c r="H263" s="23" t="s">
        <v>933</v>
      </c>
      <c r="I263" s="25">
        <v>183</v>
      </c>
      <c r="J263" s="25">
        <v>153</v>
      </c>
      <c r="K263" s="24">
        <v>0.83606557377049184</v>
      </c>
      <c r="L263" s="24">
        <v>1</v>
      </c>
      <c r="M263" s="24">
        <v>0.46666666666666667</v>
      </c>
      <c r="N263" s="24">
        <v>0</v>
      </c>
      <c r="O263" s="23" t="s">
        <v>732</v>
      </c>
      <c r="P263" s="26">
        <v>0.88200000000000001</v>
      </c>
      <c r="Q263" s="23" t="s">
        <v>733</v>
      </c>
      <c r="R263" s="23" t="s">
        <v>86</v>
      </c>
      <c r="S263" s="23" t="s">
        <v>734</v>
      </c>
    </row>
    <row r="264" spans="1:19">
      <c r="A264" s="23" t="s">
        <v>59</v>
      </c>
      <c r="B264" s="23" t="s">
        <v>63</v>
      </c>
      <c r="C264" s="23" t="s">
        <v>23</v>
      </c>
      <c r="D264" s="23" t="s">
        <v>294</v>
      </c>
      <c r="E264" s="23" t="s">
        <v>728</v>
      </c>
      <c r="F264" s="23" t="s">
        <v>931</v>
      </c>
      <c r="G264" s="23" t="s">
        <v>932</v>
      </c>
      <c r="H264" s="23" t="s">
        <v>933</v>
      </c>
      <c r="I264" s="25">
        <v>183</v>
      </c>
      <c r="J264" s="25">
        <v>153</v>
      </c>
      <c r="K264" s="24">
        <v>0.83606557377049184</v>
      </c>
      <c r="L264" s="24">
        <v>1</v>
      </c>
      <c r="M264" s="24">
        <v>0.46666666666666667</v>
      </c>
      <c r="N264" s="24">
        <v>0</v>
      </c>
      <c r="O264" s="23" t="s">
        <v>732</v>
      </c>
      <c r="P264" s="26">
        <v>0.79800000000000004</v>
      </c>
      <c r="Q264" s="23" t="s">
        <v>733</v>
      </c>
      <c r="R264" s="23" t="s">
        <v>410</v>
      </c>
      <c r="S264" s="23" t="s">
        <v>734</v>
      </c>
    </row>
    <row r="265" spans="1:19">
      <c r="A265" s="23" t="s">
        <v>59</v>
      </c>
      <c r="B265" s="23" t="s">
        <v>66</v>
      </c>
      <c r="C265" s="23" t="s">
        <v>23</v>
      </c>
      <c r="D265" s="23" t="s">
        <v>294</v>
      </c>
      <c r="E265" s="23" t="s">
        <v>728</v>
      </c>
      <c r="F265" s="23" t="s">
        <v>931</v>
      </c>
      <c r="G265" s="23" t="s">
        <v>932</v>
      </c>
      <c r="H265" s="23" t="s">
        <v>933</v>
      </c>
      <c r="I265" s="25">
        <v>183</v>
      </c>
      <c r="J265" s="25">
        <v>153</v>
      </c>
      <c r="K265" s="24">
        <v>0.83606557377049184</v>
      </c>
      <c r="L265" s="24">
        <v>1</v>
      </c>
      <c r="M265" s="24">
        <v>0.46666666666666667</v>
      </c>
      <c r="N265" s="24">
        <v>0</v>
      </c>
      <c r="O265" s="23" t="s">
        <v>732</v>
      </c>
      <c r="P265" s="26">
        <v>0.79800000000000004</v>
      </c>
      <c r="Q265" s="23" t="s">
        <v>733</v>
      </c>
      <c r="R265" s="23" t="s">
        <v>417</v>
      </c>
      <c r="S265" s="23" t="s">
        <v>734</v>
      </c>
    </row>
    <row r="266" spans="1:19">
      <c r="A266" s="23" t="s">
        <v>59</v>
      </c>
      <c r="B266" s="23" t="s">
        <v>69</v>
      </c>
      <c r="C266" s="23" t="s">
        <v>23</v>
      </c>
      <c r="D266" s="23" t="s">
        <v>294</v>
      </c>
      <c r="E266" s="23" t="s">
        <v>728</v>
      </c>
      <c r="F266" s="23" t="s">
        <v>931</v>
      </c>
      <c r="G266" s="23" t="s">
        <v>932</v>
      </c>
      <c r="H266" s="23" t="s">
        <v>933</v>
      </c>
      <c r="I266" s="25">
        <v>183</v>
      </c>
      <c r="J266" s="25">
        <v>153</v>
      </c>
      <c r="K266" s="24">
        <v>0.83606557377049184</v>
      </c>
      <c r="L266" s="24">
        <v>1</v>
      </c>
      <c r="M266" s="24">
        <v>0.46666666666666667</v>
      </c>
      <c r="N266" s="24">
        <v>0</v>
      </c>
      <c r="O266" s="23" t="s">
        <v>732</v>
      </c>
      <c r="P266" s="26">
        <v>0.79800000000000004</v>
      </c>
      <c r="Q266" s="23" t="s">
        <v>733</v>
      </c>
      <c r="R266" s="23" t="s">
        <v>423</v>
      </c>
      <c r="S266" s="23" t="s">
        <v>734</v>
      </c>
    </row>
    <row r="267" spans="1:19">
      <c r="A267" s="23" t="s">
        <v>49</v>
      </c>
      <c r="B267" s="23" t="s">
        <v>57</v>
      </c>
      <c r="C267" s="23" t="s">
        <v>579</v>
      </c>
      <c r="D267" s="23" t="s">
        <v>294</v>
      </c>
      <c r="E267" s="23" t="s">
        <v>295</v>
      </c>
      <c r="F267" s="23" t="s">
        <v>139</v>
      </c>
      <c r="G267" s="23" t="s">
        <v>932</v>
      </c>
      <c r="H267" s="23" t="s">
        <v>933</v>
      </c>
      <c r="I267" s="25">
        <v>59</v>
      </c>
      <c r="J267" s="25">
        <v>56</v>
      </c>
      <c r="K267" s="24">
        <v>0.94915254237288138</v>
      </c>
      <c r="L267" s="24">
        <v>0.19296713764089538</v>
      </c>
      <c r="M267" s="24">
        <v>0.37565217391304351</v>
      </c>
      <c r="N267" s="24">
        <v>0</v>
      </c>
      <c r="O267" s="23" t="s">
        <v>776</v>
      </c>
      <c r="P267" s="26">
        <v>0.56347656701891957</v>
      </c>
      <c r="Q267" s="23" t="s">
        <v>733</v>
      </c>
      <c r="R267" s="23" t="s">
        <v>57</v>
      </c>
      <c r="S267" s="23" t="s">
        <v>734</v>
      </c>
    </row>
    <row r="268" spans="1:19">
      <c r="A268" s="23" t="s">
        <v>98</v>
      </c>
      <c r="B268" s="23" t="s">
        <v>99</v>
      </c>
      <c r="C268" s="23" t="s">
        <v>579</v>
      </c>
      <c r="D268" s="23" t="s">
        <v>294</v>
      </c>
      <c r="E268" s="23" t="s">
        <v>295</v>
      </c>
      <c r="F268" s="23" t="s">
        <v>139</v>
      </c>
      <c r="G268" s="23" t="s">
        <v>934</v>
      </c>
      <c r="H268" s="23" t="s">
        <v>935</v>
      </c>
      <c r="I268" s="25">
        <v>59</v>
      </c>
      <c r="J268" s="25">
        <v>59</v>
      </c>
      <c r="K268" s="24">
        <v>1</v>
      </c>
      <c r="L268" s="24">
        <v>1</v>
      </c>
      <c r="M268" s="24">
        <v>0</v>
      </c>
      <c r="N268" s="24">
        <v>1</v>
      </c>
      <c r="O268" s="23" t="s">
        <v>732</v>
      </c>
      <c r="P268" s="26">
        <v>0.9</v>
      </c>
      <c r="Q268" s="23" t="s">
        <v>733</v>
      </c>
      <c r="R268" s="23" t="s">
        <v>462</v>
      </c>
      <c r="S268" s="23" t="s">
        <v>734</v>
      </c>
    </row>
    <row r="269" spans="1:19">
      <c r="A269" s="23" t="s">
        <v>104</v>
      </c>
      <c r="B269" s="23" t="s">
        <v>108</v>
      </c>
      <c r="C269" s="23" t="s">
        <v>579</v>
      </c>
      <c r="D269" s="23" t="s">
        <v>294</v>
      </c>
      <c r="E269" s="23" t="s">
        <v>295</v>
      </c>
      <c r="F269" s="23" t="s">
        <v>139</v>
      </c>
      <c r="G269" s="23" t="s">
        <v>934</v>
      </c>
      <c r="H269" s="23" t="s">
        <v>935</v>
      </c>
      <c r="I269" s="25">
        <v>59</v>
      </c>
      <c r="J269" s="25">
        <v>59</v>
      </c>
      <c r="K269" s="24">
        <v>1</v>
      </c>
      <c r="L269" s="24">
        <v>1</v>
      </c>
      <c r="M269" s="24">
        <v>0</v>
      </c>
      <c r="N269" s="24">
        <v>1</v>
      </c>
      <c r="O269" s="23" t="s">
        <v>732</v>
      </c>
      <c r="P269" s="26">
        <v>0.9</v>
      </c>
      <c r="Q269" s="23" t="s">
        <v>733</v>
      </c>
      <c r="R269" s="23" t="s">
        <v>483</v>
      </c>
      <c r="S269" s="23" t="s">
        <v>734</v>
      </c>
    </row>
    <row r="270" spans="1:19">
      <c r="A270" s="23" t="s">
        <v>59</v>
      </c>
      <c r="B270" s="23" t="s">
        <v>61</v>
      </c>
      <c r="C270" s="23" t="s">
        <v>579</v>
      </c>
      <c r="D270" s="23" t="s">
        <v>294</v>
      </c>
      <c r="E270" s="23" t="s">
        <v>298</v>
      </c>
      <c r="F270" s="23" t="s">
        <v>135</v>
      </c>
      <c r="G270" s="23" t="s">
        <v>757</v>
      </c>
      <c r="H270" s="23" t="s">
        <v>758</v>
      </c>
      <c r="I270" s="25">
        <v>80</v>
      </c>
      <c r="J270" s="25">
        <v>54</v>
      </c>
      <c r="K270" s="24">
        <v>0.67500000000000004</v>
      </c>
      <c r="L270" s="24">
        <v>2.022307932867716E-2</v>
      </c>
      <c r="M270" s="24">
        <v>1</v>
      </c>
      <c r="N270" s="24">
        <v>0</v>
      </c>
      <c r="O270" s="23" t="s">
        <v>739</v>
      </c>
      <c r="P270" s="26">
        <v>0.61705576983216925</v>
      </c>
      <c r="Q270" s="23" t="s">
        <v>733</v>
      </c>
      <c r="R270" s="23" t="s">
        <v>404</v>
      </c>
      <c r="S270" s="23" t="s">
        <v>734</v>
      </c>
    </row>
    <row r="271" spans="1:19">
      <c r="A271" s="23" t="s">
        <v>49</v>
      </c>
      <c r="B271" s="23" t="s">
        <v>57</v>
      </c>
      <c r="C271" s="23" t="s">
        <v>579</v>
      </c>
      <c r="D271" s="23" t="s">
        <v>294</v>
      </c>
      <c r="E271" s="23" t="s">
        <v>298</v>
      </c>
      <c r="F271" s="23" t="s">
        <v>135</v>
      </c>
      <c r="G271" s="23" t="s">
        <v>757</v>
      </c>
      <c r="H271" s="23" t="s">
        <v>758</v>
      </c>
      <c r="I271" s="25">
        <v>80</v>
      </c>
      <c r="J271" s="25">
        <v>54</v>
      </c>
      <c r="K271" s="24">
        <v>0.67500000000000004</v>
      </c>
      <c r="L271" s="24">
        <v>2.022307932867716E-2</v>
      </c>
      <c r="M271" s="24">
        <v>1</v>
      </c>
      <c r="N271" s="24">
        <v>0</v>
      </c>
      <c r="O271" s="23" t="s">
        <v>739</v>
      </c>
      <c r="P271" s="26">
        <v>0.61705576983216925</v>
      </c>
      <c r="Q271" s="23" t="s">
        <v>733</v>
      </c>
      <c r="R271" s="23" t="s">
        <v>57</v>
      </c>
      <c r="S271" s="23" t="s">
        <v>734</v>
      </c>
    </row>
    <row r="272" spans="1:19">
      <c r="A272" s="23" t="s">
        <v>104</v>
      </c>
      <c r="B272" s="23" t="s">
        <v>108</v>
      </c>
      <c r="C272" s="23" t="s">
        <v>579</v>
      </c>
      <c r="D272" s="23" t="s">
        <v>294</v>
      </c>
      <c r="E272" s="23" t="s">
        <v>298</v>
      </c>
      <c r="F272" s="23" t="s">
        <v>135</v>
      </c>
      <c r="G272" s="23" t="s">
        <v>936</v>
      </c>
      <c r="H272" s="23" t="s">
        <v>937</v>
      </c>
      <c r="I272" s="25">
        <v>80</v>
      </c>
      <c r="J272" s="25">
        <v>77</v>
      </c>
      <c r="K272" s="24">
        <v>0.96250000000000002</v>
      </c>
      <c r="L272" s="24">
        <v>1</v>
      </c>
      <c r="M272" s="24">
        <v>0</v>
      </c>
      <c r="N272" s="24">
        <v>1</v>
      </c>
      <c r="O272" s="23" t="s">
        <v>732</v>
      </c>
      <c r="P272" s="26">
        <v>0.9</v>
      </c>
      <c r="Q272" s="23" t="s">
        <v>733</v>
      </c>
      <c r="R272" s="23" t="s">
        <v>483</v>
      </c>
      <c r="S272" s="23" t="s">
        <v>734</v>
      </c>
    </row>
    <row r="273" spans="1:19">
      <c r="A273" s="23" t="s">
        <v>36</v>
      </c>
      <c r="B273" s="23" t="s">
        <v>47</v>
      </c>
      <c r="C273" s="23" t="s">
        <v>579</v>
      </c>
      <c r="D273" s="23" t="s">
        <v>294</v>
      </c>
      <c r="E273" s="23" t="s">
        <v>300</v>
      </c>
      <c r="F273" s="23" t="s">
        <v>135</v>
      </c>
      <c r="G273" s="23" t="s">
        <v>932</v>
      </c>
      <c r="H273" s="23" t="s">
        <v>933</v>
      </c>
      <c r="I273" s="25">
        <v>117</v>
      </c>
      <c r="J273" s="25">
        <v>104</v>
      </c>
      <c r="K273" s="24">
        <v>0.88888888888888884</v>
      </c>
      <c r="L273" s="24">
        <v>0.73845054770598506</v>
      </c>
      <c r="M273" s="24">
        <v>0.55272727272727273</v>
      </c>
      <c r="N273" s="24">
        <v>0</v>
      </c>
      <c r="O273" s="23" t="s">
        <v>739</v>
      </c>
      <c r="P273" s="26">
        <v>0.76359445510831447</v>
      </c>
      <c r="Q273" s="23" t="s">
        <v>733</v>
      </c>
      <c r="R273" s="23" t="s">
        <v>376</v>
      </c>
      <c r="S273" s="23" t="s">
        <v>734</v>
      </c>
    </row>
    <row r="274" spans="1:19">
      <c r="A274" s="23" t="s">
        <v>49</v>
      </c>
      <c r="B274" s="23" t="s">
        <v>57</v>
      </c>
      <c r="C274" s="23" t="s">
        <v>579</v>
      </c>
      <c r="D274" s="23" t="s">
        <v>294</v>
      </c>
      <c r="E274" s="23" t="s">
        <v>300</v>
      </c>
      <c r="F274" s="23" t="s">
        <v>135</v>
      </c>
      <c r="G274" s="23" t="s">
        <v>932</v>
      </c>
      <c r="H274" s="23" t="s">
        <v>933</v>
      </c>
      <c r="I274" s="25">
        <v>117</v>
      </c>
      <c r="J274" s="25">
        <v>104</v>
      </c>
      <c r="K274" s="24">
        <v>0.88888888888888884</v>
      </c>
      <c r="L274" s="24">
        <v>0.73845054770598506</v>
      </c>
      <c r="M274" s="24">
        <v>0.55272727272727273</v>
      </c>
      <c r="N274" s="24">
        <v>0</v>
      </c>
      <c r="O274" s="23" t="s">
        <v>739</v>
      </c>
      <c r="P274" s="26">
        <v>0.76359445510831447</v>
      </c>
      <c r="Q274" s="23" t="s">
        <v>733</v>
      </c>
      <c r="R274" s="23" t="s">
        <v>57</v>
      </c>
      <c r="S274" s="23" t="s">
        <v>734</v>
      </c>
    </row>
    <row r="275" spans="1:19">
      <c r="A275" s="23" t="s">
        <v>104</v>
      </c>
      <c r="B275" s="23" t="s">
        <v>108</v>
      </c>
      <c r="C275" s="23" t="s">
        <v>579</v>
      </c>
      <c r="D275" s="23" t="s">
        <v>294</v>
      </c>
      <c r="E275" s="23" t="s">
        <v>300</v>
      </c>
      <c r="F275" s="23" t="s">
        <v>135</v>
      </c>
      <c r="G275" s="23" t="s">
        <v>938</v>
      </c>
      <c r="H275" s="23" t="s">
        <v>939</v>
      </c>
      <c r="I275" s="25">
        <v>117</v>
      </c>
      <c r="J275" s="25">
        <v>117</v>
      </c>
      <c r="K275" s="24">
        <v>1</v>
      </c>
      <c r="L275" s="24">
        <v>1</v>
      </c>
      <c r="M275" s="24">
        <v>0</v>
      </c>
      <c r="N275" s="24">
        <v>1</v>
      </c>
      <c r="O275" s="23" t="s">
        <v>732</v>
      </c>
      <c r="P275" s="26">
        <v>0.9</v>
      </c>
      <c r="Q275" s="23" t="s">
        <v>733</v>
      </c>
      <c r="R275" s="23" t="s">
        <v>483</v>
      </c>
      <c r="S275" s="23" t="s">
        <v>734</v>
      </c>
    </row>
    <row r="276" spans="1:19">
      <c r="A276" s="23" t="s">
        <v>104</v>
      </c>
      <c r="B276" s="23" t="s">
        <v>105</v>
      </c>
      <c r="C276" s="23" t="s">
        <v>579</v>
      </c>
      <c r="D276" s="23" t="s">
        <v>294</v>
      </c>
      <c r="E276" s="23" t="s">
        <v>300</v>
      </c>
      <c r="F276" s="23" t="s">
        <v>135</v>
      </c>
      <c r="G276" s="23" t="s">
        <v>938</v>
      </c>
      <c r="H276" s="23" t="s">
        <v>939</v>
      </c>
      <c r="I276" s="25">
        <v>117</v>
      </c>
      <c r="J276" s="25">
        <v>117</v>
      </c>
      <c r="K276" s="24">
        <v>1</v>
      </c>
      <c r="L276" s="24">
        <v>1</v>
      </c>
      <c r="M276" s="24">
        <v>0</v>
      </c>
      <c r="N276" s="24">
        <v>1</v>
      </c>
      <c r="O276" s="23" t="s">
        <v>732</v>
      </c>
      <c r="P276" s="26">
        <v>0.9</v>
      </c>
      <c r="Q276" s="23" t="s">
        <v>733</v>
      </c>
      <c r="R276" s="23" t="s">
        <v>105</v>
      </c>
      <c r="S276" s="23" t="s">
        <v>734</v>
      </c>
    </row>
    <row r="277" spans="1:19">
      <c r="A277" s="23" t="s">
        <v>49</v>
      </c>
      <c r="B277" s="23" t="s">
        <v>50</v>
      </c>
      <c r="C277" s="23" t="s">
        <v>23</v>
      </c>
      <c r="D277" s="23" t="s">
        <v>303</v>
      </c>
      <c r="E277" s="23" t="s">
        <v>728</v>
      </c>
      <c r="F277" s="23" t="s">
        <v>746</v>
      </c>
      <c r="G277" s="23" t="s">
        <v>940</v>
      </c>
      <c r="H277" s="23" t="s">
        <v>941</v>
      </c>
      <c r="I277" s="25">
        <v>154</v>
      </c>
      <c r="J277" s="25">
        <v>135</v>
      </c>
      <c r="K277" s="24">
        <v>0.87662337662337664</v>
      </c>
      <c r="L277" s="24">
        <v>1</v>
      </c>
      <c r="M277" s="24">
        <v>1</v>
      </c>
      <c r="N277" s="24">
        <v>0</v>
      </c>
      <c r="O277" s="23" t="s">
        <v>732</v>
      </c>
      <c r="P277" s="26">
        <v>0.9</v>
      </c>
      <c r="Q277" s="23" t="s">
        <v>733</v>
      </c>
      <c r="R277" s="23" t="s">
        <v>379</v>
      </c>
      <c r="S277" s="23" t="s">
        <v>734</v>
      </c>
    </row>
    <row r="278" spans="1:19">
      <c r="A278" s="23" t="s">
        <v>49</v>
      </c>
      <c r="B278" s="23" t="s">
        <v>53</v>
      </c>
      <c r="C278" s="23" t="s">
        <v>23</v>
      </c>
      <c r="D278" s="23" t="s">
        <v>303</v>
      </c>
      <c r="E278" s="23" t="s">
        <v>728</v>
      </c>
      <c r="F278" s="23" t="s">
        <v>746</v>
      </c>
      <c r="G278" s="23" t="s">
        <v>940</v>
      </c>
      <c r="H278" s="23" t="s">
        <v>941</v>
      </c>
      <c r="I278" s="25">
        <v>154</v>
      </c>
      <c r="J278" s="25">
        <v>135</v>
      </c>
      <c r="K278" s="24">
        <v>0.87662337662337664</v>
      </c>
      <c r="L278" s="24">
        <v>1</v>
      </c>
      <c r="M278" s="24">
        <v>1</v>
      </c>
      <c r="N278" s="24">
        <v>0</v>
      </c>
      <c r="O278" s="23" t="s">
        <v>732</v>
      </c>
      <c r="P278" s="26">
        <v>0.9</v>
      </c>
      <c r="Q278" s="23" t="s">
        <v>733</v>
      </c>
      <c r="R278" s="23" t="s">
        <v>382</v>
      </c>
      <c r="S278" s="23" t="s">
        <v>734</v>
      </c>
    </row>
    <row r="279" spans="1:19">
      <c r="A279" s="23" t="s">
        <v>49</v>
      </c>
      <c r="B279" s="23" t="s">
        <v>58</v>
      </c>
      <c r="C279" s="23" t="s">
        <v>23</v>
      </c>
      <c r="D279" s="23" t="s">
        <v>303</v>
      </c>
      <c r="E279" s="23" t="s">
        <v>728</v>
      </c>
      <c r="F279" s="23" t="s">
        <v>746</v>
      </c>
      <c r="G279" s="23" t="s">
        <v>940</v>
      </c>
      <c r="H279" s="23" t="s">
        <v>941</v>
      </c>
      <c r="I279" s="25">
        <v>154</v>
      </c>
      <c r="J279" s="25">
        <v>135</v>
      </c>
      <c r="K279" s="24">
        <v>0.87662337662337664</v>
      </c>
      <c r="L279" s="24">
        <v>1</v>
      </c>
      <c r="M279" s="24">
        <v>1</v>
      </c>
      <c r="N279" s="24">
        <v>0</v>
      </c>
      <c r="O279" s="23" t="s">
        <v>732</v>
      </c>
      <c r="P279" s="26">
        <v>0.9</v>
      </c>
      <c r="Q279" s="23" t="s">
        <v>733</v>
      </c>
      <c r="R279" s="23" t="s">
        <v>398</v>
      </c>
      <c r="S279" s="23" t="s">
        <v>734</v>
      </c>
    </row>
    <row r="280" spans="1:19">
      <c r="A280" s="23" t="s">
        <v>59</v>
      </c>
      <c r="B280" s="23" t="s">
        <v>86</v>
      </c>
      <c r="C280" s="23" t="s">
        <v>23</v>
      </c>
      <c r="D280" s="23" t="s">
        <v>303</v>
      </c>
      <c r="E280" s="23" t="s">
        <v>728</v>
      </c>
      <c r="F280" s="23" t="s">
        <v>746</v>
      </c>
      <c r="G280" s="23" t="s">
        <v>940</v>
      </c>
      <c r="H280" s="23" t="s">
        <v>941</v>
      </c>
      <c r="I280" s="25">
        <v>154</v>
      </c>
      <c r="J280" s="25">
        <v>135</v>
      </c>
      <c r="K280" s="24">
        <v>0.87662337662337664</v>
      </c>
      <c r="L280" s="24">
        <v>1</v>
      </c>
      <c r="M280" s="24">
        <v>1</v>
      </c>
      <c r="N280" s="24">
        <v>0</v>
      </c>
      <c r="O280" s="23" t="s">
        <v>732</v>
      </c>
      <c r="P280" s="26">
        <v>0.9</v>
      </c>
      <c r="Q280" s="23" t="s">
        <v>733</v>
      </c>
      <c r="R280" s="23" t="s">
        <v>86</v>
      </c>
      <c r="S280" s="23" t="s">
        <v>734</v>
      </c>
    </row>
    <row r="281" spans="1:19">
      <c r="A281" s="23" t="s">
        <v>59</v>
      </c>
      <c r="B281" s="23" t="s">
        <v>90</v>
      </c>
      <c r="C281" s="23" t="s">
        <v>23</v>
      </c>
      <c r="D281" s="23" t="s">
        <v>303</v>
      </c>
      <c r="E281" s="23" t="s">
        <v>728</v>
      </c>
      <c r="F281" s="23" t="s">
        <v>746</v>
      </c>
      <c r="G281" s="23" t="s">
        <v>940</v>
      </c>
      <c r="H281" s="23" t="s">
        <v>941</v>
      </c>
      <c r="I281" s="25">
        <v>154</v>
      </c>
      <c r="J281" s="25">
        <v>135</v>
      </c>
      <c r="K281" s="24">
        <v>0.87662337662337664</v>
      </c>
      <c r="L281" s="24">
        <v>1</v>
      </c>
      <c r="M281" s="24">
        <v>1</v>
      </c>
      <c r="N281" s="24">
        <v>0</v>
      </c>
      <c r="O281" s="23" t="s">
        <v>732</v>
      </c>
      <c r="P281" s="26">
        <v>0.9</v>
      </c>
      <c r="Q281" s="23" t="s">
        <v>733</v>
      </c>
      <c r="R281" s="23" t="s">
        <v>90</v>
      </c>
      <c r="S281" s="23" t="s">
        <v>734</v>
      </c>
    </row>
    <row r="282" spans="1:19">
      <c r="A282" s="23" t="s">
        <v>49</v>
      </c>
      <c r="B282" s="23" t="s">
        <v>55</v>
      </c>
      <c r="C282" s="23" t="s">
        <v>579</v>
      </c>
      <c r="D282" s="23" t="s">
        <v>303</v>
      </c>
      <c r="E282" s="23" t="s">
        <v>304</v>
      </c>
      <c r="F282" s="23" t="s">
        <v>81</v>
      </c>
      <c r="G282" s="23" t="s">
        <v>942</v>
      </c>
      <c r="H282" s="23" t="s">
        <v>943</v>
      </c>
      <c r="I282" s="25">
        <v>56</v>
      </c>
      <c r="J282" s="25">
        <v>48</v>
      </c>
      <c r="K282" s="24">
        <v>0.8571428571428571</v>
      </c>
      <c r="L282" s="24">
        <v>1</v>
      </c>
      <c r="M282" s="24">
        <v>1</v>
      </c>
      <c r="N282" s="24">
        <v>0</v>
      </c>
      <c r="O282" s="23" t="s">
        <v>732</v>
      </c>
      <c r="P282" s="26">
        <v>0.9</v>
      </c>
      <c r="Q282" s="23" t="s">
        <v>733</v>
      </c>
      <c r="R282" s="23" t="s">
        <v>389</v>
      </c>
      <c r="S282" s="23" t="s">
        <v>734</v>
      </c>
    </row>
    <row r="283" spans="1:19">
      <c r="A283" s="23" t="s">
        <v>59</v>
      </c>
      <c r="B283" s="23" t="s">
        <v>77</v>
      </c>
      <c r="C283" s="23" t="s">
        <v>579</v>
      </c>
      <c r="D283" s="23" t="s">
        <v>303</v>
      </c>
      <c r="E283" s="23" t="s">
        <v>304</v>
      </c>
      <c r="F283" s="23" t="s">
        <v>81</v>
      </c>
      <c r="G283" s="23" t="s">
        <v>942</v>
      </c>
      <c r="H283" s="23" t="s">
        <v>943</v>
      </c>
      <c r="I283" s="25">
        <v>56</v>
      </c>
      <c r="J283" s="25">
        <v>48</v>
      </c>
      <c r="K283" s="24">
        <v>0.8571428571428571</v>
      </c>
      <c r="L283" s="24">
        <v>1</v>
      </c>
      <c r="M283" s="24">
        <v>1</v>
      </c>
      <c r="N283" s="24">
        <v>0</v>
      </c>
      <c r="O283" s="23" t="s">
        <v>732</v>
      </c>
      <c r="P283" s="26">
        <v>0.9</v>
      </c>
      <c r="Q283" s="23" t="s">
        <v>733</v>
      </c>
      <c r="R283" s="23" t="s">
        <v>430</v>
      </c>
      <c r="S283" s="23" t="s">
        <v>734</v>
      </c>
    </row>
    <row r="284" spans="1:19">
      <c r="A284" s="23" t="s">
        <v>59</v>
      </c>
      <c r="B284" s="23" t="s">
        <v>61</v>
      </c>
      <c r="C284" s="23" t="s">
        <v>579</v>
      </c>
      <c r="D284" s="23" t="s">
        <v>303</v>
      </c>
      <c r="E284" s="23" t="s">
        <v>306</v>
      </c>
      <c r="F284" s="23" t="s">
        <v>139</v>
      </c>
      <c r="G284" s="23" t="s">
        <v>940</v>
      </c>
      <c r="H284" s="23" t="s">
        <v>941</v>
      </c>
      <c r="I284" s="25">
        <v>38</v>
      </c>
      <c r="J284" s="25">
        <v>32</v>
      </c>
      <c r="K284" s="24">
        <v>0.84210526315789469</v>
      </c>
      <c r="L284" s="24">
        <v>0.19808027923211169</v>
      </c>
      <c r="M284" s="24">
        <v>0.96362433862433861</v>
      </c>
      <c r="N284" s="24">
        <v>0</v>
      </c>
      <c r="O284" s="23" t="s">
        <v>739</v>
      </c>
      <c r="P284" s="26">
        <v>0.69952006980802794</v>
      </c>
      <c r="Q284" s="23" t="s">
        <v>733</v>
      </c>
      <c r="R284" s="23" t="s">
        <v>404</v>
      </c>
      <c r="S284" s="23" t="s">
        <v>734</v>
      </c>
    </row>
    <row r="285" spans="1:19">
      <c r="A285" s="23" t="s">
        <v>98</v>
      </c>
      <c r="B285" s="23" t="s">
        <v>101</v>
      </c>
      <c r="C285" s="23" t="s">
        <v>579</v>
      </c>
      <c r="D285" s="23" t="s">
        <v>303</v>
      </c>
      <c r="E285" s="23" t="s">
        <v>306</v>
      </c>
      <c r="F285" s="23" t="s">
        <v>139</v>
      </c>
      <c r="G285" s="23" t="s">
        <v>944</v>
      </c>
      <c r="H285" s="23" t="s">
        <v>945</v>
      </c>
      <c r="I285" s="25">
        <v>38</v>
      </c>
      <c r="J285" s="25">
        <v>38</v>
      </c>
      <c r="K285" s="24">
        <v>1</v>
      </c>
      <c r="L285" s="24">
        <v>1</v>
      </c>
      <c r="M285" s="24">
        <v>0</v>
      </c>
      <c r="N285" s="24">
        <v>1</v>
      </c>
      <c r="O285" s="23" t="s">
        <v>732</v>
      </c>
      <c r="P285" s="26">
        <v>0.9</v>
      </c>
      <c r="Q285" s="23" t="s">
        <v>733</v>
      </c>
      <c r="R285" s="23" t="s">
        <v>469</v>
      </c>
      <c r="S285" s="23" t="s">
        <v>734</v>
      </c>
    </row>
    <row r="286" spans="1:19">
      <c r="A286" s="23" t="s">
        <v>98</v>
      </c>
      <c r="B286" s="23" t="s">
        <v>99</v>
      </c>
      <c r="C286" s="23" t="s">
        <v>579</v>
      </c>
      <c r="D286" s="23" t="s">
        <v>303</v>
      </c>
      <c r="E286" s="23" t="s">
        <v>306</v>
      </c>
      <c r="F286" s="23" t="s">
        <v>139</v>
      </c>
      <c r="G286" s="23" t="s">
        <v>944</v>
      </c>
      <c r="H286" s="23" t="s">
        <v>945</v>
      </c>
      <c r="I286" s="25">
        <v>38</v>
      </c>
      <c r="J286" s="25">
        <v>38</v>
      </c>
      <c r="K286" s="24">
        <v>1</v>
      </c>
      <c r="L286" s="24">
        <v>1</v>
      </c>
      <c r="M286" s="24">
        <v>0</v>
      </c>
      <c r="N286" s="24">
        <v>1</v>
      </c>
      <c r="O286" s="23" t="s">
        <v>732</v>
      </c>
      <c r="P286" s="26">
        <v>0.9</v>
      </c>
      <c r="Q286" s="23" t="s">
        <v>733</v>
      </c>
      <c r="R286" s="23" t="s">
        <v>462</v>
      </c>
      <c r="S286" s="23" t="s">
        <v>734</v>
      </c>
    </row>
    <row r="287" spans="1:19">
      <c r="A287" s="23" t="s">
        <v>104</v>
      </c>
      <c r="B287" s="23" t="s">
        <v>109</v>
      </c>
      <c r="C287" s="23" t="s">
        <v>579</v>
      </c>
      <c r="D287" s="23" t="s">
        <v>303</v>
      </c>
      <c r="E287" s="23" t="s">
        <v>306</v>
      </c>
      <c r="F287" s="23" t="s">
        <v>139</v>
      </c>
      <c r="G287" s="23" t="s">
        <v>944</v>
      </c>
      <c r="H287" s="23" t="s">
        <v>945</v>
      </c>
      <c r="I287" s="25">
        <v>38</v>
      </c>
      <c r="J287" s="25">
        <v>38</v>
      </c>
      <c r="K287" s="24">
        <v>1</v>
      </c>
      <c r="L287" s="24">
        <v>1</v>
      </c>
      <c r="M287" s="24">
        <v>0</v>
      </c>
      <c r="N287" s="24">
        <v>1</v>
      </c>
      <c r="O287" s="23" t="s">
        <v>732</v>
      </c>
      <c r="P287" s="26">
        <v>0.9</v>
      </c>
      <c r="Q287" s="23" t="s">
        <v>733</v>
      </c>
      <c r="R287" s="23" t="s">
        <v>486</v>
      </c>
      <c r="S287" s="23" t="s">
        <v>734</v>
      </c>
    </row>
    <row r="288" spans="1:19">
      <c r="A288" s="23" t="s">
        <v>59</v>
      </c>
      <c r="B288" s="23" t="s">
        <v>60</v>
      </c>
      <c r="C288" s="23" t="s">
        <v>579</v>
      </c>
      <c r="D288" s="23" t="s">
        <v>303</v>
      </c>
      <c r="E288" s="23" t="s">
        <v>309</v>
      </c>
      <c r="F288" s="23" t="s">
        <v>139</v>
      </c>
      <c r="G288" s="23" t="s">
        <v>940</v>
      </c>
      <c r="H288" s="23" t="s">
        <v>941</v>
      </c>
      <c r="I288" s="25">
        <v>91</v>
      </c>
      <c r="J288" s="25">
        <v>70</v>
      </c>
      <c r="K288" s="24">
        <v>0.76923076923076927</v>
      </c>
      <c r="L288" s="24">
        <v>0.50407213496218728</v>
      </c>
      <c r="M288" s="24">
        <v>1</v>
      </c>
      <c r="N288" s="24">
        <v>0</v>
      </c>
      <c r="O288" s="23" t="s">
        <v>739</v>
      </c>
      <c r="P288" s="26">
        <v>0.7760180337405469</v>
      </c>
      <c r="Q288" s="23" t="s">
        <v>733</v>
      </c>
      <c r="R288" s="23" t="s">
        <v>401</v>
      </c>
      <c r="S288" s="23" t="s">
        <v>734</v>
      </c>
    </row>
    <row r="289" spans="1:19">
      <c r="A289" s="23" t="s">
        <v>49</v>
      </c>
      <c r="B289" s="23" t="s">
        <v>57</v>
      </c>
      <c r="C289" s="23" t="s">
        <v>579</v>
      </c>
      <c r="D289" s="23" t="s">
        <v>303</v>
      </c>
      <c r="E289" s="23" t="s">
        <v>309</v>
      </c>
      <c r="F289" s="23" t="s">
        <v>139</v>
      </c>
      <c r="G289" s="23" t="s">
        <v>940</v>
      </c>
      <c r="H289" s="23" t="s">
        <v>941</v>
      </c>
      <c r="I289" s="25">
        <v>91</v>
      </c>
      <c r="J289" s="25">
        <v>70</v>
      </c>
      <c r="K289" s="24">
        <v>0.76923076923076927</v>
      </c>
      <c r="L289" s="24">
        <v>0.50407213496218728</v>
      </c>
      <c r="M289" s="24">
        <v>1</v>
      </c>
      <c r="N289" s="24">
        <v>0</v>
      </c>
      <c r="O289" s="23" t="s">
        <v>739</v>
      </c>
      <c r="P289" s="26">
        <v>0.7760180337405469</v>
      </c>
      <c r="Q289" s="23" t="s">
        <v>733</v>
      </c>
      <c r="R289" s="23" t="s">
        <v>57</v>
      </c>
      <c r="S289" s="23" t="s">
        <v>734</v>
      </c>
    </row>
    <row r="290" spans="1:19">
      <c r="A290" s="23" t="s">
        <v>104</v>
      </c>
      <c r="B290" s="23" t="s">
        <v>106</v>
      </c>
      <c r="C290" s="23" t="s">
        <v>579</v>
      </c>
      <c r="D290" s="23" t="s">
        <v>303</v>
      </c>
      <c r="E290" s="23" t="s">
        <v>309</v>
      </c>
      <c r="F290" s="23" t="s">
        <v>139</v>
      </c>
      <c r="G290" s="23" t="s">
        <v>946</v>
      </c>
      <c r="H290" s="23" t="s">
        <v>947</v>
      </c>
      <c r="I290" s="25">
        <v>91</v>
      </c>
      <c r="J290" s="25">
        <v>91</v>
      </c>
      <c r="K290" s="24">
        <v>1</v>
      </c>
      <c r="L290" s="24">
        <v>1</v>
      </c>
      <c r="M290" s="24">
        <v>0</v>
      </c>
      <c r="N290" s="24">
        <v>1</v>
      </c>
      <c r="O290" s="23" t="s">
        <v>732</v>
      </c>
      <c r="P290" s="26">
        <v>0.9</v>
      </c>
      <c r="Q290" s="23" t="s">
        <v>733</v>
      </c>
      <c r="R290" s="23" t="s">
        <v>477</v>
      </c>
      <c r="S290" s="23" t="s">
        <v>734</v>
      </c>
    </row>
    <row r="291" spans="1:19">
      <c r="A291" s="23" t="s">
        <v>104</v>
      </c>
      <c r="B291" s="23" t="s">
        <v>107</v>
      </c>
      <c r="C291" s="23" t="s">
        <v>579</v>
      </c>
      <c r="D291" s="23" t="s">
        <v>303</v>
      </c>
      <c r="E291" s="23" t="s">
        <v>309</v>
      </c>
      <c r="F291" s="23" t="s">
        <v>139</v>
      </c>
      <c r="G291" s="23" t="s">
        <v>946</v>
      </c>
      <c r="H291" s="23" t="s">
        <v>947</v>
      </c>
      <c r="I291" s="25">
        <v>91</v>
      </c>
      <c r="J291" s="25">
        <v>91</v>
      </c>
      <c r="K291" s="24">
        <v>1</v>
      </c>
      <c r="L291" s="24">
        <v>1</v>
      </c>
      <c r="M291" s="24">
        <v>0</v>
      </c>
      <c r="N291" s="24">
        <v>1</v>
      </c>
      <c r="O291" s="23" t="s">
        <v>732</v>
      </c>
      <c r="P291" s="26">
        <v>0.9</v>
      </c>
      <c r="Q291" s="23" t="s">
        <v>733</v>
      </c>
      <c r="R291" s="23" t="s">
        <v>480</v>
      </c>
      <c r="S291" s="23" t="s">
        <v>734</v>
      </c>
    </row>
    <row r="292" spans="1:19">
      <c r="A292" s="23" t="s">
        <v>36</v>
      </c>
      <c r="B292" s="23" t="s">
        <v>42</v>
      </c>
      <c r="C292" s="23" t="s">
        <v>23</v>
      </c>
      <c r="D292" s="23" t="s">
        <v>312</v>
      </c>
      <c r="E292" s="23" t="s">
        <v>728</v>
      </c>
      <c r="F292" s="23" t="s">
        <v>139</v>
      </c>
      <c r="G292" s="23" t="s">
        <v>948</v>
      </c>
      <c r="H292" s="23" t="s">
        <v>949</v>
      </c>
      <c r="I292" s="25">
        <v>181</v>
      </c>
      <c r="J292" s="25">
        <v>130</v>
      </c>
      <c r="K292" s="24">
        <v>0.71823204419889508</v>
      </c>
      <c r="L292" s="24">
        <v>1</v>
      </c>
      <c r="M292" s="24">
        <v>0.91833333333333333</v>
      </c>
      <c r="N292" s="24">
        <v>0</v>
      </c>
      <c r="O292" s="23" t="s">
        <v>732</v>
      </c>
      <c r="P292" s="26">
        <v>0.88390423572744026</v>
      </c>
      <c r="Q292" s="23" t="s">
        <v>733</v>
      </c>
      <c r="R292" s="23" t="s">
        <v>360</v>
      </c>
      <c r="S292" s="23" t="s">
        <v>734</v>
      </c>
    </row>
    <row r="293" spans="1:19">
      <c r="A293" s="23" t="s">
        <v>49</v>
      </c>
      <c r="B293" s="23" t="s">
        <v>54</v>
      </c>
      <c r="C293" s="23" t="s">
        <v>23</v>
      </c>
      <c r="D293" s="23" t="s">
        <v>312</v>
      </c>
      <c r="E293" s="23" t="s">
        <v>728</v>
      </c>
      <c r="F293" s="23" t="s">
        <v>139</v>
      </c>
      <c r="G293" s="23" t="s">
        <v>948</v>
      </c>
      <c r="H293" s="23" t="s">
        <v>949</v>
      </c>
      <c r="I293" s="25">
        <v>181</v>
      </c>
      <c r="J293" s="25">
        <v>130</v>
      </c>
      <c r="K293" s="24">
        <v>0.71823204419889508</v>
      </c>
      <c r="L293" s="24">
        <v>1</v>
      </c>
      <c r="M293" s="24">
        <v>0.91833333333333333</v>
      </c>
      <c r="N293" s="24">
        <v>0</v>
      </c>
      <c r="O293" s="23" t="s">
        <v>732</v>
      </c>
      <c r="P293" s="26">
        <v>0.88390423572744026</v>
      </c>
      <c r="Q293" s="23" t="s">
        <v>733</v>
      </c>
      <c r="R293" s="23" t="s">
        <v>385</v>
      </c>
      <c r="S293" s="23" t="s">
        <v>734</v>
      </c>
    </row>
    <row r="294" spans="1:19">
      <c r="A294" s="23" t="s">
        <v>59</v>
      </c>
      <c r="B294" s="23" t="s">
        <v>63</v>
      </c>
      <c r="C294" s="23" t="s">
        <v>23</v>
      </c>
      <c r="D294" s="23" t="s">
        <v>312</v>
      </c>
      <c r="E294" s="23" t="s">
        <v>728</v>
      </c>
      <c r="F294" s="23" t="s">
        <v>139</v>
      </c>
      <c r="G294" s="23" t="s">
        <v>948</v>
      </c>
      <c r="H294" s="23" t="s">
        <v>949</v>
      </c>
      <c r="I294" s="25">
        <v>181</v>
      </c>
      <c r="J294" s="25">
        <v>130</v>
      </c>
      <c r="K294" s="24">
        <v>0.71823204419889508</v>
      </c>
      <c r="L294" s="24">
        <v>1</v>
      </c>
      <c r="M294" s="24">
        <v>0.91833333333333333</v>
      </c>
      <c r="N294" s="24">
        <v>0</v>
      </c>
      <c r="O294" s="23" t="s">
        <v>732</v>
      </c>
      <c r="P294" s="26">
        <v>0.88390423572744026</v>
      </c>
      <c r="Q294" s="23" t="s">
        <v>733</v>
      </c>
      <c r="R294" s="23" t="s">
        <v>410</v>
      </c>
      <c r="S294" s="23" t="s">
        <v>734</v>
      </c>
    </row>
    <row r="295" spans="1:19">
      <c r="A295" s="23" t="s">
        <v>59</v>
      </c>
      <c r="B295" s="23" t="s">
        <v>61</v>
      </c>
      <c r="C295" s="23" t="s">
        <v>579</v>
      </c>
      <c r="D295" s="23" t="s">
        <v>312</v>
      </c>
      <c r="E295" s="23" t="s">
        <v>313</v>
      </c>
      <c r="F295" s="23" t="s">
        <v>139</v>
      </c>
      <c r="G295" s="23" t="s">
        <v>948</v>
      </c>
      <c r="H295" s="23" t="s">
        <v>949</v>
      </c>
      <c r="I295" s="25">
        <v>148</v>
      </c>
      <c r="J295" s="25">
        <v>96</v>
      </c>
      <c r="K295" s="24">
        <v>0.64864864864864868</v>
      </c>
      <c r="L295" s="24">
        <v>0.92986546520054192</v>
      </c>
      <c r="M295" s="24">
        <v>0.90833333333333333</v>
      </c>
      <c r="N295" s="24">
        <v>0</v>
      </c>
      <c r="O295" s="23" t="s">
        <v>732</v>
      </c>
      <c r="P295" s="26">
        <v>0.83111501494878415</v>
      </c>
      <c r="Q295" s="23" t="s">
        <v>733</v>
      </c>
      <c r="R295" s="23" t="s">
        <v>404</v>
      </c>
      <c r="S295" s="23" t="s">
        <v>734</v>
      </c>
    </row>
    <row r="296" spans="1:19">
      <c r="A296" s="23" t="s">
        <v>104</v>
      </c>
      <c r="B296" s="23" t="s">
        <v>108</v>
      </c>
      <c r="C296" s="23" t="s">
        <v>579</v>
      </c>
      <c r="D296" s="23" t="s">
        <v>312</v>
      </c>
      <c r="E296" s="23" t="s">
        <v>313</v>
      </c>
      <c r="F296" s="23" t="s">
        <v>139</v>
      </c>
      <c r="G296" s="23" t="s">
        <v>950</v>
      </c>
      <c r="H296" s="23" t="s">
        <v>951</v>
      </c>
      <c r="I296" s="25">
        <v>148</v>
      </c>
      <c r="J296" s="25">
        <v>148</v>
      </c>
      <c r="K296" s="24">
        <v>1</v>
      </c>
      <c r="L296" s="24">
        <v>0.9724602712372078</v>
      </c>
      <c r="M296" s="24">
        <v>0</v>
      </c>
      <c r="N296" s="24">
        <v>1</v>
      </c>
      <c r="O296" s="23" t="s">
        <v>732</v>
      </c>
      <c r="P296" s="26">
        <v>0.89311506780930194</v>
      </c>
      <c r="Q296" s="23" t="s">
        <v>733</v>
      </c>
      <c r="R296" s="23" t="s">
        <v>483</v>
      </c>
      <c r="S296" s="23" t="s">
        <v>734</v>
      </c>
    </row>
    <row r="297" spans="1:19">
      <c r="A297" s="23" t="s">
        <v>94</v>
      </c>
      <c r="B297" s="23" t="s">
        <v>97</v>
      </c>
      <c r="C297" s="23" t="s">
        <v>579</v>
      </c>
      <c r="D297" s="23" t="s">
        <v>312</v>
      </c>
      <c r="E297" s="23" t="s">
        <v>313</v>
      </c>
      <c r="F297" s="23" t="s">
        <v>139</v>
      </c>
      <c r="G297" s="23" t="s">
        <v>950</v>
      </c>
      <c r="H297" s="23" t="s">
        <v>951</v>
      </c>
      <c r="I297" s="25">
        <v>148</v>
      </c>
      <c r="J297" s="25">
        <v>148</v>
      </c>
      <c r="K297" s="24">
        <v>1</v>
      </c>
      <c r="L297" s="24">
        <v>0.9724602712372078</v>
      </c>
      <c r="M297" s="24">
        <v>0</v>
      </c>
      <c r="N297" s="24">
        <v>1</v>
      </c>
      <c r="O297" s="23" t="s">
        <v>732</v>
      </c>
      <c r="P297" s="26">
        <v>0.89311506780930194</v>
      </c>
      <c r="Q297" s="23" t="s">
        <v>733</v>
      </c>
      <c r="R297" s="23" t="s">
        <v>459</v>
      </c>
      <c r="S297" s="23" t="s">
        <v>734</v>
      </c>
    </row>
    <row r="298" spans="1:19">
      <c r="A298" s="23" t="s">
        <v>104</v>
      </c>
      <c r="B298" s="23" t="s">
        <v>105</v>
      </c>
      <c r="C298" s="23" t="s">
        <v>579</v>
      </c>
      <c r="D298" s="23" t="s">
        <v>312</v>
      </c>
      <c r="E298" s="23" t="s">
        <v>313</v>
      </c>
      <c r="F298" s="23" t="s">
        <v>139</v>
      </c>
      <c r="G298" s="23" t="s">
        <v>950</v>
      </c>
      <c r="H298" s="23" t="s">
        <v>951</v>
      </c>
      <c r="I298" s="25">
        <v>148</v>
      </c>
      <c r="J298" s="25">
        <v>148</v>
      </c>
      <c r="K298" s="24">
        <v>1</v>
      </c>
      <c r="L298" s="24">
        <v>0.9724602712372078</v>
      </c>
      <c r="M298" s="24">
        <v>0</v>
      </c>
      <c r="N298" s="24">
        <v>1</v>
      </c>
      <c r="O298" s="23" t="s">
        <v>732</v>
      </c>
      <c r="P298" s="26">
        <v>0.89311506780930194</v>
      </c>
      <c r="Q298" s="23" t="s">
        <v>733</v>
      </c>
      <c r="R298" s="23" t="s">
        <v>105</v>
      </c>
      <c r="S298" s="23" t="s">
        <v>734</v>
      </c>
    </row>
    <row r="299" spans="1:19">
      <c r="A299" s="23" t="s">
        <v>104</v>
      </c>
      <c r="B299" s="23" t="s">
        <v>106</v>
      </c>
      <c r="C299" s="23" t="s">
        <v>579</v>
      </c>
      <c r="D299" s="23" t="s">
        <v>312</v>
      </c>
      <c r="E299" s="23" t="s">
        <v>313</v>
      </c>
      <c r="F299" s="23" t="s">
        <v>139</v>
      </c>
      <c r="G299" s="23" t="s">
        <v>950</v>
      </c>
      <c r="H299" s="23" t="s">
        <v>951</v>
      </c>
      <c r="I299" s="25">
        <v>148</v>
      </c>
      <c r="J299" s="25">
        <v>148</v>
      </c>
      <c r="K299" s="24">
        <v>1</v>
      </c>
      <c r="L299" s="24">
        <v>0.9724602712372078</v>
      </c>
      <c r="M299" s="24">
        <v>0</v>
      </c>
      <c r="N299" s="24">
        <v>1</v>
      </c>
      <c r="O299" s="23" t="s">
        <v>732</v>
      </c>
      <c r="P299" s="26">
        <v>0.89311506780930194</v>
      </c>
      <c r="Q299" s="23" t="s">
        <v>733</v>
      </c>
      <c r="R299" s="23" t="s">
        <v>477</v>
      </c>
      <c r="S299" s="23" t="s">
        <v>734</v>
      </c>
    </row>
    <row r="300" spans="1:19">
      <c r="A300" s="23" t="s">
        <v>49</v>
      </c>
      <c r="B300" s="23" t="s">
        <v>55</v>
      </c>
      <c r="C300" s="23" t="s">
        <v>579</v>
      </c>
      <c r="D300" s="23" t="s">
        <v>312</v>
      </c>
      <c r="E300" s="23" t="s">
        <v>316</v>
      </c>
      <c r="F300" s="23" t="s">
        <v>139</v>
      </c>
      <c r="G300" s="23" t="s">
        <v>952</v>
      </c>
      <c r="H300" s="23" t="s">
        <v>953</v>
      </c>
      <c r="I300" s="25">
        <v>3</v>
      </c>
      <c r="J300" s="25">
        <v>3</v>
      </c>
      <c r="K300" s="24">
        <v>1</v>
      </c>
      <c r="L300" s="24">
        <v>1</v>
      </c>
      <c r="M300" s="24">
        <v>4.1666666666666664E-2</v>
      </c>
      <c r="N300" s="24">
        <v>0</v>
      </c>
      <c r="O300" s="23" t="s">
        <v>776</v>
      </c>
      <c r="P300" s="26">
        <v>0.50955000000000006</v>
      </c>
      <c r="Q300" s="23" t="s">
        <v>733</v>
      </c>
      <c r="R300" s="23" t="s">
        <v>389</v>
      </c>
      <c r="S300" s="23" t="s">
        <v>734</v>
      </c>
    </row>
    <row r="301" spans="1:19">
      <c r="A301" s="23" t="s">
        <v>98</v>
      </c>
      <c r="B301" s="23" t="s">
        <v>99</v>
      </c>
      <c r="C301" s="23" t="s">
        <v>579</v>
      </c>
      <c r="D301" s="23" t="s">
        <v>312</v>
      </c>
      <c r="E301" s="23" t="s">
        <v>316</v>
      </c>
      <c r="F301" s="23" t="s">
        <v>139</v>
      </c>
      <c r="G301" s="23" t="s">
        <v>954</v>
      </c>
      <c r="H301" s="23" t="s">
        <v>955</v>
      </c>
      <c r="I301" s="25">
        <v>3</v>
      </c>
      <c r="J301" s="25">
        <v>3</v>
      </c>
      <c r="K301" s="24">
        <v>1</v>
      </c>
      <c r="L301" s="24">
        <v>1</v>
      </c>
      <c r="M301" s="24">
        <v>4.1666666666666664E-2</v>
      </c>
      <c r="N301" s="24">
        <v>1</v>
      </c>
      <c r="O301" s="23" t="s">
        <v>739</v>
      </c>
      <c r="P301" s="26">
        <v>0.71100000000000008</v>
      </c>
      <c r="Q301" s="23" t="s">
        <v>733</v>
      </c>
      <c r="R301" s="23" t="s">
        <v>462</v>
      </c>
      <c r="S301" s="23" t="s">
        <v>734</v>
      </c>
    </row>
    <row r="302" spans="1:19">
      <c r="A302" s="23" t="s">
        <v>104</v>
      </c>
      <c r="B302" s="23" t="s">
        <v>108</v>
      </c>
      <c r="C302" s="23" t="s">
        <v>579</v>
      </c>
      <c r="D302" s="23" t="s">
        <v>312</v>
      </c>
      <c r="E302" s="23" t="s">
        <v>316</v>
      </c>
      <c r="F302" s="23" t="s">
        <v>139</v>
      </c>
      <c r="G302" s="23" t="s">
        <v>954</v>
      </c>
      <c r="H302" s="23" t="s">
        <v>955</v>
      </c>
      <c r="I302" s="25">
        <v>3</v>
      </c>
      <c r="J302" s="25">
        <v>3</v>
      </c>
      <c r="K302" s="24">
        <v>1</v>
      </c>
      <c r="L302" s="24">
        <v>1</v>
      </c>
      <c r="M302" s="24">
        <v>4.1666666666666664E-2</v>
      </c>
      <c r="N302" s="24">
        <v>1</v>
      </c>
      <c r="O302" s="23" t="s">
        <v>739</v>
      </c>
      <c r="P302" s="26">
        <v>0.71100000000000008</v>
      </c>
      <c r="Q302" s="23" t="s">
        <v>733</v>
      </c>
      <c r="R302" s="23" t="s">
        <v>483</v>
      </c>
      <c r="S302" s="23" t="s">
        <v>734</v>
      </c>
    </row>
    <row r="303" spans="1:19">
      <c r="A303" s="23" t="s">
        <v>94</v>
      </c>
      <c r="B303" s="23" t="s">
        <v>97</v>
      </c>
      <c r="C303" s="23" t="s">
        <v>579</v>
      </c>
      <c r="D303" s="23" t="s">
        <v>312</v>
      </c>
      <c r="E303" s="23" t="s">
        <v>316</v>
      </c>
      <c r="F303" s="23" t="s">
        <v>139</v>
      </c>
      <c r="G303" s="23" t="s">
        <v>954</v>
      </c>
      <c r="H303" s="23" t="s">
        <v>955</v>
      </c>
      <c r="I303" s="25">
        <v>3</v>
      </c>
      <c r="J303" s="25">
        <v>3</v>
      </c>
      <c r="K303" s="24">
        <v>1</v>
      </c>
      <c r="L303" s="24">
        <v>1</v>
      </c>
      <c r="M303" s="24">
        <v>4.1666666666666664E-2</v>
      </c>
      <c r="N303" s="24">
        <v>1</v>
      </c>
      <c r="O303" s="23" t="s">
        <v>739</v>
      </c>
      <c r="P303" s="26">
        <v>0.71100000000000008</v>
      </c>
      <c r="Q303" s="23" t="s">
        <v>733</v>
      </c>
      <c r="R303" s="23" t="s">
        <v>459</v>
      </c>
      <c r="S303" s="23" t="s">
        <v>734</v>
      </c>
    </row>
    <row r="304" spans="1:19">
      <c r="A304" s="23" t="s">
        <v>104</v>
      </c>
      <c r="B304" s="23" t="s">
        <v>105</v>
      </c>
      <c r="C304" s="23" t="s">
        <v>579</v>
      </c>
      <c r="D304" s="23" t="s">
        <v>312</v>
      </c>
      <c r="E304" s="23" t="s">
        <v>316</v>
      </c>
      <c r="F304" s="23" t="s">
        <v>139</v>
      </c>
      <c r="G304" s="23" t="s">
        <v>954</v>
      </c>
      <c r="H304" s="23" t="s">
        <v>955</v>
      </c>
      <c r="I304" s="25">
        <v>3</v>
      </c>
      <c r="J304" s="25">
        <v>3</v>
      </c>
      <c r="K304" s="24">
        <v>1</v>
      </c>
      <c r="L304" s="24">
        <v>1</v>
      </c>
      <c r="M304" s="24">
        <v>4.1666666666666664E-2</v>
      </c>
      <c r="N304" s="24">
        <v>1</v>
      </c>
      <c r="O304" s="23" t="s">
        <v>739</v>
      </c>
      <c r="P304" s="26">
        <v>0.71100000000000008</v>
      </c>
      <c r="Q304" s="23" t="s">
        <v>733</v>
      </c>
      <c r="R304" s="23" t="s">
        <v>105</v>
      </c>
      <c r="S304" s="23" t="s">
        <v>734</v>
      </c>
    </row>
    <row r="305" spans="1:19">
      <c r="A305" s="23" t="s">
        <v>104</v>
      </c>
      <c r="B305" s="23" t="s">
        <v>106</v>
      </c>
      <c r="C305" s="23" t="s">
        <v>579</v>
      </c>
      <c r="D305" s="23" t="s">
        <v>312</v>
      </c>
      <c r="E305" s="23" t="s">
        <v>316</v>
      </c>
      <c r="F305" s="23" t="s">
        <v>139</v>
      </c>
      <c r="G305" s="23" t="s">
        <v>954</v>
      </c>
      <c r="H305" s="23" t="s">
        <v>955</v>
      </c>
      <c r="I305" s="25">
        <v>3</v>
      </c>
      <c r="J305" s="25">
        <v>3</v>
      </c>
      <c r="K305" s="24">
        <v>1</v>
      </c>
      <c r="L305" s="24">
        <v>1</v>
      </c>
      <c r="M305" s="24">
        <v>4.1666666666666664E-2</v>
      </c>
      <c r="N305" s="24">
        <v>1</v>
      </c>
      <c r="O305" s="23" t="s">
        <v>739</v>
      </c>
      <c r="P305" s="26">
        <v>0.71100000000000008</v>
      </c>
      <c r="Q305" s="23" t="s">
        <v>733</v>
      </c>
      <c r="R305" s="23" t="s">
        <v>477</v>
      </c>
      <c r="S305" s="23" t="s">
        <v>734</v>
      </c>
    </row>
    <row r="306" spans="1:19">
      <c r="A306" s="23" t="s">
        <v>59</v>
      </c>
      <c r="B306" s="23" t="s">
        <v>60</v>
      </c>
      <c r="C306" s="23" t="s">
        <v>579</v>
      </c>
      <c r="D306" s="23" t="s">
        <v>312</v>
      </c>
      <c r="E306" s="23" t="s">
        <v>319</v>
      </c>
      <c r="F306" s="23" t="s">
        <v>139</v>
      </c>
      <c r="G306" s="23" t="s">
        <v>948</v>
      </c>
      <c r="H306" s="23" t="s">
        <v>949</v>
      </c>
      <c r="I306" s="25">
        <v>56</v>
      </c>
      <c r="J306" s="25">
        <v>44</v>
      </c>
      <c r="K306" s="24">
        <v>0.7857142857142857</v>
      </c>
      <c r="L306" s="24">
        <v>6.8370143986893103E-2</v>
      </c>
      <c r="M306" s="24">
        <v>0.93772893772893773</v>
      </c>
      <c r="N306" s="24">
        <v>0</v>
      </c>
      <c r="O306" s="23" t="s">
        <v>739</v>
      </c>
      <c r="P306" s="26">
        <v>0.66709253599672325</v>
      </c>
      <c r="Q306" s="23" t="s">
        <v>733</v>
      </c>
      <c r="R306" s="23" t="s">
        <v>401</v>
      </c>
      <c r="S306" s="23" t="s">
        <v>734</v>
      </c>
    </row>
    <row r="307" spans="1:19">
      <c r="A307" s="23" t="s">
        <v>98</v>
      </c>
      <c r="B307" s="23" t="s">
        <v>100</v>
      </c>
      <c r="C307" s="23" t="s">
        <v>579</v>
      </c>
      <c r="D307" s="23" t="s">
        <v>312</v>
      </c>
      <c r="E307" s="23" t="s">
        <v>319</v>
      </c>
      <c r="F307" s="23" t="s">
        <v>139</v>
      </c>
      <c r="G307" s="23" t="s">
        <v>956</v>
      </c>
      <c r="H307" s="23" t="s">
        <v>957</v>
      </c>
      <c r="I307" s="25">
        <v>56</v>
      </c>
      <c r="J307" s="25">
        <v>56</v>
      </c>
      <c r="K307" s="24">
        <v>1</v>
      </c>
      <c r="L307" s="24">
        <v>1</v>
      </c>
      <c r="M307" s="24">
        <v>0</v>
      </c>
      <c r="N307" s="24">
        <v>1</v>
      </c>
      <c r="O307" s="23" t="s">
        <v>732</v>
      </c>
      <c r="P307" s="26">
        <v>0.9</v>
      </c>
      <c r="Q307" s="23" t="s">
        <v>733</v>
      </c>
      <c r="R307" s="23" t="s">
        <v>466</v>
      </c>
      <c r="S307" s="23" t="s">
        <v>734</v>
      </c>
    </row>
    <row r="308" spans="1:19">
      <c r="A308" s="23" t="s">
        <v>104</v>
      </c>
      <c r="B308" s="23" t="s">
        <v>108</v>
      </c>
      <c r="C308" s="23" t="s">
        <v>579</v>
      </c>
      <c r="D308" s="23" t="s">
        <v>312</v>
      </c>
      <c r="E308" s="23" t="s">
        <v>319</v>
      </c>
      <c r="F308" s="23" t="s">
        <v>139</v>
      </c>
      <c r="G308" s="23" t="s">
        <v>956</v>
      </c>
      <c r="H308" s="23" t="s">
        <v>957</v>
      </c>
      <c r="I308" s="25">
        <v>56</v>
      </c>
      <c r="J308" s="25">
        <v>56</v>
      </c>
      <c r="K308" s="24">
        <v>1</v>
      </c>
      <c r="L308" s="24">
        <v>1</v>
      </c>
      <c r="M308" s="24">
        <v>0</v>
      </c>
      <c r="N308" s="24">
        <v>1</v>
      </c>
      <c r="O308" s="23" t="s">
        <v>732</v>
      </c>
      <c r="P308" s="26">
        <v>0.9</v>
      </c>
      <c r="Q308" s="23" t="s">
        <v>733</v>
      </c>
      <c r="R308" s="23" t="s">
        <v>483</v>
      </c>
      <c r="S308" s="23" t="s">
        <v>734</v>
      </c>
    </row>
    <row r="309" spans="1:19">
      <c r="A309" s="23" t="s">
        <v>94</v>
      </c>
      <c r="B309" s="23" t="s">
        <v>97</v>
      </c>
      <c r="C309" s="23" t="s">
        <v>579</v>
      </c>
      <c r="D309" s="23" t="s">
        <v>312</v>
      </c>
      <c r="E309" s="23" t="s">
        <v>319</v>
      </c>
      <c r="F309" s="23" t="s">
        <v>139</v>
      </c>
      <c r="G309" s="23" t="s">
        <v>956</v>
      </c>
      <c r="H309" s="23" t="s">
        <v>957</v>
      </c>
      <c r="I309" s="25">
        <v>56</v>
      </c>
      <c r="J309" s="25">
        <v>56</v>
      </c>
      <c r="K309" s="24">
        <v>1</v>
      </c>
      <c r="L309" s="24">
        <v>1</v>
      </c>
      <c r="M309" s="24">
        <v>0</v>
      </c>
      <c r="N309" s="24">
        <v>1</v>
      </c>
      <c r="O309" s="23" t="s">
        <v>732</v>
      </c>
      <c r="P309" s="26">
        <v>0.9</v>
      </c>
      <c r="Q309" s="23" t="s">
        <v>733</v>
      </c>
      <c r="R309" s="23" t="s">
        <v>459</v>
      </c>
      <c r="S309" s="23" t="s">
        <v>734</v>
      </c>
    </row>
    <row r="310" spans="1:19">
      <c r="A310" s="23" t="s">
        <v>104</v>
      </c>
      <c r="B310" s="23" t="s">
        <v>105</v>
      </c>
      <c r="C310" s="23" t="s">
        <v>579</v>
      </c>
      <c r="D310" s="23" t="s">
        <v>312</v>
      </c>
      <c r="E310" s="23" t="s">
        <v>319</v>
      </c>
      <c r="F310" s="23" t="s">
        <v>139</v>
      </c>
      <c r="G310" s="23" t="s">
        <v>956</v>
      </c>
      <c r="H310" s="23" t="s">
        <v>957</v>
      </c>
      <c r="I310" s="25">
        <v>56</v>
      </c>
      <c r="J310" s="25">
        <v>56</v>
      </c>
      <c r="K310" s="24">
        <v>1</v>
      </c>
      <c r="L310" s="24">
        <v>1</v>
      </c>
      <c r="M310" s="24">
        <v>0</v>
      </c>
      <c r="N310" s="24">
        <v>1</v>
      </c>
      <c r="O310" s="23" t="s">
        <v>732</v>
      </c>
      <c r="P310" s="26">
        <v>0.9</v>
      </c>
      <c r="Q310" s="23" t="s">
        <v>733</v>
      </c>
      <c r="R310" s="23" t="s">
        <v>105</v>
      </c>
      <c r="S310" s="23" t="s">
        <v>734</v>
      </c>
    </row>
    <row r="311" spans="1:19">
      <c r="A311" s="23" t="s">
        <v>104</v>
      </c>
      <c r="B311" s="23" t="s">
        <v>106</v>
      </c>
      <c r="C311" s="23" t="s">
        <v>579</v>
      </c>
      <c r="D311" s="23" t="s">
        <v>312</v>
      </c>
      <c r="E311" s="23" t="s">
        <v>319</v>
      </c>
      <c r="F311" s="23" t="s">
        <v>139</v>
      </c>
      <c r="G311" s="23" t="s">
        <v>956</v>
      </c>
      <c r="H311" s="23" t="s">
        <v>957</v>
      </c>
      <c r="I311" s="25">
        <v>56</v>
      </c>
      <c r="J311" s="25">
        <v>56</v>
      </c>
      <c r="K311" s="24">
        <v>1</v>
      </c>
      <c r="L311" s="24">
        <v>1</v>
      </c>
      <c r="M311" s="24">
        <v>0</v>
      </c>
      <c r="N311" s="24">
        <v>1</v>
      </c>
      <c r="O311" s="23" t="s">
        <v>732</v>
      </c>
      <c r="P311" s="26">
        <v>0.9</v>
      </c>
      <c r="Q311" s="23" t="s">
        <v>733</v>
      </c>
      <c r="R311" s="23" t="s">
        <v>477</v>
      </c>
      <c r="S311" s="23" t="s">
        <v>734</v>
      </c>
    </row>
    <row r="312" spans="1:19">
      <c r="A312" s="23" t="s">
        <v>36</v>
      </c>
      <c r="B312" s="23" t="s">
        <v>38</v>
      </c>
      <c r="C312" s="23" t="s">
        <v>23</v>
      </c>
      <c r="D312" s="23" t="s">
        <v>322</v>
      </c>
      <c r="E312" s="23" t="s">
        <v>728</v>
      </c>
      <c r="F312" s="23" t="s">
        <v>796</v>
      </c>
      <c r="G312" s="23" t="s">
        <v>958</v>
      </c>
      <c r="H312" s="23" t="s">
        <v>959</v>
      </c>
      <c r="I312" s="25">
        <v>176</v>
      </c>
      <c r="J312" s="25">
        <v>89</v>
      </c>
      <c r="K312" s="24">
        <v>0.50568181818181823</v>
      </c>
      <c r="L312" s="24">
        <v>1</v>
      </c>
      <c r="M312" s="24">
        <v>0.76</v>
      </c>
      <c r="N312" s="24">
        <v>0</v>
      </c>
      <c r="O312" s="23" t="s">
        <v>739</v>
      </c>
      <c r="P312" s="26">
        <v>0.77621212121212124</v>
      </c>
      <c r="Q312" s="23" t="s">
        <v>733</v>
      </c>
      <c r="R312" s="23" t="s">
        <v>356</v>
      </c>
      <c r="S312" s="23" t="s">
        <v>734</v>
      </c>
    </row>
    <row r="313" spans="1:19">
      <c r="A313" s="23" t="s">
        <v>36</v>
      </c>
      <c r="B313" s="23" t="s">
        <v>44</v>
      </c>
      <c r="C313" s="23" t="s">
        <v>23</v>
      </c>
      <c r="D313" s="23" t="s">
        <v>322</v>
      </c>
      <c r="E313" s="23" t="s">
        <v>728</v>
      </c>
      <c r="F313" s="23" t="s">
        <v>796</v>
      </c>
      <c r="G313" s="23" t="s">
        <v>958</v>
      </c>
      <c r="H313" s="23" t="s">
        <v>959</v>
      </c>
      <c r="I313" s="25">
        <v>176</v>
      </c>
      <c r="J313" s="25">
        <v>89</v>
      </c>
      <c r="K313" s="24">
        <v>0.50568181818181823</v>
      </c>
      <c r="L313" s="24">
        <v>1</v>
      </c>
      <c r="M313" s="24">
        <v>0.76</v>
      </c>
      <c r="N313" s="24">
        <v>0</v>
      </c>
      <c r="O313" s="23" t="s">
        <v>739</v>
      </c>
      <c r="P313" s="26">
        <v>0.77621212121212124</v>
      </c>
      <c r="Q313" s="23" t="s">
        <v>733</v>
      </c>
      <c r="R313" s="23" t="s">
        <v>366</v>
      </c>
      <c r="S313" s="23" t="s">
        <v>734</v>
      </c>
    </row>
    <row r="314" spans="1:19">
      <c r="A314" s="23" t="s">
        <v>49</v>
      </c>
      <c r="B314" s="23" t="s">
        <v>53</v>
      </c>
      <c r="C314" s="23" t="s">
        <v>23</v>
      </c>
      <c r="D314" s="23" t="s">
        <v>322</v>
      </c>
      <c r="E314" s="23" t="s">
        <v>728</v>
      </c>
      <c r="F314" s="23" t="s">
        <v>796</v>
      </c>
      <c r="G314" s="23" t="s">
        <v>958</v>
      </c>
      <c r="H314" s="23" t="s">
        <v>959</v>
      </c>
      <c r="I314" s="25">
        <v>176</v>
      </c>
      <c r="J314" s="25">
        <v>89</v>
      </c>
      <c r="K314" s="24">
        <v>0.50568181818181823</v>
      </c>
      <c r="L314" s="24">
        <v>1</v>
      </c>
      <c r="M314" s="24">
        <v>0.76</v>
      </c>
      <c r="N314" s="24">
        <v>0</v>
      </c>
      <c r="O314" s="23" t="s">
        <v>739</v>
      </c>
      <c r="P314" s="26">
        <v>0.77621212121212124</v>
      </c>
      <c r="Q314" s="23" t="s">
        <v>733</v>
      </c>
      <c r="R314" s="23" t="s">
        <v>382</v>
      </c>
      <c r="S314" s="23" t="s">
        <v>734</v>
      </c>
    </row>
    <row r="315" spans="1:19">
      <c r="A315" s="23" t="s">
        <v>59</v>
      </c>
      <c r="B315" s="23" t="s">
        <v>63</v>
      </c>
      <c r="C315" s="23" t="s">
        <v>23</v>
      </c>
      <c r="D315" s="23" t="s">
        <v>322</v>
      </c>
      <c r="E315" s="23" t="s">
        <v>728</v>
      </c>
      <c r="F315" s="23" t="s">
        <v>796</v>
      </c>
      <c r="G315" s="23" t="s">
        <v>958</v>
      </c>
      <c r="H315" s="23" t="s">
        <v>959</v>
      </c>
      <c r="I315" s="25">
        <v>176</v>
      </c>
      <c r="J315" s="25">
        <v>89</v>
      </c>
      <c r="K315" s="24">
        <v>0.50568181818181823</v>
      </c>
      <c r="L315" s="24">
        <v>1</v>
      </c>
      <c r="M315" s="24">
        <v>0.76</v>
      </c>
      <c r="N315" s="24">
        <v>0</v>
      </c>
      <c r="O315" s="23" t="s">
        <v>739</v>
      </c>
      <c r="P315" s="26">
        <v>0.77621212121212124</v>
      </c>
      <c r="Q315" s="23" t="s">
        <v>733</v>
      </c>
      <c r="R315" s="23" t="s">
        <v>410</v>
      </c>
      <c r="S315" s="23" t="s">
        <v>734</v>
      </c>
    </row>
    <row r="316" spans="1:19">
      <c r="A316" s="23" t="s">
        <v>98</v>
      </c>
      <c r="B316" s="23" t="s">
        <v>100</v>
      </c>
      <c r="C316" s="23" t="s">
        <v>579</v>
      </c>
      <c r="D316" s="23" t="s">
        <v>322</v>
      </c>
      <c r="E316" s="23" t="s">
        <v>323</v>
      </c>
      <c r="F316" s="23" t="s">
        <v>135</v>
      </c>
      <c r="G316" s="23" t="s">
        <v>960</v>
      </c>
      <c r="H316" s="23" t="s">
        <v>961</v>
      </c>
      <c r="I316" s="25">
        <v>26</v>
      </c>
      <c r="J316" s="25">
        <v>26</v>
      </c>
      <c r="K316" s="24">
        <v>1</v>
      </c>
      <c r="L316" s="24">
        <v>1</v>
      </c>
      <c r="M316" s="24">
        <v>0</v>
      </c>
      <c r="N316" s="24">
        <v>1</v>
      </c>
      <c r="O316" s="23" t="s">
        <v>732</v>
      </c>
      <c r="P316" s="26">
        <v>0.9</v>
      </c>
      <c r="Q316" s="23" t="s">
        <v>733</v>
      </c>
      <c r="R316" s="23" t="s">
        <v>466</v>
      </c>
      <c r="S316" s="23" t="s">
        <v>734</v>
      </c>
    </row>
    <row r="317" spans="1:19">
      <c r="A317" s="23" t="s">
        <v>104</v>
      </c>
      <c r="B317" s="23" t="s">
        <v>109</v>
      </c>
      <c r="C317" s="23" t="s">
        <v>579</v>
      </c>
      <c r="D317" s="23" t="s">
        <v>322</v>
      </c>
      <c r="E317" s="23" t="s">
        <v>323</v>
      </c>
      <c r="F317" s="23" t="s">
        <v>135</v>
      </c>
      <c r="G317" s="23" t="s">
        <v>960</v>
      </c>
      <c r="H317" s="23" t="s">
        <v>961</v>
      </c>
      <c r="I317" s="25">
        <v>26</v>
      </c>
      <c r="J317" s="25">
        <v>26</v>
      </c>
      <c r="K317" s="24">
        <v>1</v>
      </c>
      <c r="L317" s="24">
        <v>1</v>
      </c>
      <c r="M317" s="24">
        <v>0</v>
      </c>
      <c r="N317" s="24">
        <v>1</v>
      </c>
      <c r="O317" s="23" t="s">
        <v>732</v>
      </c>
      <c r="P317" s="26">
        <v>0.9</v>
      </c>
      <c r="Q317" s="23" t="s">
        <v>733</v>
      </c>
      <c r="R317" s="23" t="s">
        <v>486</v>
      </c>
      <c r="S317" s="23" t="s">
        <v>734</v>
      </c>
    </row>
    <row r="318" spans="1:19">
      <c r="A318" s="23" t="s">
        <v>98</v>
      </c>
      <c r="B318" s="23" t="s">
        <v>99</v>
      </c>
      <c r="C318" s="23" t="s">
        <v>579</v>
      </c>
      <c r="D318" s="23" t="s">
        <v>322</v>
      </c>
      <c r="E318" s="23" t="s">
        <v>323</v>
      </c>
      <c r="F318" s="23" t="s">
        <v>135</v>
      </c>
      <c r="G318" s="23" t="s">
        <v>960</v>
      </c>
      <c r="H318" s="23" t="s">
        <v>961</v>
      </c>
      <c r="I318" s="25">
        <v>26</v>
      </c>
      <c r="J318" s="25">
        <v>26</v>
      </c>
      <c r="K318" s="24">
        <v>1</v>
      </c>
      <c r="L318" s="24">
        <v>1</v>
      </c>
      <c r="M318" s="24">
        <v>0</v>
      </c>
      <c r="N318" s="24">
        <v>1</v>
      </c>
      <c r="O318" s="23" t="s">
        <v>732</v>
      </c>
      <c r="P318" s="26">
        <v>0.9</v>
      </c>
      <c r="Q318" s="23" t="s">
        <v>733</v>
      </c>
      <c r="R318" s="23" t="s">
        <v>462</v>
      </c>
      <c r="S318" s="23" t="s">
        <v>734</v>
      </c>
    </row>
    <row r="319" spans="1:19">
      <c r="A319" s="23" t="s">
        <v>59</v>
      </c>
      <c r="B319" s="23" t="s">
        <v>80</v>
      </c>
      <c r="C319" s="23" t="s">
        <v>579</v>
      </c>
      <c r="D319" s="23" t="s">
        <v>322</v>
      </c>
      <c r="E319" s="23" t="s">
        <v>326</v>
      </c>
      <c r="F319" s="23" t="s">
        <v>81</v>
      </c>
      <c r="G319" s="23" t="s">
        <v>962</v>
      </c>
      <c r="H319" s="23" t="s">
        <v>963</v>
      </c>
      <c r="I319" s="25">
        <v>59</v>
      </c>
      <c r="J319" s="25">
        <v>59</v>
      </c>
      <c r="K319" s="24">
        <v>1</v>
      </c>
      <c r="L319" s="24">
        <v>0.99997752707986876</v>
      </c>
      <c r="M319" s="24">
        <v>1</v>
      </c>
      <c r="N319" s="24">
        <v>0</v>
      </c>
      <c r="O319" s="23" t="s">
        <v>732</v>
      </c>
      <c r="P319" s="26">
        <v>0.99999438176996713</v>
      </c>
      <c r="Q319" s="23" t="s">
        <v>733</v>
      </c>
      <c r="R319" s="23" t="s">
        <v>434</v>
      </c>
      <c r="S319" s="23" t="s">
        <v>734</v>
      </c>
    </row>
    <row r="320" spans="1:19">
      <c r="A320" s="23" t="s">
        <v>49</v>
      </c>
      <c r="B320" s="23" t="s">
        <v>57</v>
      </c>
      <c r="C320" s="23" t="s">
        <v>579</v>
      </c>
      <c r="D320" s="23" t="s">
        <v>322</v>
      </c>
      <c r="E320" s="23" t="s">
        <v>326</v>
      </c>
      <c r="F320" s="23" t="s">
        <v>81</v>
      </c>
      <c r="G320" s="23" t="s">
        <v>964</v>
      </c>
      <c r="H320" s="23" t="s">
        <v>965</v>
      </c>
      <c r="I320" s="25">
        <v>59</v>
      </c>
      <c r="J320" s="25">
        <v>57</v>
      </c>
      <c r="K320" s="24">
        <v>0.96610169491525422</v>
      </c>
      <c r="L320" s="24">
        <v>1</v>
      </c>
      <c r="M320" s="24">
        <v>0.8</v>
      </c>
      <c r="N320" s="24">
        <v>0</v>
      </c>
      <c r="O320" s="23" t="s">
        <v>732</v>
      </c>
      <c r="P320" s="26">
        <v>0.9</v>
      </c>
      <c r="Q320" s="23" t="s">
        <v>733</v>
      </c>
      <c r="R320" s="23" t="s">
        <v>57</v>
      </c>
      <c r="S320" s="23" t="s">
        <v>734</v>
      </c>
    </row>
    <row r="321" spans="1:19">
      <c r="A321" s="23" t="s">
        <v>104</v>
      </c>
      <c r="B321" s="23" t="s">
        <v>109</v>
      </c>
      <c r="C321" s="23" t="s">
        <v>579</v>
      </c>
      <c r="D321" s="23" t="s">
        <v>322</v>
      </c>
      <c r="E321" s="23" t="s">
        <v>326</v>
      </c>
      <c r="F321" s="23" t="s">
        <v>81</v>
      </c>
      <c r="G321" s="23" t="s">
        <v>966</v>
      </c>
      <c r="H321" s="23" t="s">
        <v>967</v>
      </c>
      <c r="I321" s="25">
        <v>59</v>
      </c>
      <c r="J321" s="25">
        <v>6</v>
      </c>
      <c r="K321" s="24">
        <v>0.10169491525423729</v>
      </c>
      <c r="L321" s="24">
        <v>0.2978723404255319</v>
      </c>
      <c r="M321" s="24">
        <v>0</v>
      </c>
      <c r="N321" s="24">
        <v>1</v>
      </c>
      <c r="O321" s="23" t="s">
        <v>776</v>
      </c>
      <c r="P321" s="26">
        <v>0.39599350883519657</v>
      </c>
      <c r="Q321" s="23" t="s">
        <v>733</v>
      </c>
      <c r="R321" s="23" t="s">
        <v>486</v>
      </c>
      <c r="S321" s="23" t="s">
        <v>734</v>
      </c>
    </row>
    <row r="322" spans="1:19">
      <c r="A322" s="23" t="s">
        <v>59</v>
      </c>
      <c r="B322" s="23" t="s">
        <v>77</v>
      </c>
      <c r="C322" s="23" t="s">
        <v>579</v>
      </c>
      <c r="D322" s="23" t="s">
        <v>322</v>
      </c>
      <c r="E322" s="23" t="s">
        <v>328</v>
      </c>
      <c r="F322" s="23" t="s">
        <v>78</v>
      </c>
      <c r="G322" s="23" t="s">
        <v>968</v>
      </c>
      <c r="H322" s="23" t="s">
        <v>969</v>
      </c>
      <c r="I322" s="25">
        <v>96</v>
      </c>
      <c r="J322" s="25">
        <v>71</v>
      </c>
      <c r="K322" s="24">
        <v>0.73958333333333337</v>
      </c>
      <c r="L322" s="24">
        <v>1</v>
      </c>
      <c r="M322" s="24">
        <v>4.3478260869565216E-2</v>
      </c>
      <c r="N322" s="24">
        <v>0</v>
      </c>
      <c r="O322" s="23" t="s">
        <v>739</v>
      </c>
      <c r="P322" s="26">
        <v>0.6403743961352657</v>
      </c>
      <c r="Q322" s="23" t="s">
        <v>733</v>
      </c>
      <c r="R322" s="23" t="s">
        <v>430</v>
      </c>
      <c r="S322" s="23" t="s">
        <v>734</v>
      </c>
    </row>
    <row r="323" spans="1:19">
      <c r="A323" s="23" t="s">
        <v>104</v>
      </c>
      <c r="B323" s="23" t="s">
        <v>109</v>
      </c>
      <c r="C323" s="23" t="s">
        <v>579</v>
      </c>
      <c r="D323" s="23" t="s">
        <v>322</v>
      </c>
      <c r="E323" s="23" t="s">
        <v>328</v>
      </c>
      <c r="F323" s="23" t="s">
        <v>78</v>
      </c>
      <c r="G323" s="23" t="s">
        <v>970</v>
      </c>
      <c r="H323" s="23" t="s">
        <v>971</v>
      </c>
      <c r="I323" s="25">
        <v>96</v>
      </c>
      <c r="J323" s="25">
        <v>86</v>
      </c>
      <c r="K323" s="24">
        <v>0.89583333333333337</v>
      </c>
      <c r="L323" s="24">
        <v>1</v>
      </c>
      <c r="M323" s="24">
        <v>0</v>
      </c>
      <c r="N323" s="24">
        <v>1</v>
      </c>
      <c r="O323" s="23" t="s">
        <v>732</v>
      </c>
      <c r="P323" s="26">
        <v>0.9</v>
      </c>
      <c r="Q323" s="23" t="s">
        <v>733</v>
      </c>
      <c r="R323" s="23" t="s">
        <v>486</v>
      </c>
      <c r="S323" s="23" t="s">
        <v>734</v>
      </c>
    </row>
    <row r="324" spans="1:19">
      <c r="A324" s="23" t="s">
        <v>104</v>
      </c>
      <c r="B324" s="23" t="s">
        <v>106</v>
      </c>
      <c r="C324" s="23" t="s">
        <v>579</v>
      </c>
      <c r="D324" s="23" t="s">
        <v>322</v>
      </c>
      <c r="E324" s="23" t="s">
        <v>328</v>
      </c>
      <c r="F324" s="23" t="s">
        <v>78</v>
      </c>
      <c r="G324" s="23" t="s">
        <v>970</v>
      </c>
      <c r="H324" s="23" t="s">
        <v>971</v>
      </c>
      <c r="I324" s="25">
        <v>96</v>
      </c>
      <c r="J324" s="25">
        <v>86</v>
      </c>
      <c r="K324" s="24">
        <v>0.89583333333333337</v>
      </c>
      <c r="L324" s="24">
        <v>1</v>
      </c>
      <c r="M324" s="24">
        <v>0</v>
      </c>
      <c r="N324" s="24">
        <v>1</v>
      </c>
      <c r="O324" s="23" t="s">
        <v>732</v>
      </c>
      <c r="P324" s="26">
        <v>0.9</v>
      </c>
      <c r="Q324" s="23" t="s">
        <v>733</v>
      </c>
      <c r="R324" s="23" t="s">
        <v>477</v>
      </c>
      <c r="S324" s="23" t="s">
        <v>734</v>
      </c>
    </row>
    <row r="325" spans="1:19">
      <c r="A325" s="23" t="s">
        <v>104</v>
      </c>
      <c r="B325" s="23" t="s">
        <v>107</v>
      </c>
      <c r="C325" s="23" t="s">
        <v>579</v>
      </c>
      <c r="D325" s="23" t="s">
        <v>322</v>
      </c>
      <c r="E325" s="23" t="s">
        <v>328</v>
      </c>
      <c r="F325" s="23" t="s">
        <v>78</v>
      </c>
      <c r="G325" s="23" t="s">
        <v>970</v>
      </c>
      <c r="H325" s="23" t="s">
        <v>971</v>
      </c>
      <c r="I325" s="25">
        <v>96</v>
      </c>
      <c r="J325" s="25">
        <v>86</v>
      </c>
      <c r="K325" s="24">
        <v>0.89583333333333337</v>
      </c>
      <c r="L325" s="24">
        <v>1</v>
      </c>
      <c r="M325" s="24">
        <v>0</v>
      </c>
      <c r="N325" s="24">
        <v>1</v>
      </c>
      <c r="O325" s="23" t="s">
        <v>732</v>
      </c>
      <c r="P325" s="26">
        <v>0.9</v>
      </c>
      <c r="Q325" s="23" t="s">
        <v>733</v>
      </c>
      <c r="R325" s="23" t="s">
        <v>480</v>
      </c>
      <c r="S325" s="23" t="s">
        <v>734</v>
      </c>
    </row>
    <row r="326" spans="1:19">
      <c r="A326" s="23" t="s">
        <v>49</v>
      </c>
      <c r="B326" s="23" t="s">
        <v>55</v>
      </c>
      <c r="C326" s="23" t="s">
        <v>579</v>
      </c>
      <c r="D326" s="23" t="s">
        <v>322</v>
      </c>
      <c r="E326" s="23" t="s">
        <v>331</v>
      </c>
      <c r="F326" s="23" t="s">
        <v>139</v>
      </c>
      <c r="G326" s="23" t="s">
        <v>972</v>
      </c>
      <c r="H326" s="23" t="s">
        <v>973</v>
      </c>
      <c r="I326" s="25">
        <v>68</v>
      </c>
      <c r="J326" s="25">
        <v>63</v>
      </c>
      <c r="K326" s="24">
        <v>0.92647058823529416</v>
      </c>
      <c r="L326" s="24">
        <v>1</v>
      </c>
      <c r="M326" s="24">
        <v>0</v>
      </c>
      <c r="N326" s="24">
        <v>0</v>
      </c>
      <c r="O326" s="23" t="s">
        <v>739</v>
      </c>
      <c r="P326" s="26">
        <v>0.63</v>
      </c>
      <c r="Q326" s="23" t="s">
        <v>733</v>
      </c>
      <c r="R326" s="23" t="s">
        <v>389</v>
      </c>
      <c r="S326" s="23" t="s">
        <v>734</v>
      </c>
    </row>
    <row r="327" spans="1:19">
      <c r="A327" s="23" t="s">
        <v>98</v>
      </c>
      <c r="B327" s="23" t="s">
        <v>101</v>
      </c>
      <c r="C327" s="23" t="s">
        <v>579</v>
      </c>
      <c r="D327" s="23" t="s">
        <v>322</v>
      </c>
      <c r="E327" s="23" t="s">
        <v>331</v>
      </c>
      <c r="F327" s="23" t="s">
        <v>139</v>
      </c>
      <c r="G327" s="23" t="s">
        <v>974</v>
      </c>
      <c r="H327" s="23" t="s">
        <v>975</v>
      </c>
      <c r="I327" s="25">
        <v>68</v>
      </c>
      <c r="J327" s="25">
        <v>68</v>
      </c>
      <c r="K327" s="24">
        <v>1</v>
      </c>
      <c r="L327" s="24">
        <v>1</v>
      </c>
      <c r="M327" s="24">
        <v>0</v>
      </c>
      <c r="N327" s="24">
        <v>1</v>
      </c>
      <c r="O327" s="23" t="s">
        <v>732</v>
      </c>
      <c r="P327" s="26">
        <v>0.9</v>
      </c>
      <c r="Q327" s="23" t="s">
        <v>733</v>
      </c>
      <c r="R327" s="23" t="s">
        <v>469</v>
      </c>
      <c r="S327" s="23" t="s">
        <v>734</v>
      </c>
    </row>
    <row r="328" spans="1:19">
      <c r="A328" s="23" t="s">
        <v>104</v>
      </c>
      <c r="B328" s="23" t="s">
        <v>108</v>
      </c>
      <c r="C328" s="23" t="s">
        <v>579</v>
      </c>
      <c r="D328" s="23" t="s">
        <v>322</v>
      </c>
      <c r="E328" s="23" t="s">
        <v>331</v>
      </c>
      <c r="F328" s="23" t="s">
        <v>139</v>
      </c>
      <c r="G328" s="23" t="s">
        <v>974</v>
      </c>
      <c r="H328" s="23" t="s">
        <v>975</v>
      </c>
      <c r="I328" s="25">
        <v>68</v>
      </c>
      <c r="J328" s="25">
        <v>68</v>
      </c>
      <c r="K328" s="24">
        <v>1</v>
      </c>
      <c r="L328" s="24">
        <v>1</v>
      </c>
      <c r="M328" s="24">
        <v>0</v>
      </c>
      <c r="N328" s="24">
        <v>1</v>
      </c>
      <c r="O328" s="23" t="s">
        <v>732</v>
      </c>
      <c r="P328" s="26">
        <v>0.9</v>
      </c>
      <c r="Q328" s="23" t="s">
        <v>733</v>
      </c>
      <c r="R328" s="23" t="s">
        <v>483</v>
      </c>
      <c r="S328" s="23" t="s">
        <v>734</v>
      </c>
    </row>
    <row r="329" spans="1:19">
      <c r="A329" s="23" t="s">
        <v>104</v>
      </c>
      <c r="B329" s="23" t="s">
        <v>109</v>
      </c>
      <c r="C329" s="23" t="s">
        <v>579</v>
      </c>
      <c r="D329" s="23" t="s">
        <v>322</v>
      </c>
      <c r="E329" s="23" t="s">
        <v>331</v>
      </c>
      <c r="F329" s="23" t="s">
        <v>139</v>
      </c>
      <c r="G329" s="23" t="s">
        <v>974</v>
      </c>
      <c r="H329" s="23" t="s">
        <v>975</v>
      </c>
      <c r="I329" s="25">
        <v>68</v>
      </c>
      <c r="J329" s="25">
        <v>68</v>
      </c>
      <c r="K329" s="24">
        <v>1</v>
      </c>
      <c r="L329" s="24">
        <v>1</v>
      </c>
      <c r="M329" s="24">
        <v>0</v>
      </c>
      <c r="N329" s="24">
        <v>1</v>
      </c>
      <c r="O329" s="23" t="s">
        <v>732</v>
      </c>
      <c r="P329" s="26">
        <v>0.9</v>
      </c>
      <c r="Q329" s="23" t="s">
        <v>733</v>
      </c>
      <c r="R329" s="23" t="s">
        <v>486</v>
      </c>
      <c r="S329" s="23" t="s">
        <v>734</v>
      </c>
    </row>
    <row r="330" spans="1:19">
      <c r="A330" s="23" t="s">
        <v>36</v>
      </c>
      <c r="B330" s="23" t="s">
        <v>45</v>
      </c>
      <c r="C330" s="23" t="s">
        <v>23</v>
      </c>
      <c r="D330" s="23" t="s">
        <v>334</v>
      </c>
      <c r="E330" s="23" t="s">
        <v>728</v>
      </c>
      <c r="F330" s="23" t="s">
        <v>746</v>
      </c>
      <c r="G330" s="23" t="s">
        <v>976</v>
      </c>
      <c r="H330" s="23" t="s">
        <v>977</v>
      </c>
      <c r="I330" s="25">
        <v>176</v>
      </c>
      <c r="J330" s="25">
        <v>126</v>
      </c>
      <c r="K330" s="24">
        <v>0.71590909090909094</v>
      </c>
      <c r="L330" s="24">
        <v>1</v>
      </c>
      <c r="M330" s="24">
        <v>0.96153846153846156</v>
      </c>
      <c r="N330" s="24">
        <v>0</v>
      </c>
      <c r="O330" s="23" t="s">
        <v>732</v>
      </c>
      <c r="P330" s="26">
        <v>0.90772727272727283</v>
      </c>
      <c r="Q330" s="23" t="s">
        <v>733</v>
      </c>
      <c r="R330" s="23" t="s">
        <v>369</v>
      </c>
      <c r="S330" s="23" t="s">
        <v>734</v>
      </c>
    </row>
    <row r="331" spans="1:19">
      <c r="A331" s="23" t="s">
        <v>49</v>
      </c>
      <c r="B331" s="23" t="s">
        <v>56</v>
      </c>
      <c r="C331" s="23" t="s">
        <v>23</v>
      </c>
      <c r="D331" s="23" t="s">
        <v>334</v>
      </c>
      <c r="E331" s="23" t="s">
        <v>728</v>
      </c>
      <c r="F331" s="23" t="s">
        <v>746</v>
      </c>
      <c r="G331" s="23" t="s">
        <v>978</v>
      </c>
      <c r="H331" s="23" t="s">
        <v>979</v>
      </c>
      <c r="I331" s="25">
        <v>176</v>
      </c>
      <c r="J331" s="25">
        <v>173</v>
      </c>
      <c r="K331" s="24">
        <v>0.98295454545454541</v>
      </c>
      <c r="L331" s="24">
        <v>1</v>
      </c>
      <c r="M331" s="24">
        <v>0.91666666666666663</v>
      </c>
      <c r="N331" s="24">
        <v>0</v>
      </c>
      <c r="O331" s="23" t="s">
        <v>732</v>
      </c>
      <c r="P331" s="26">
        <v>0.9</v>
      </c>
      <c r="Q331" s="23" t="s">
        <v>733</v>
      </c>
      <c r="R331" s="23" t="s">
        <v>392</v>
      </c>
      <c r="S331" s="23" t="s">
        <v>734</v>
      </c>
    </row>
    <row r="332" spans="1:19">
      <c r="A332" s="23" t="s">
        <v>49</v>
      </c>
      <c r="B332" s="23" t="s">
        <v>58</v>
      </c>
      <c r="C332" s="23" t="s">
        <v>23</v>
      </c>
      <c r="D332" s="23" t="s">
        <v>334</v>
      </c>
      <c r="E332" s="23" t="s">
        <v>728</v>
      </c>
      <c r="F332" s="23" t="s">
        <v>746</v>
      </c>
      <c r="G332" s="23" t="s">
        <v>978</v>
      </c>
      <c r="H332" s="23" t="s">
        <v>979</v>
      </c>
      <c r="I332" s="25">
        <v>176</v>
      </c>
      <c r="J332" s="25">
        <v>173</v>
      </c>
      <c r="K332" s="24">
        <v>0.98295454545454541</v>
      </c>
      <c r="L332" s="24">
        <v>1</v>
      </c>
      <c r="M332" s="24">
        <v>0.91666666666666663</v>
      </c>
      <c r="N332" s="24">
        <v>0</v>
      </c>
      <c r="O332" s="23" t="s">
        <v>732</v>
      </c>
      <c r="P332" s="26">
        <v>0.9</v>
      </c>
      <c r="Q332" s="23" t="s">
        <v>733</v>
      </c>
      <c r="R332" s="23" t="s">
        <v>398</v>
      </c>
      <c r="S332" s="23" t="s">
        <v>734</v>
      </c>
    </row>
    <row r="333" spans="1:19">
      <c r="A333" s="23" t="s">
        <v>59</v>
      </c>
      <c r="B333" s="23" t="s">
        <v>83</v>
      </c>
      <c r="C333" s="23" t="s">
        <v>23</v>
      </c>
      <c r="D333" s="23" t="s">
        <v>334</v>
      </c>
      <c r="E333" s="23" t="s">
        <v>728</v>
      </c>
      <c r="F333" s="23" t="s">
        <v>746</v>
      </c>
      <c r="G333" s="23" t="s">
        <v>978</v>
      </c>
      <c r="H333" s="23" t="s">
        <v>979</v>
      </c>
      <c r="I333" s="25">
        <v>176</v>
      </c>
      <c r="J333" s="25">
        <v>173</v>
      </c>
      <c r="K333" s="24">
        <v>0.98295454545454541</v>
      </c>
      <c r="L333" s="24">
        <v>1</v>
      </c>
      <c r="M333" s="24">
        <v>0.91666666666666663</v>
      </c>
      <c r="N333" s="24">
        <v>0</v>
      </c>
      <c r="O333" s="23" t="s">
        <v>732</v>
      </c>
      <c r="P333" s="26">
        <v>0.9</v>
      </c>
      <c r="Q333" s="23" t="s">
        <v>733</v>
      </c>
      <c r="R333" s="23" t="s">
        <v>83</v>
      </c>
      <c r="S333" s="23" t="s">
        <v>734</v>
      </c>
    </row>
    <row r="334" spans="1:19">
      <c r="A334" s="23" t="s">
        <v>59</v>
      </c>
      <c r="B334" s="23" t="s">
        <v>86</v>
      </c>
      <c r="C334" s="23" t="s">
        <v>23</v>
      </c>
      <c r="D334" s="23" t="s">
        <v>334</v>
      </c>
      <c r="E334" s="23" t="s">
        <v>728</v>
      </c>
      <c r="F334" s="23" t="s">
        <v>746</v>
      </c>
      <c r="G334" s="23" t="s">
        <v>978</v>
      </c>
      <c r="H334" s="23" t="s">
        <v>979</v>
      </c>
      <c r="I334" s="25">
        <v>176</v>
      </c>
      <c r="J334" s="25">
        <v>173</v>
      </c>
      <c r="K334" s="24">
        <v>0.98295454545454541</v>
      </c>
      <c r="L334" s="24">
        <v>1</v>
      </c>
      <c r="M334" s="24">
        <v>0.91666666666666663</v>
      </c>
      <c r="N334" s="24">
        <v>0</v>
      </c>
      <c r="O334" s="23" t="s">
        <v>732</v>
      </c>
      <c r="P334" s="26">
        <v>0.9</v>
      </c>
      <c r="Q334" s="23" t="s">
        <v>733</v>
      </c>
      <c r="R334" s="23" t="s">
        <v>86</v>
      </c>
      <c r="S334" s="23" t="s">
        <v>734</v>
      </c>
    </row>
    <row r="335" spans="1:19">
      <c r="A335" s="23" t="s">
        <v>36</v>
      </c>
      <c r="B335" s="23" t="s">
        <v>46</v>
      </c>
      <c r="C335" s="23" t="s">
        <v>579</v>
      </c>
      <c r="D335" s="23" t="s">
        <v>334</v>
      </c>
      <c r="E335" s="23" t="s">
        <v>335</v>
      </c>
      <c r="F335" s="23" t="s">
        <v>139</v>
      </c>
      <c r="G335" s="23" t="s">
        <v>978</v>
      </c>
      <c r="H335" s="23" t="s">
        <v>979</v>
      </c>
      <c r="I335" s="25">
        <v>80</v>
      </c>
      <c r="J335" s="25">
        <v>80</v>
      </c>
      <c r="K335" s="24">
        <v>1</v>
      </c>
      <c r="L335" s="24">
        <v>0.15753397675792791</v>
      </c>
      <c r="M335" s="24">
        <v>0.95238095238095233</v>
      </c>
      <c r="N335" s="24">
        <v>0</v>
      </c>
      <c r="O335" s="23" t="s">
        <v>739</v>
      </c>
      <c r="P335" s="26">
        <v>0.68938349418948197</v>
      </c>
      <c r="Q335" s="23" t="s">
        <v>733</v>
      </c>
      <c r="R335" s="23" t="s">
        <v>373</v>
      </c>
      <c r="S335" s="23" t="s">
        <v>734</v>
      </c>
    </row>
    <row r="336" spans="1:19">
      <c r="A336" s="23" t="s">
        <v>104</v>
      </c>
      <c r="B336" s="23" t="s">
        <v>105</v>
      </c>
      <c r="C336" s="23" t="s">
        <v>579</v>
      </c>
      <c r="D336" s="23" t="s">
        <v>334</v>
      </c>
      <c r="E336" s="23" t="s">
        <v>335</v>
      </c>
      <c r="F336" s="23" t="s">
        <v>139</v>
      </c>
      <c r="G336" s="23" t="s">
        <v>980</v>
      </c>
      <c r="H336" s="23" t="s">
        <v>981</v>
      </c>
      <c r="I336" s="25">
        <v>80</v>
      </c>
      <c r="J336" s="25">
        <v>80</v>
      </c>
      <c r="K336" s="24">
        <v>1</v>
      </c>
      <c r="L336" s="24">
        <v>1</v>
      </c>
      <c r="M336" s="24">
        <v>0</v>
      </c>
      <c r="N336" s="24">
        <v>1</v>
      </c>
      <c r="O336" s="23" t="s">
        <v>732</v>
      </c>
      <c r="P336" s="26">
        <v>0.9</v>
      </c>
      <c r="Q336" s="23" t="s">
        <v>733</v>
      </c>
      <c r="R336" s="23" t="s">
        <v>105</v>
      </c>
      <c r="S336" s="23" t="s">
        <v>734</v>
      </c>
    </row>
    <row r="337" spans="1:19">
      <c r="A337" s="23" t="s">
        <v>36</v>
      </c>
      <c r="B337" s="23" t="s">
        <v>47</v>
      </c>
      <c r="C337" s="23" t="s">
        <v>579</v>
      </c>
      <c r="D337" s="23" t="s">
        <v>334</v>
      </c>
      <c r="E337" s="23" t="s">
        <v>337</v>
      </c>
      <c r="F337" s="23" t="s">
        <v>139</v>
      </c>
      <c r="G337" s="23" t="s">
        <v>978</v>
      </c>
      <c r="H337" s="23" t="s">
        <v>979</v>
      </c>
      <c r="I337" s="25">
        <v>75</v>
      </c>
      <c r="J337" s="25">
        <v>69</v>
      </c>
      <c r="K337" s="24">
        <v>0.92</v>
      </c>
      <c r="L337" s="24">
        <v>0.15892259208193815</v>
      </c>
      <c r="M337" s="24">
        <v>0.91666666666666663</v>
      </c>
      <c r="N337" s="24">
        <v>0</v>
      </c>
      <c r="O337" s="23" t="s">
        <v>739</v>
      </c>
      <c r="P337" s="26">
        <v>0.68973064802048456</v>
      </c>
      <c r="Q337" s="23" t="s">
        <v>733</v>
      </c>
      <c r="R337" s="23" t="s">
        <v>376</v>
      </c>
      <c r="S337" s="23" t="s">
        <v>734</v>
      </c>
    </row>
    <row r="338" spans="1:19">
      <c r="A338" s="23" t="s">
        <v>94</v>
      </c>
      <c r="B338" s="23" t="s">
        <v>97</v>
      </c>
      <c r="C338" s="23" t="s">
        <v>579</v>
      </c>
      <c r="D338" s="23" t="s">
        <v>334</v>
      </c>
      <c r="E338" s="23" t="s">
        <v>337</v>
      </c>
      <c r="F338" s="23" t="s">
        <v>139</v>
      </c>
      <c r="G338" s="23" t="s">
        <v>982</v>
      </c>
      <c r="H338" s="23" t="s">
        <v>983</v>
      </c>
      <c r="I338" s="25">
        <v>75</v>
      </c>
      <c r="J338" s="25">
        <v>74</v>
      </c>
      <c r="K338" s="24">
        <v>0.98666666666666669</v>
      </c>
      <c r="L338" s="24">
        <v>1</v>
      </c>
      <c r="M338" s="24">
        <v>0</v>
      </c>
      <c r="N338" s="24">
        <v>1</v>
      </c>
      <c r="O338" s="23" t="s">
        <v>732</v>
      </c>
      <c r="P338" s="26">
        <v>0.9</v>
      </c>
      <c r="Q338" s="23" t="s">
        <v>733</v>
      </c>
      <c r="R338" s="23" t="s">
        <v>459</v>
      </c>
      <c r="S338" s="23" t="s">
        <v>734</v>
      </c>
    </row>
    <row r="339" spans="1:19">
      <c r="A339" s="23" t="s">
        <v>49</v>
      </c>
      <c r="B339" s="23" t="s">
        <v>55</v>
      </c>
      <c r="C339" s="23" t="s">
        <v>579</v>
      </c>
      <c r="D339" s="23" t="s">
        <v>334</v>
      </c>
      <c r="E339" s="23" t="s">
        <v>339</v>
      </c>
      <c r="F339" s="23" t="s">
        <v>81</v>
      </c>
      <c r="G339" s="23" t="s">
        <v>984</v>
      </c>
      <c r="H339" s="23" t="s">
        <v>985</v>
      </c>
      <c r="I339" s="25">
        <v>116</v>
      </c>
      <c r="J339" s="25">
        <v>104</v>
      </c>
      <c r="K339" s="24">
        <v>0.89655172413793105</v>
      </c>
      <c r="L339" s="24">
        <v>1</v>
      </c>
      <c r="M339" s="24">
        <v>0.62433862433862441</v>
      </c>
      <c r="N339" s="24">
        <v>0</v>
      </c>
      <c r="O339" s="23" t="s">
        <v>732</v>
      </c>
      <c r="P339" s="26">
        <v>0.85476190476190483</v>
      </c>
      <c r="Q339" s="23" t="s">
        <v>733</v>
      </c>
      <c r="R339" s="23" t="s">
        <v>389</v>
      </c>
      <c r="S339" s="23" t="s">
        <v>734</v>
      </c>
    </row>
    <row r="340" spans="1:19">
      <c r="A340" s="23" t="s">
        <v>59</v>
      </c>
      <c r="B340" s="23" t="s">
        <v>77</v>
      </c>
      <c r="C340" s="23" t="s">
        <v>579</v>
      </c>
      <c r="D340" s="23" t="s">
        <v>334</v>
      </c>
      <c r="E340" s="23" t="s">
        <v>339</v>
      </c>
      <c r="F340" s="23" t="s">
        <v>81</v>
      </c>
      <c r="G340" s="23" t="s">
        <v>984</v>
      </c>
      <c r="H340" s="23" t="s">
        <v>985</v>
      </c>
      <c r="I340" s="25">
        <v>116</v>
      </c>
      <c r="J340" s="25">
        <v>104</v>
      </c>
      <c r="K340" s="24">
        <v>0.89655172413793105</v>
      </c>
      <c r="L340" s="24">
        <v>1</v>
      </c>
      <c r="M340" s="24">
        <v>0.62433862433862441</v>
      </c>
      <c r="N340" s="24">
        <v>0</v>
      </c>
      <c r="O340" s="23" t="s">
        <v>732</v>
      </c>
      <c r="P340" s="26">
        <v>0.85476190476190483</v>
      </c>
      <c r="Q340" s="23" t="s">
        <v>733</v>
      </c>
      <c r="R340" s="23" t="s">
        <v>430</v>
      </c>
      <c r="S340" s="23" t="s">
        <v>734</v>
      </c>
    </row>
    <row r="341" spans="1:19">
      <c r="A341" s="23" t="s">
        <v>59</v>
      </c>
      <c r="B341" s="23" t="s">
        <v>80</v>
      </c>
      <c r="C341" s="23" t="s">
        <v>579</v>
      </c>
      <c r="D341" s="23" t="s">
        <v>334</v>
      </c>
      <c r="E341" s="23" t="s">
        <v>339</v>
      </c>
      <c r="F341" s="23" t="s">
        <v>81</v>
      </c>
      <c r="G341" s="23" t="s">
        <v>984</v>
      </c>
      <c r="H341" s="23" t="s">
        <v>985</v>
      </c>
      <c r="I341" s="25">
        <v>116</v>
      </c>
      <c r="J341" s="25">
        <v>104</v>
      </c>
      <c r="K341" s="24">
        <v>0.89655172413793105</v>
      </c>
      <c r="L341" s="24">
        <v>1</v>
      </c>
      <c r="M341" s="24">
        <v>0.62433862433862441</v>
      </c>
      <c r="N341" s="24">
        <v>0</v>
      </c>
      <c r="O341" s="23" t="s">
        <v>732</v>
      </c>
      <c r="P341" s="26">
        <v>0.85476190476190483</v>
      </c>
      <c r="Q341" s="23" t="s">
        <v>733</v>
      </c>
      <c r="R341" s="23" t="s">
        <v>434</v>
      </c>
      <c r="S341" s="23" t="s">
        <v>734</v>
      </c>
    </row>
  </sheetData>
  <conditionalFormatting sqref="O2:O341">
    <cfRule type="expression" dxfId="8" priority="1">
      <formula>O2="Высокая"</formula>
    </cfRule>
    <cfRule type="expression" dxfId="7" priority="2">
      <formula>O2="Средняя"</formula>
    </cfRule>
    <cfRule type="expression" dxfId="6" priority="3">
      <formula>O2="Низкая"</formula>
    </cfRule>
  </conditionalFormatting>
  <conditionalFormatting sqref="Q2:Q341">
    <cfRule type="expression" dxfId="5" priority="4">
      <formula>Q2="Принято"</formula>
    </cfRule>
    <cfRule type="expression" dxfId="4" priority="5">
      <formula>Q2="Отклонено"</formula>
    </cfRule>
    <cfRule type="expression" dxfId="3" priority="6">
      <formula>Q2="На проверку"</formula>
    </cfRule>
  </conditionalFormatting>
  <dataValidations count="1">
    <dataValidation type="list" sqref="Q2:Q341" xr:uid="{00000000-0002-0000-0900-000000000000}">
      <formula1>"На проверку,Принято,Отклонено,Условно"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31"/>
  <sheetViews>
    <sheetView workbookViewId="0">
      <selection activeCell="B24" sqref="B24"/>
    </sheetView>
  </sheetViews>
  <sheetFormatPr defaultRowHeight="14.25"/>
  <cols>
    <col min="1" max="1" width="17" customWidth="1"/>
    <col min="2" max="2" width="22" customWidth="1"/>
    <col min="3" max="3" width="9" customWidth="1"/>
    <col min="4" max="4" width="30" customWidth="1"/>
    <col min="5" max="7" width="12" customWidth="1"/>
    <col min="8" max="8" width="11" customWidth="1"/>
    <col min="9" max="10" width="12" customWidth="1"/>
    <col min="11" max="11" width="11" customWidth="1"/>
    <col min="12" max="12" width="18" customWidth="1"/>
    <col min="13" max="13" width="14" customWidth="1"/>
    <col min="14" max="14" width="8" customWidth="1"/>
  </cols>
  <sheetData>
    <row r="1" spans="1:14" ht="32.1" customHeight="1">
      <c r="A1" s="22" t="s">
        <v>23</v>
      </c>
      <c r="B1" s="22" t="s">
        <v>24</v>
      </c>
      <c r="C1" s="22" t="s">
        <v>603</v>
      </c>
      <c r="D1" s="22" t="s">
        <v>718</v>
      </c>
      <c r="E1" s="22" t="s">
        <v>719</v>
      </c>
      <c r="F1" s="22" t="s">
        <v>986</v>
      </c>
      <c r="G1" s="22" t="s">
        <v>987</v>
      </c>
      <c r="H1" s="22" t="s">
        <v>616</v>
      </c>
      <c r="I1" s="22" t="s">
        <v>722</v>
      </c>
      <c r="J1" s="22" t="s">
        <v>723</v>
      </c>
      <c r="K1" s="22" t="s">
        <v>724</v>
      </c>
      <c r="L1" s="22" t="s">
        <v>988</v>
      </c>
      <c r="M1" s="22" t="s">
        <v>989</v>
      </c>
      <c r="N1" s="22" t="s">
        <v>716</v>
      </c>
    </row>
    <row r="2" spans="1:14">
      <c r="A2" s="23" t="s">
        <v>130</v>
      </c>
      <c r="B2" s="23" t="s">
        <v>131</v>
      </c>
      <c r="C2" s="23" t="s">
        <v>990</v>
      </c>
      <c r="D2" s="23" t="s">
        <v>735</v>
      </c>
      <c r="E2" s="23" t="s">
        <v>736</v>
      </c>
      <c r="F2" s="25">
        <v>43</v>
      </c>
      <c r="G2" s="25">
        <v>41</v>
      </c>
      <c r="H2" s="24">
        <v>0.95348837209302328</v>
      </c>
      <c r="I2" s="24">
        <v>1</v>
      </c>
      <c r="J2" s="24">
        <v>1</v>
      </c>
      <c r="K2" s="24">
        <v>0</v>
      </c>
      <c r="L2" s="23" t="s">
        <v>991</v>
      </c>
      <c r="M2" s="25">
        <v>245897</v>
      </c>
      <c r="N2" s="25">
        <v>1</v>
      </c>
    </row>
    <row r="3" spans="1:14">
      <c r="A3" s="23" t="s">
        <v>130</v>
      </c>
      <c r="B3" s="23" t="s">
        <v>131</v>
      </c>
      <c r="C3" s="23" t="s">
        <v>990</v>
      </c>
      <c r="D3" s="23" t="s">
        <v>992</v>
      </c>
      <c r="E3" s="23" t="s">
        <v>993</v>
      </c>
      <c r="F3" s="25">
        <v>43</v>
      </c>
      <c r="G3" s="25">
        <v>40</v>
      </c>
      <c r="H3" s="24">
        <v>0.93023255813953487</v>
      </c>
      <c r="I3" s="24">
        <v>1</v>
      </c>
      <c r="J3" s="24">
        <v>1</v>
      </c>
      <c r="K3" s="24">
        <v>0</v>
      </c>
      <c r="L3" s="23" t="s">
        <v>991</v>
      </c>
      <c r="M3" s="25">
        <v>2123</v>
      </c>
      <c r="N3" s="25">
        <v>2</v>
      </c>
    </row>
    <row r="4" spans="1:14">
      <c r="A4" s="23" t="s">
        <v>130</v>
      </c>
      <c r="B4" s="23" t="s">
        <v>131</v>
      </c>
      <c r="C4" s="23" t="s">
        <v>994</v>
      </c>
      <c r="D4" s="23" t="s">
        <v>737</v>
      </c>
      <c r="E4" s="23" t="s">
        <v>738</v>
      </c>
      <c r="F4" s="25">
        <v>43</v>
      </c>
      <c r="G4" s="25">
        <v>39</v>
      </c>
      <c r="H4" s="24">
        <v>0.90697674418604646</v>
      </c>
      <c r="I4" s="24">
        <v>1</v>
      </c>
      <c r="J4" s="24">
        <v>0</v>
      </c>
      <c r="K4" s="24">
        <v>1</v>
      </c>
      <c r="L4" s="23" t="s">
        <v>995</v>
      </c>
      <c r="M4" s="25">
        <v>1217</v>
      </c>
      <c r="N4" s="25">
        <v>3</v>
      </c>
    </row>
    <row r="5" spans="1:14">
      <c r="A5" s="23" t="s">
        <v>130</v>
      </c>
      <c r="B5" s="23" t="s">
        <v>131</v>
      </c>
      <c r="C5" s="23" t="s">
        <v>990</v>
      </c>
      <c r="D5" s="23" t="s">
        <v>996</v>
      </c>
      <c r="E5" s="23" t="s">
        <v>997</v>
      </c>
      <c r="F5" s="25">
        <v>43</v>
      </c>
      <c r="G5" s="25">
        <v>37</v>
      </c>
      <c r="H5" s="24">
        <v>0.86046511627906974</v>
      </c>
      <c r="I5" s="24">
        <v>1</v>
      </c>
      <c r="J5" s="24">
        <v>0.79166666666666663</v>
      </c>
      <c r="K5" s="24">
        <v>0</v>
      </c>
      <c r="L5" s="23" t="s">
        <v>991</v>
      </c>
      <c r="M5" s="25">
        <v>2746</v>
      </c>
      <c r="N5" s="25">
        <v>4</v>
      </c>
    </row>
    <row r="6" spans="1:14">
      <c r="A6" s="23" t="s">
        <v>130</v>
      </c>
      <c r="B6" s="23" t="s">
        <v>131</v>
      </c>
      <c r="C6" s="23" t="s">
        <v>990</v>
      </c>
      <c r="D6" s="23" t="s">
        <v>998</v>
      </c>
      <c r="E6" s="23" t="s">
        <v>999</v>
      </c>
      <c r="F6" s="25">
        <v>43</v>
      </c>
      <c r="G6" s="25">
        <v>31</v>
      </c>
      <c r="H6" s="24">
        <v>0.72093023255813948</v>
      </c>
      <c r="I6" s="24">
        <v>1</v>
      </c>
      <c r="J6" s="24">
        <v>1</v>
      </c>
      <c r="K6" s="24">
        <v>0</v>
      </c>
      <c r="L6" s="23" t="s">
        <v>991</v>
      </c>
      <c r="M6" s="25">
        <v>27479</v>
      </c>
      <c r="N6" s="25">
        <v>5</v>
      </c>
    </row>
    <row r="7" spans="1:14">
      <c r="A7" s="23" t="s">
        <v>130</v>
      </c>
      <c r="B7" s="23" t="s">
        <v>131</v>
      </c>
      <c r="C7" s="23" t="s">
        <v>990</v>
      </c>
      <c r="D7" s="23" t="s">
        <v>1000</v>
      </c>
      <c r="E7" s="23" t="s">
        <v>1001</v>
      </c>
      <c r="F7" s="25">
        <v>43</v>
      </c>
      <c r="G7" s="25">
        <v>30</v>
      </c>
      <c r="H7" s="24">
        <v>0.69767441860465118</v>
      </c>
      <c r="I7" s="24">
        <v>1</v>
      </c>
      <c r="J7" s="24">
        <v>0.91</v>
      </c>
      <c r="K7" s="24">
        <v>0</v>
      </c>
      <c r="L7" s="23" t="s">
        <v>991</v>
      </c>
      <c r="M7" s="25">
        <v>1308</v>
      </c>
      <c r="N7" s="25">
        <v>6</v>
      </c>
    </row>
    <row r="8" spans="1:14">
      <c r="A8" s="23" t="s">
        <v>130</v>
      </c>
      <c r="B8" s="23" t="s">
        <v>131</v>
      </c>
      <c r="C8" s="23" t="s">
        <v>990</v>
      </c>
      <c r="D8" s="23" t="s">
        <v>1002</v>
      </c>
      <c r="E8" s="23" t="s">
        <v>1003</v>
      </c>
      <c r="F8" s="25">
        <v>43</v>
      </c>
      <c r="G8" s="25">
        <v>28</v>
      </c>
      <c r="H8" s="24">
        <v>0.65116279069767447</v>
      </c>
      <c r="I8" s="24">
        <v>1</v>
      </c>
      <c r="J8" s="24">
        <v>0.95833333333333337</v>
      </c>
      <c r="K8" s="24">
        <v>0</v>
      </c>
      <c r="L8" s="23" t="s">
        <v>991</v>
      </c>
      <c r="M8" s="25">
        <v>13023</v>
      </c>
      <c r="N8" s="25">
        <v>7</v>
      </c>
    </row>
    <row r="9" spans="1:14">
      <c r="A9" s="23" t="s">
        <v>130</v>
      </c>
      <c r="B9" s="23" t="s">
        <v>131</v>
      </c>
      <c r="C9" s="23" t="s">
        <v>994</v>
      </c>
      <c r="D9" s="23" t="s">
        <v>1004</v>
      </c>
      <c r="E9" s="23" t="s">
        <v>1005</v>
      </c>
      <c r="F9" s="25">
        <v>43</v>
      </c>
      <c r="G9" s="25">
        <v>15</v>
      </c>
      <c r="H9" s="24">
        <v>0.34883720930232559</v>
      </c>
      <c r="I9" s="24">
        <v>1</v>
      </c>
      <c r="J9" s="24">
        <v>0</v>
      </c>
      <c r="K9" s="24">
        <v>1</v>
      </c>
      <c r="L9" s="23" t="s">
        <v>995</v>
      </c>
      <c r="M9" s="25">
        <v>179</v>
      </c>
      <c r="N9" s="25">
        <v>8</v>
      </c>
    </row>
    <row r="10" spans="1:14">
      <c r="A10" s="23" t="s">
        <v>130</v>
      </c>
      <c r="B10" s="23" t="s">
        <v>131</v>
      </c>
      <c r="C10" s="23" t="s">
        <v>994</v>
      </c>
      <c r="D10" s="23" t="s">
        <v>1006</v>
      </c>
      <c r="E10" s="23" t="s">
        <v>1007</v>
      </c>
      <c r="F10" s="25">
        <v>43</v>
      </c>
      <c r="G10" s="25">
        <v>12</v>
      </c>
      <c r="H10" s="24">
        <v>0.27906976744186046</v>
      </c>
      <c r="I10" s="24">
        <v>1</v>
      </c>
      <c r="J10" s="24">
        <v>0</v>
      </c>
      <c r="K10" s="24">
        <v>1</v>
      </c>
      <c r="L10" s="23" t="s">
        <v>995</v>
      </c>
      <c r="M10" s="25">
        <v>364</v>
      </c>
      <c r="N10" s="25">
        <v>9</v>
      </c>
    </row>
    <row r="11" spans="1:14">
      <c r="A11" s="23" t="s">
        <v>130</v>
      </c>
      <c r="B11" s="23" t="s">
        <v>131</v>
      </c>
      <c r="C11" s="23" t="s">
        <v>990</v>
      </c>
      <c r="D11" s="23" t="s">
        <v>1008</v>
      </c>
      <c r="E11" s="23" t="s">
        <v>1009</v>
      </c>
      <c r="F11" s="25">
        <v>43</v>
      </c>
      <c r="G11" s="25">
        <v>8</v>
      </c>
      <c r="H11" s="24">
        <v>0.18604651162790697</v>
      </c>
      <c r="I11" s="24">
        <v>1</v>
      </c>
      <c r="J11" s="24">
        <v>0.6333333333333333</v>
      </c>
      <c r="K11" s="24">
        <v>0</v>
      </c>
      <c r="L11" s="23" t="s">
        <v>1010</v>
      </c>
      <c r="M11" s="25">
        <v>2101</v>
      </c>
      <c r="N11" s="25">
        <v>10</v>
      </c>
    </row>
    <row r="12" spans="1:14">
      <c r="A12" s="23" t="s">
        <v>130</v>
      </c>
      <c r="B12" s="23" t="s">
        <v>134</v>
      </c>
      <c r="C12" s="23" t="s">
        <v>994</v>
      </c>
      <c r="D12" s="23" t="s">
        <v>1011</v>
      </c>
      <c r="E12" s="23" t="s">
        <v>1012</v>
      </c>
      <c r="F12" s="25">
        <v>101</v>
      </c>
      <c r="G12" s="25">
        <v>101</v>
      </c>
      <c r="H12" s="24">
        <v>1</v>
      </c>
      <c r="I12" s="24">
        <v>0.73071914339458832</v>
      </c>
      <c r="J12" s="24">
        <v>0</v>
      </c>
      <c r="K12" s="24">
        <v>1</v>
      </c>
      <c r="L12" s="23" t="s">
        <v>995</v>
      </c>
      <c r="M12" s="25">
        <v>5050</v>
      </c>
      <c r="N12" s="25">
        <v>1</v>
      </c>
    </row>
    <row r="13" spans="1:14">
      <c r="A13" s="23" t="s">
        <v>130</v>
      </c>
      <c r="B13" s="23" t="s">
        <v>134</v>
      </c>
      <c r="C13" s="23" t="s">
        <v>990</v>
      </c>
      <c r="D13" s="23" t="s">
        <v>730</v>
      </c>
      <c r="E13" s="23" t="s">
        <v>731</v>
      </c>
      <c r="F13" s="25">
        <v>101</v>
      </c>
      <c r="G13" s="25">
        <v>89</v>
      </c>
      <c r="H13" s="24">
        <v>0.88118811881188119</v>
      </c>
      <c r="I13" s="24">
        <v>0.57710343340699621</v>
      </c>
      <c r="J13" s="24">
        <v>1</v>
      </c>
      <c r="K13" s="24">
        <v>0</v>
      </c>
      <c r="L13" s="23" t="s">
        <v>991</v>
      </c>
      <c r="M13" s="25">
        <v>10707</v>
      </c>
      <c r="N13" s="25">
        <v>2</v>
      </c>
    </row>
    <row r="14" spans="1:14">
      <c r="A14" s="23" t="s">
        <v>130</v>
      </c>
      <c r="B14" s="23" t="s">
        <v>134</v>
      </c>
      <c r="C14" s="23" t="s">
        <v>990</v>
      </c>
      <c r="D14" s="23" t="s">
        <v>742</v>
      </c>
      <c r="E14" s="23" t="s">
        <v>743</v>
      </c>
      <c r="F14" s="25">
        <v>101</v>
      </c>
      <c r="G14" s="25">
        <v>79</v>
      </c>
      <c r="H14" s="24">
        <v>0.78217821782178221</v>
      </c>
      <c r="I14" s="24">
        <v>0.53166666666666662</v>
      </c>
      <c r="J14" s="24">
        <v>0.75</v>
      </c>
      <c r="K14" s="24">
        <v>0</v>
      </c>
      <c r="L14" s="23" t="s">
        <v>991</v>
      </c>
      <c r="M14" s="25">
        <v>1276</v>
      </c>
      <c r="N14" s="25">
        <v>3</v>
      </c>
    </row>
    <row r="15" spans="1:14">
      <c r="A15" s="23" t="s">
        <v>130</v>
      </c>
      <c r="B15" s="23" t="s">
        <v>134</v>
      </c>
      <c r="C15" s="23" t="s">
        <v>994</v>
      </c>
      <c r="D15" s="23" t="s">
        <v>740</v>
      </c>
      <c r="E15" s="23" t="s">
        <v>741</v>
      </c>
      <c r="F15" s="25">
        <v>101</v>
      </c>
      <c r="G15" s="25">
        <v>72</v>
      </c>
      <c r="H15" s="24">
        <v>0.71287128712871284</v>
      </c>
      <c r="I15" s="24">
        <v>0.99700956937799046</v>
      </c>
      <c r="J15" s="24">
        <v>0</v>
      </c>
      <c r="K15" s="24">
        <v>0.91666666666666663</v>
      </c>
      <c r="L15" s="23" t="s">
        <v>995</v>
      </c>
      <c r="M15" s="25">
        <v>1667</v>
      </c>
      <c r="N15" s="25">
        <v>4</v>
      </c>
    </row>
    <row r="16" spans="1:14">
      <c r="A16" s="23" t="s">
        <v>130</v>
      </c>
      <c r="B16" s="23" t="s">
        <v>134</v>
      </c>
      <c r="C16" s="23" t="s">
        <v>994</v>
      </c>
      <c r="D16" s="23" t="s">
        <v>1013</v>
      </c>
      <c r="E16" s="23" t="s">
        <v>1014</v>
      </c>
      <c r="F16" s="25">
        <v>101</v>
      </c>
      <c r="G16" s="25">
        <v>56</v>
      </c>
      <c r="H16" s="24">
        <v>0.5544554455445545</v>
      </c>
      <c r="I16" s="24">
        <v>1</v>
      </c>
      <c r="J16" s="24">
        <v>0</v>
      </c>
      <c r="K16" s="24">
        <v>1</v>
      </c>
      <c r="L16" s="23" t="s">
        <v>995</v>
      </c>
      <c r="M16" s="25">
        <v>701</v>
      </c>
      <c r="N16" s="25">
        <v>5</v>
      </c>
    </row>
    <row r="17" spans="1:14">
      <c r="A17" s="23" t="s">
        <v>130</v>
      </c>
      <c r="B17" s="23" t="s">
        <v>134</v>
      </c>
      <c r="C17" s="23" t="s">
        <v>994</v>
      </c>
      <c r="D17" s="23" t="s">
        <v>1015</v>
      </c>
      <c r="E17" s="23" t="s">
        <v>1016</v>
      </c>
      <c r="F17" s="25">
        <v>101</v>
      </c>
      <c r="G17" s="25">
        <v>55</v>
      </c>
      <c r="H17" s="24">
        <v>0.54455445544554459</v>
      </c>
      <c r="I17" s="24">
        <v>0.6785714285714286</v>
      </c>
      <c r="J17" s="24">
        <v>0</v>
      </c>
      <c r="K17" s="24">
        <v>0.96363636363636362</v>
      </c>
      <c r="L17" s="23" t="s">
        <v>995</v>
      </c>
      <c r="M17" s="25">
        <v>399</v>
      </c>
      <c r="N17" s="25">
        <v>6</v>
      </c>
    </row>
    <row r="18" spans="1:14">
      <c r="A18" s="23" t="s">
        <v>130</v>
      </c>
      <c r="B18" s="23" t="s">
        <v>134</v>
      </c>
      <c r="C18" s="23" t="s">
        <v>994</v>
      </c>
      <c r="D18" s="23" t="s">
        <v>1017</v>
      </c>
      <c r="E18" s="23" t="s">
        <v>1018</v>
      </c>
      <c r="F18" s="25">
        <v>101</v>
      </c>
      <c r="G18" s="25">
        <v>43</v>
      </c>
      <c r="H18" s="24">
        <v>0.42574257425742573</v>
      </c>
      <c r="I18" s="24">
        <v>1</v>
      </c>
      <c r="J18" s="24">
        <v>0</v>
      </c>
      <c r="K18" s="24">
        <v>1</v>
      </c>
      <c r="L18" s="23" t="s">
        <v>995</v>
      </c>
      <c r="M18" s="25">
        <v>1058</v>
      </c>
      <c r="N18" s="25">
        <v>7</v>
      </c>
    </row>
    <row r="19" spans="1:14">
      <c r="A19" s="23" t="s">
        <v>130</v>
      </c>
      <c r="B19" s="23" t="s">
        <v>138</v>
      </c>
      <c r="C19" s="23" t="s">
        <v>994</v>
      </c>
      <c r="D19" s="23" t="s">
        <v>744</v>
      </c>
      <c r="E19" s="23" t="s">
        <v>745</v>
      </c>
      <c r="F19" s="25">
        <v>25</v>
      </c>
      <c r="G19" s="25">
        <v>25</v>
      </c>
      <c r="H19" s="24">
        <v>1</v>
      </c>
      <c r="I19" s="24">
        <v>1</v>
      </c>
      <c r="J19" s="24">
        <v>0</v>
      </c>
      <c r="K19" s="24">
        <v>1</v>
      </c>
      <c r="L19" s="23" t="s">
        <v>995</v>
      </c>
      <c r="M19" s="25">
        <v>1386</v>
      </c>
      <c r="N19" s="25">
        <v>1</v>
      </c>
    </row>
    <row r="20" spans="1:14">
      <c r="A20" s="23" t="s">
        <v>130</v>
      </c>
      <c r="B20" s="23" t="s">
        <v>138</v>
      </c>
      <c r="C20" s="23" t="s">
        <v>994</v>
      </c>
      <c r="D20" s="23" t="s">
        <v>1019</v>
      </c>
      <c r="E20" s="23" t="s">
        <v>1020</v>
      </c>
      <c r="F20" s="25">
        <v>25</v>
      </c>
      <c r="G20" s="25">
        <v>24</v>
      </c>
      <c r="H20" s="24">
        <v>0.96</v>
      </c>
      <c r="I20" s="24">
        <v>1</v>
      </c>
      <c r="J20" s="24">
        <v>0</v>
      </c>
      <c r="K20" s="24">
        <v>1</v>
      </c>
      <c r="L20" s="23" t="s">
        <v>995</v>
      </c>
      <c r="M20" s="25">
        <v>694</v>
      </c>
      <c r="N20" s="25">
        <v>2</v>
      </c>
    </row>
    <row r="21" spans="1:14">
      <c r="A21" s="23" t="s">
        <v>130</v>
      </c>
      <c r="B21" s="23" t="s">
        <v>138</v>
      </c>
      <c r="C21" s="23" t="s">
        <v>994</v>
      </c>
      <c r="D21" s="23" t="s">
        <v>1021</v>
      </c>
      <c r="E21" s="23" t="s">
        <v>1022</v>
      </c>
      <c r="F21" s="25">
        <v>25</v>
      </c>
      <c r="G21" s="25">
        <v>20</v>
      </c>
      <c r="H21" s="24">
        <v>0.8</v>
      </c>
      <c r="I21" s="24">
        <v>1</v>
      </c>
      <c r="J21" s="24">
        <v>0</v>
      </c>
      <c r="K21" s="24">
        <v>1</v>
      </c>
      <c r="L21" s="23" t="s">
        <v>995</v>
      </c>
      <c r="M21" s="25">
        <v>706</v>
      </c>
      <c r="N21" s="25">
        <v>3</v>
      </c>
    </row>
    <row r="22" spans="1:14">
      <c r="A22" s="23" t="s">
        <v>130</v>
      </c>
      <c r="B22" s="23" t="s">
        <v>138</v>
      </c>
      <c r="C22" s="23" t="s">
        <v>994</v>
      </c>
      <c r="D22" s="23" t="s">
        <v>1023</v>
      </c>
      <c r="E22" s="23" t="s">
        <v>1024</v>
      </c>
      <c r="F22" s="25">
        <v>25</v>
      </c>
      <c r="G22" s="25">
        <v>19</v>
      </c>
      <c r="H22" s="24">
        <v>0.76</v>
      </c>
      <c r="I22" s="24">
        <v>1</v>
      </c>
      <c r="J22" s="24">
        <v>0</v>
      </c>
      <c r="K22" s="24">
        <v>1</v>
      </c>
      <c r="L22" s="23" t="s">
        <v>995</v>
      </c>
      <c r="M22" s="25">
        <v>3025</v>
      </c>
      <c r="N22" s="25">
        <v>4</v>
      </c>
    </row>
    <row r="23" spans="1:14">
      <c r="A23" s="23" t="s">
        <v>130</v>
      </c>
      <c r="B23" s="23" t="s">
        <v>138</v>
      </c>
      <c r="C23" s="23" t="s">
        <v>994</v>
      </c>
      <c r="D23" s="23" t="s">
        <v>1025</v>
      </c>
      <c r="E23" s="23" t="s">
        <v>1026</v>
      </c>
      <c r="F23" s="25">
        <v>25</v>
      </c>
      <c r="G23" s="25">
        <v>3</v>
      </c>
      <c r="H23" s="24">
        <v>0.12</v>
      </c>
      <c r="I23" s="24">
        <v>1</v>
      </c>
      <c r="J23" s="24">
        <v>0</v>
      </c>
      <c r="K23" s="24">
        <v>1</v>
      </c>
      <c r="L23" s="23" t="s">
        <v>995</v>
      </c>
      <c r="M23" s="25">
        <v>137</v>
      </c>
      <c r="N23" s="25">
        <v>5</v>
      </c>
    </row>
    <row r="24" spans="1:14">
      <c r="A24" s="23" t="s">
        <v>256</v>
      </c>
      <c r="B24" s="23" t="s">
        <v>262</v>
      </c>
      <c r="C24" s="23" t="s">
        <v>994</v>
      </c>
      <c r="D24" s="23" t="s">
        <v>891</v>
      </c>
      <c r="E24" s="23" t="s">
        <v>892</v>
      </c>
      <c r="F24" s="25">
        <v>14</v>
      </c>
      <c r="G24" s="25">
        <v>14</v>
      </c>
      <c r="H24" s="24">
        <v>1</v>
      </c>
      <c r="I24" s="24">
        <v>1</v>
      </c>
      <c r="J24" s="24">
        <v>0</v>
      </c>
      <c r="K24" s="24">
        <v>1</v>
      </c>
      <c r="L24" s="23" t="s">
        <v>995</v>
      </c>
      <c r="M24" s="25">
        <v>577</v>
      </c>
      <c r="N24" s="25">
        <v>1</v>
      </c>
    </row>
    <row r="25" spans="1:14">
      <c r="A25" s="23" t="s">
        <v>256</v>
      </c>
      <c r="B25" s="23" t="s">
        <v>262</v>
      </c>
      <c r="C25" s="23" t="s">
        <v>994</v>
      </c>
      <c r="D25" s="23" t="s">
        <v>1027</v>
      </c>
      <c r="E25" s="23" t="s">
        <v>1028</v>
      </c>
      <c r="F25" s="25">
        <v>14</v>
      </c>
      <c r="G25" s="25">
        <v>14</v>
      </c>
      <c r="H25" s="24">
        <v>1</v>
      </c>
      <c r="I25" s="24">
        <v>1</v>
      </c>
      <c r="J25" s="24">
        <v>0</v>
      </c>
      <c r="K25" s="24">
        <v>1</v>
      </c>
      <c r="L25" s="23" t="s">
        <v>995</v>
      </c>
      <c r="M25" s="25">
        <v>102</v>
      </c>
      <c r="N25" s="25">
        <v>2</v>
      </c>
    </row>
    <row r="26" spans="1:14">
      <c r="A26" s="23" t="s">
        <v>256</v>
      </c>
      <c r="B26" s="23" t="s">
        <v>262</v>
      </c>
      <c r="C26" s="23" t="s">
        <v>994</v>
      </c>
      <c r="D26" s="23" t="s">
        <v>1029</v>
      </c>
      <c r="E26" s="23" t="s">
        <v>1030</v>
      </c>
      <c r="F26" s="25">
        <v>14</v>
      </c>
      <c r="G26" s="25">
        <v>7</v>
      </c>
      <c r="H26" s="24">
        <v>0.5</v>
      </c>
      <c r="I26" s="24">
        <v>1</v>
      </c>
      <c r="J26" s="24">
        <v>0</v>
      </c>
      <c r="K26" s="24">
        <v>1</v>
      </c>
      <c r="L26" s="23" t="s">
        <v>995</v>
      </c>
      <c r="M26" s="25">
        <v>1560</v>
      </c>
      <c r="N26" s="25">
        <v>3</v>
      </c>
    </row>
    <row r="27" spans="1:14">
      <c r="A27" s="23" t="s">
        <v>256</v>
      </c>
      <c r="B27" s="23" t="s">
        <v>262</v>
      </c>
      <c r="C27" s="23" t="s">
        <v>994</v>
      </c>
      <c r="D27" s="23" t="s">
        <v>1031</v>
      </c>
      <c r="E27" s="23" t="s">
        <v>1032</v>
      </c>
      <c r="F27" s="25">
        <v>14</v>
      </c>
      <c r="G27" s="25">
        <v>5</v>
      </c>
      <c r="H27" s="24">
        <v>0.35714285714285715</v>
      </c>
      <c r="I27" s="24">
        <v>1</v>
      </c>
      <c r="J27" s="24">
        <v>0</v>
      </c>
      <c r="K27" s="24">
        <v>1</v>
      </c>
      <c r="L27" s="23" t="s">
        <v>995</v>
      </c>
      <c r="M27" s="25">
        <v>1561</v>
      </c>
      <c r="N27" s="25">
        <v>4</v>
      </c>
    </row>
    <row r="28" spans="1:14">
      <c r="A28" s="23" t="s">
        <v>256</v>
      </c>
      <c r="B28" s="23" t="s">
        <v>262</v>
      </c>
      <c r="C28" s="23" t="s">
        <v>994</v>
      </c>
      <c r="D28" s="23" t="s">
        <v>1033</v>
      </c>
      <c r="E28" s="23" t="s">
        <v>1034</v>
      </c>
      <c r="F28" s="25">
        <v>14</v>
      </c>
      <c r="G28" s="25">
        <v>5</v>
      </c>
      <c r="H28" s="24">
        <v>0.35714285714285715</v>
      </c>
      <c r="I28" s="24">
        <v>1</v>
      </c>
      <c r="J28" s="24">
        <v>0</v>
      </c>
      <c r="K28" s="24">
        <v>1</v>
      </c>
      <c r="L28" s="23" t="s">
        <v>995</v>
      </c>
      <c r="M28" s="25">
        <v>101</v>
      </c>
      <c r="N28" s="25">
        <v>5</v>
      </c>
    </row>
    <row r="29" spans="1:14">
      <c r="A29" s="23" t="s">
        <v>256</v>
      </c>
      <c r="B29" s="23" t="s">
        <v>264</v>
      </c>
      <c r="C29" s="23" t="s">
        <v>994</v>
      </c>
      <c r="D29" s="23" t="s">
        <v>1035</v>
      </c>
      <c r="E29" s="23" t="s">
        <v>1036</v>
      </c>
      <c r="F29" s="25">
        <v>66</v>
      </c>
      <c r="G29" s="25">
        <v>66</v>
      </c>
      <c r="H29" s="24">
        <v>1</v>
      </c>
      <c r="I29" s="24">
        <v>0.89583333333333337</v>
      </c>
      <c r="J29" s="24">
        <v>0</v>
      </c>
      <c r="K29" s="24">
        <v>1</v>
      </c>
      <c r="L29" s="23" t="s">
        <v>995</v>
      </c>
      <c r="M29" s="25">
        <v>5762</v>
      </c>
      <c r="N29" s="25">
        <v>1</v>
      </c>
    </row>
    <row r="30" spans="1:14">
      <c r="A30" s="23" t="s">
        <v>256</v>
      </c>
      <c r="B30" s="23" t="s">
        <v>264</v>
      </c>
      <c r="C30" s="23" t="s">
        <v>994</v>
      </c>
      <c r="D30" s="23" t="s">
        <v>893</v>
      </c>
      <c r="E30" s="23" t="s">
        <v>894</v>
      </c>
      <c r="F30" s="25">
        <v>66</v>
      </c>
      <c r="G30" s="25">
        <v>64</v>
      </c>
      <c r="H30" s="24">
        <v>0.96969696969696972</v>
      </c>
      <c r="I30" s="24">
        <v>1</v>
      </c>
      <c r="J30" s="24">
        <v>0</v>
      </c>
      <c r="K30" s="24">
        <v>1</v>
      </c>
      <c r="L30" s="23" t="s">
        <v>995</v>
      </c>
      <c r="M30" s="25">
        <v>4478</v>
      </c>
      <c r="N30" s="25">
        <v>2</v>
      </c>
    </row>
    <row r="31" spans="1:14">
      <c r="A31" s="23" t="s">
        <v>256</v>
      </c>
      <c r="B31" s="23" t="s">
        <v>264</v>
      </c>
      <c r="C31" s="23" t="s">
        <v>990</v>
      </c>
      <c r="D31" s="23" t="s">
        <v>889</v>
      </c>
      <c r="E31" s="23" t="s">
        <v>890</v>
      </c>
      <c r="F31" s="25">
        <v>66</v>
      </c>
      <c r="G31" s="25">
        <v>56</v>
      </c>
      <c r="H31" s="24">
        <v>0.84848484848484851</v>
      </c>
      <c r="I31" s="24">
        <v>0.55014217063802195</v>
      </c>
      <c r="J31" s="24">
        <v>0.83333333333333337</v>
      </c>
      <c r="K31" s="24">
        <v>1</v>
      </c>
      <c r="L31" s="23" t="s">
        <v>991</v>
      </c>
      <c r="M31" s="25">
        <v>66170</v>
      </c>
      <c r="N31" s="25">
        <v>3</v>
      </c>
    </row>
    <row r="32" spans="1:14">
      <c r="A32" s="23" t="s">
        <v>256</v>
      </c>
      <c r="B32" s="23" t="s">
        <v>264</v>
      </c>
      <c r="C32" s="23" t="s">
        <v>994</v>
      </c>
      <c r="D32" s="23" t="s">
        <v>1037</v>
      </c>
      <c r="E32" s="23" t="s">
        <v>1038</v>
      </c>
      <c r="F32" s="25">
        <v>66</v>
      </c>
      <c r="G32" s="25">
        <v>52</v>
      </c>
      <c r="H32" s="24">
        <v>0.78787878787878785</v>
      </c>
      <c r="I32" s="24">
        <v>1</v>
      </c>
      <c r="J32" s="24">
        <v>0</v>
      </c>
      <c r="K32" s="24">
        <v>0.96153846153846156</v>
      </c>
      <c r="L32" s="23" t="s">
        <v>995</v>
      </c>
      <c r="M32" s="25">
        <v>406</v>
      </c>
      <c r="N32" s="25">
        <v>4</v>
      </c>
    </row>
    <row r="33" spans="1:14">
      <c r="A33" s="23" t="s">
        <v>256</v>
      </c>
      <c r="B33" s="23" t="s">
        <v>264</v>
      </c>
      <c r="C33" s="23" t="s">
        <v>994</v>
      </c>
      <c r="D33" s="23" t="s">
        <v>1039</v>
      </c>
      <c r="E33" s="23" t="s">
        <v>1040</v>
      </c>
      <c r="F33" s="25">
        <v>66</v>
      </c>
      <c r="G33" s="25">
        <v>23</v>
      </c>
      <c r="H33" s="24">
        <v>0.34848484848484851</v>
      </c>
      <c r="I33" s="24">
        <v>0.76687116564417179</v>
      </c>
      <c r="J33" s="24">
        <v>0</v>
      </c>
      <c r="K33" s="24">
        <v>1</v>
      </c>
      <c r="L33" s="23" t="s">
        <v>995</v>
      </c>
      <c r="M33" s="25">
        <v>125</v>
      </c>
      <c r="N33" s="25">
        <v>5</v>
      </c>
    </row>
    <row r="34" spans="1:14">
      <c r="A34" s="23" t="s">
        <v>256</v>
      </c>
      <c r="B34" s="23" t="s">
        <v>264</v>
      </c>
      <c r="C34" s="23" t="s">
        <v>994</v>
      </c>
      <c r="D34" s="23" t="s">
        <v>1041</v>
      </c>
      <c r="E34" s="23" t="s">
        <v>1042</v>
      </c>
      <c r="F34" s="25">
        <v>66</v>
      </c>
      <c r="G34" s="25">
        <v>14</v>
      </c>
      <c r="H34" s="24">
        <v>0.21212121212121213</v>
      </c>
      <c r="I34" s="24">
        <v>1</v>
      </c>
      <c r="J34" s="24">
        <v>0</v>
      </c>
      <c r="K34" s="24">
        <v>1</v>
      </c>
      <c r="L34" s="23" t="s">
        <v>995</v>
      </c>
      <c r="M34" s="25">
        <v>63</v>
      </c>
      <c r="N34" s="25">
        <v>6</v>
      </c>
    </row>
    <row r="35" spans="1:14">
      <c r="A35" s="23" t="s">
        <v>256</v>
      </c>
      <c r="B35" s="23" t="s">
        <v>264</v>
      </c>
      <c r="C35" s="23" t="s">
        <v>990</v>
      </c>
      <c r="D35" s="23" t="s">
        <v>1043</v>
      </c>
      <c r="E35" s="23" t="s">
        <v>1044</v>
      </c>
      <c r="F35" s="25">
        <v>66</v>
      </c>
      <c r="G35" s="25">
        <v>11</v>
      </c>
      <c r="H35" s="24">
        <v>0.16666666666666666</v>
      </c>
      <c r="I35" s="24">
        <v>1</v>
      </c>
      <c r="J35" s="24">
        <v>0.65</v>
      </c>
      <c r="K35" s="24">
        <v>0</v>
      </c>
      <c r="L35" s="23" t="s">
        <v>1010</v>
      </c>
      <c r="M35" s="25">
        <v>728</v>
      </c>
      <c r="N35" s="25">
        <v>7</v>
      </c>
    </row>
    <row r="36" spans="1:14">
      <c r="A36" s="23" t="s">
        <v>256</v>
      </c>
      <c r="B36" s="23" t="s">
        <v>260</v>
      </c>
      <c r="C36" s="23" t="s">
        <v>994</v>
      </c>
      <c r="D36" s="23" t="s">
        <v>887</v>
      </c>
      <c r="E36" s="23" t="s">
        <v>888</v>
      </c>
      <c r="F36" s="25">
        <v>112</v>
      </c>
      <c r="G36" s="25">
        <v>109</v>
      </c>
      <c r="H36" s="24">
        <v>0.9732142857142857</v>
      </c>
      <c r="I36" s="24">
        <v>1</v>
      </c>
      <c r="J36" s="24">
        <v>0</v>
      </c>
      <c r="K36" s="24">
        <v>1</v>
      </c>
      <c r="L36" s="23" t="s">
        <v>995</v>
      </c>
      <c r="M36" s="25">
        <v>1295</v>
      </c>
      <c r="N36" s="25">
        <v>1</v>
      </c>
    </row>
    <row r="37" spans="1:14">
      <c r="A37" s="23" t="s">
        <v>256</v>
      </c>
      <c r="B37" s="23" t="s">
        <v>260</v>
      </c>
      <c r="C37" s="23" t="s">
        <v>994</v>
      </c>
      <c r="D37" s="23" t="s">
        <v>1045</v>
      </c>
      <c r="E37" s="23" t="s">
        <v>1046</v>
      </c>
      <c r="F37" s="25">
        <v>112</v>
      </c>
      <c r="G37" s="25">
        <v>106</v>
      </c>
      <c r="H37" s="24">
        <v>0.9464285714285714</v>
      </c>
      <c r="I37" s="24">
        <v>1</v>
      </c>
      <c r="J37" s="24">
        <v>0</v>
      </c>
      <c r="K37" s="24">
        <v>1</v>
      </c>
      <c r="L37" s="23" t="s">
        <v>995</v>
      </c>
      <c r="M37" s="25">
        <v>32605</v>
      </c>
      <c r="N37" s="25">
        <v>2</v>
      </c>
    </row>
    <row r="38" spans="1:14">
      <c r="A38" s="23" t="s">
        <v>256</v>
      </c>
      <c r="B38" s="23" t="s">
        <v>260</v>
      </c>
      <c r="C38" s="23" t="s">
        <v>990</v>
      </c>
      <c r="D38" s="23" t="s">
        <v>885</v>
      </c>
      <c r="E38" s="23" t="s">
        <v>886</v>
      </c>
      <c r="F38" s="25">
        <v>112</v>
      </c>
      <c r="G38" s="25">
        <v>106</v>
      </c>
      <c r="H38" s="24">
        <v>0.9464285714285714</v>
      </c>
      <c r="I38" s="24">
        <v>1</v>
      </c>
      <c r="J38" s="24">
        <v>0.76556776556776551</v>
      </c>
      <c r="K38" s="24">
        <v>0</v>
      </c>
      <c r="L38" s="23" t="s">
        <v>991</v>
      </c>
      <c r="M38" s="25">
        <v>14335</v>
      </c>
      <c r="N38" s="25">
        <v>3</v>
      </c>
    </row>
    <row r="39" spans="1:14">
      <c r="A39" s="23" t="s">
        <v>256</v>
      </c>
      <c r="B39" s="23" t="s">
        <v>260</v>
      </c>
      <c r="C39" s="23" t="s">
        <v>994</v>
      </c>
      <c r="D39" s="23" t="s">
        <v>1047</v>
      </c>
      <c r="E39" s="23" t="s">
        <v>1048</v>
      </c>
      <c r="F39" s="25">
        <v>112</v>
      </c>
      <c r="G39" s="25">
        <v>103</v>
      </c>
      <c r="H39" s="24">
        <v>0.9196428571428571</v>
      </c>
      <c r="I39" s="24">
        <v>1</v>
      </c>
      <c r="J39" s="24">
        <v>0</v>
      </c>
      <c r="K39" s="24">
        <v>0.970873786407767</v>
      </c>
      <c r="L39" s="23" t="s">
        <v>995</v>
      </c>
      <c r="M39" s="25">
        <v>5201</v>
      </c>
      <c r="N39" s="25">
        <v>4</v>
      </c>
    </row>
    <row r="40" spans="1:14">
      <c r="A40" s="23" t="s">
        <v>256</v>
      </c>
      <c r="B40" s="23" t="s">
        <v>260</v>
      </c>
      <c r="C40" s="23" t="s">
        <v>994</v>
      </c>
      <c r="D40" s="23" t="s">
        <v>1049</v>
      </c>
      <c r="E40" s="23" t="s">
        <v>1050</v>
      </c>
      <c r="F40" s="25">
        <v>112</v>
      </c>
      <c r="G40" s="25">
        <v>94</v>
      </c>
      <c r="H40" s="24">
        <v>0.8392857142857143</v>
      </c>
      <c r="I40" s="24">
        <v>1</v>
      </c>
      <c r="J40" s="24">
        <v>0</v>
      </c>
      <c r="K40" s="24">
        <v>0.98936170212765961</v>
      </c>
      <c r="L40" s="23" t="s">
        <v>995</v>
      </c>
      <c r="M40" s="25">
        <v>4101</v>
      </c>
      <c r="N40" s="25">
        <v>5</v>
      </c>
    </row>
    <row r="41" spans="1:14">
      <c r="A41" s="23" t="s">
        <v>256</v>
      </c>
      <c r="B41" s="23" t="s">
        <v>260</v>
      </c>
      <c r="C41" s="23" t="s">
        <v>990</v>
      </c>
      <c r="D41" s="23" t="s">
        <v>1051</v>
      </c>
      <c r="E41" s="23" t="s">
        <v>1052</v>
      </c>
      <c r="F41" s="25">
        <v>112</v>
      </c>
      <c r="G41" s="25">
        <v>84</v>
      </c>
      <c r="H41" s="24">
        <v>0.75</v>
      </c>
      <c r="I41" s="24">
        <v>1</v>
      </c>
      <c r="J41" s="24">
        <v>1</v>
      </c>
      <c r="K41" s="24">
        <v>0</v>
      </c>
      <c r="L41" s="23" t="s">
        <v>991</v>
      </c>
      <c r="M41" s="25">
        <v>176076</v>
      </c>
      <c r="N41" s="25">
        <v>6</v>
      </c>
    </row>
    <row r="42" spans="1:14">
      <c r="A42" s="23" t="s">
        <v>256</v>
      </c>
      <c r="B42" s="23" t="s">
        <v>260</v>
      </c>
      <c r="C42" s="23" t="s">
        <v>990</v>
      </c>
      <c r="D42" s="23" t="s">
        <v>879</v>
      </c>
      <c r="E42" s="23" t="s">
        <v>880</v>
      </c>
      <c r="F42" s="25">
        <v>112</v>
      </c>
      <c r="G42" s="25">
        <v>83</v>
      </c>
      <c r="H42" s="24">
        <v>0.7410714285714286</v>
      </c>
      <c r="I42" s="24">
        <v>0.61167341430499322</v>
      </c>
      <c r="J42" s="24">
        <v>0.95454545454545459</v>
      </c>
      <c r="K42" s="24">
        <v>0</v>
      </c>
      <c r="L42" s="23" t="s">
        <v>991</v>
      </c>
      <c r="M42" s="25">
        <v>1813</v>
      </c>
      <c r="N42" s="25">
        <v>7</v>
      </c>
    </row>
    <row r="43" spans="1:14">
      <c r="A43" s="23" t="s">
        <v>256</v>
      </c>
      <c r="B43" s="23" t="s">
        <v>260</v>
      </c>
      <c r="C43" s="23" t="s">
        <v>990</v>
      </c>
      <c r="D43" s="23" t="s">
        <v>1053</v>
      </c>
      <c r="E43" s="23" t="s">
        <v>1054</v>
      </c>
      <c r="F43" s="25">
        <v>112</v>
      </c>
      <c r="G43" s="25">
        <v>81</v>
      </c>
      <c r="H43" s="24">
        <v>0.7232142857142857</v>
      </c>
      <c r="I43" s="24">
        <v>1</v>
      </c>
      <c r="J43" s="24">
        <v>0.95652173913043481</v>
      </c>
      <c r="K43" s="24">
        <v>0</v>
      </c>
      <c r="L43" s="23" t="s">
        <v>991</v>
      </c>
      <c r="M43" s="25">
        <v>67010</v>
      </c>
      <c r="N43" s="25">
        <v>8</v>
      </c>
    </row>
    <row r="44" spans="1:14">
      <c r="A44" s="23" t="s">
        <v>256</v>
      </c>
      <c r="B44" s="23" t="s">
        <v>260</v>
      </c>
      <c r="C44" s="23" t="s">
        <v>994</v>
      </c>
      <c r="D44" s="23" t="s">
        <v>1055</v>
      </c>
      <c r="E44" s="23" t="s">
        <v>1056</v>
      </c>
      <c r="F44" s="25">
        <v>112</v>
      </c>
      <c r="G44" s="25">
        <v>79</v>
      </c>
      <c r="H44" s="24">
        <v>0.7053571428571429</v>
      </c>
      <c r="I44" s="24">
        <v>0.99946279881815736</v>
      </c>
      <c r="J44" s="24">
        <v>0</v>
      </c>
      <c r="K44" s="24">
        <v>1</v>
      </c>
      <c r="L44" s="23" t="s">
        <v>995</v>
      </c>
      <c r="M44" s="25">
        <v>7442</v>
      </c>
      <c r="N44" s="25">
        <v>9</v>
      </c>
    </row>
    <row r="45" spans="1:14">
      <c r="A45" s="23" t="s">
        <v>256</v>
      </c>
      <c r="B45" s="23" t="s">
        <v>260</v>
      </c>
      <c r="C45" s="23" t="s">
        <v>990</v>
      </c>
      <c r="D45" s="23" t="s">
        <v>1057</v>
      </c>
      <c r="E45" s="23" t="s">
        <v>1058</v>
      </c>
      <c r="F45" s="25">
        <v>112</v>
      </c>
      <c r="G45" s="25">
        <v>79</v>
      </c>
      <c r="H45" s="24">
        <v>0.7053571428571429</v>
      </c>
      <c r="I45" s="24">
        <v>1</v>
      </c>
      <c r="J45" s="24">
        <v>1</v>
      </c>
      <c r="K45" s="24">
        <v>0</v>
      </c>
      <c r="L45" s="23" t="s">
        <v>991</v>
      </c>
      <c r="M45" s="25">
        <v>3492</v>
      </c>
      <c r="N45" s="25">
        <v>10</v>
      </c>
    </row>
    <row r="46" spans="1:14">
      <c r="A46" s="23" t="s">
        <v>256</v>
      </c>
      <c r="B46" s="23" t="s">
        <v>260</v>
      </c>
      <c r="C46" s="23" t="s">
        <v>990</v>
      </c>
      <c r="D46" s="23" t="s">
        <v>1059</v>
      </c>
      <c r="E46" s="23" t="s">
        <v>1060</v>
      </c>
      <c r="F46" s="25">
        <v>112</v>
      </c>
      <c r="G46" s="25">
        <v>74</v>
      </c>
      <c r="H46" s="24">
        <v>0.6607142857142857</v>
      </c>
      <c r="I46" s="24">
        <v>1</v>
      </c>
      <c r="J46" s="24">
        <v>1</v>
      </c>
      <c r="K46" s="24">
        <v>0</v>
      </c>
      <c r="L46" s="23" t="s">
        <v>991</v>
      </c>
      <c r="M46" s="25">
        <v>83822</v>
      </c>
      <c r="N46" s="25">
        <v>11</v>
      </c>
    </row>
    <row r="47" spans="1:14">
      <c r="A47" s="23" t="s">
        <v>256</v>
      </c>
      <c r="B47" s="23" t="s">
        <v>260</v>
      </c>
      <c r="C47" s="23" t="s">
        <v>990</v>
      </c>
      <c r="D47" s="23" t="s">
        <v>1061</v>
      </c>
      <c r="E47" s="23" t="s">
        <v>1062</v>
      </c>
      <c r="F47" s="25">
        <v>112</v>
      </c>
      <c r="G47" s="25">
        <v>72</v>
      </c>
      <c r="H47" s="24">
        <v>0.6428571428571429</v>
      </c>
      <c r="I47" s="24">
        <v>1</v>
      </c>
      <c r="J47" s="24">
        <v>1</v>
      </c>
      <c r="K47" s="24">
        <v>0</v>
      </c>
      <c r="L47" s="23" t="s">
        <v>991</v>
      </c>
      <c r="M47" s="25">
        <v>47969</v>
      </c>
      <c r="N47" s="25">
        <v>12</v>
      </c>
    </row>
    <row r="48" spans="1:14">
      <c r="A48" s="23" t="s">
        <v>256</v>
      </c>
      <c r="B48" s="23" t="s">
        <v>260</v>
      </c>
      <c r="C48" s="23" t="s">
        <v>990</v>
      </c>
      <c r="D48" s="23" t="s">
        <v>1063</v>
      </c>
      <c r="E48" s="23" t="s">
        <v>1064</v>
      </c>
      <c r="F48" s="25">
        <v>112</v>
      </c>
      <c r="G48" s="25">
        <v>46</v>
      </c>
      <c r="H48" s="24">
        <v>0.4107142857142857</v>
      </c>
      <c r="I48" s="24">
        <v>1</v>
      </c>
      <c r="J48" s="24">
        <v>0.68090909090909091</v>
      </c>
      <c r="K48" s="24">
        <v>0</v>
      </c>
      <c r="L48" s="23" t="s">
        <v>1010</v>
      </c>
      <c r="M48" s="25">
        <v>3103</v>
      </c>
      <c r="N48" s="25">
        <v>13</v>
      </c>
    </row>
    <row r="49" spans="1:14">
      <c r="A49" s="23" t="s">
        <v>256</v>
      </c>
      <c r="B49" s="23" t="s">
        <v>260</v>
      </c>
      <c r="C49" s="23" t="s">
        <v>990</v>
      </c>
      <c r="D49" s="23" t="s">
        <v>1065</v>
      </c>
      <c r="E49" s="23" t="s">
        <v>1066</v>
      </c>
      <c r="F49" s="25">
        <v>112</v>
      </c>
      <c r="G49" s="25">
        <v>37</v>
      </c>
      <c r="H49" s="24">
        <v>0.33035714285714285</v>
      </c>
      <c r="I49" s="24">
        <v>0.87281910009182739</v>
      </c>
      <c r="J49" s="24">
        <v>0.25</v>
      </c>
      <c r="K49" s="24">
        <v>0</v>
      </c>
      <c r="L49" s="23" t="s">
        <v>1010</v>
      </c>
      <c r="M49" s="25">
        <v>1901</v>
      </c>
      <c r="N49" s="25">
        <v>14</v>
      </c>
    </row>
    <row r="50" spans="1:14">
      <c r="A50" s="23" t="s">
        <v>256</v>
      </c>
      <c r="B50" s="23" t="s">
        <v>260</v>
      </c>
      <c r="C50" s="23" t="s">
        <v>990</v>
      </c>
      <c r="D50" s="23" t="s">
        <v>1067</v>
      </c>
      <c r="E50" s="23" t="s">
        <v>1068</v>
      </c>
      <c r="F50" s="25">
        <v>112</v>
      </c>
      <c r="G50" s="25">
        <v>33</v>
      </c>
      <c r="H50" s="24">
        <v>0.29464285714285715</v>
      </c>
      <c r="I50" s="24">
        <v>1</v>
      </c>
      <c r="J50" s="24">
        <v>1</v>
      </c>
      <c r="K50" s="24">
        <v>0</v>
      </c>
      <c r="L50" s="23" t="s">
        <v>991</v>
      </c>
      <c r="M50" s="25">
        <v>12839</v>
      </c>
      <c r="N50" s="25">
        <v>15</v>
      </c>
    </row>
    <row r="51" spans="1:14">
      <c r="A51" s="23" t="s">
        <v>256</v>
      </c>
      <c r="B51" s="23" t="s">
        <v>260</v>
      </c>
      <c r="C51" s="23" t="s">
        <v>990</v>
      </c>
      <c r="D51" s="23" t="s">
        <v>1069</v>
      </c>
      <c r="E51" s="23" t="s">
        <v>1070</v>
      </c>
      <c r="F51" s="25">
        <v>112</v>
      </c>
      <c r="G51" s="25">
        <v>29</v>
      </c>
      <c r="H51" s="24">
        <v>0.25892857142857145</v>
      </c>
      <c r="I51" s="24">
        <v>0.58415841584158412</v>
      </c>
      <c r="J51" s="24">
        <v>1</v>
      </c>
      <c r="K51" s="24">
        <v>0</v>
      </c>
      <c r="L51" s="23" t="s">
        <v>991</v>
      </c>
      <c r="M51" s="25">
        <v>590</v>
      </c>
      <c r="N51" s="25">
        <v>16</v>
      </c>
    </row>
    <row r="52" spans="1:14">
      <c r="A52" s="23" t="s">
        <v>256</v>
      </c>
      <c r="B52" s="23" t="s">
        <v>257</v>
      </c>
      <c r="C52" s="23" t="s">
        <v>994</v>
      </c>
      <c r="D52" s="23" t="s">
        <v>883</v>
      </c>
      <c r="E52" s="23" t="s">
        <v>884</v>
      </c>
      <c r="F52" s="25">
        <v>33</v>
      </c>
      <c r="G52" s="25">
        <v>33</v>
      </c>
      <c r="H52" s="24">
        <v>1</v>
      </c>
      <c r="I52" s="24">
        <v>1</v>
      </c>
      <c r="J52" s="24">
        <v>0</v>
      </c>
      <c r="K52" s="24">
        <v>1</v>
      </c>
      <c r="L52" s="23" t="s">
        <v>995</v>
      </c>
      <c r="M52" s="25">
        <v>5469</v>
      </c>
      <c r="N52" s="25">
        <v>1</v>
      </c>
    </row>
    <row r="53" spans="1:14">
      <c r="A53" s="23" t="s">
        <v>256</v>
      </c>
      <c r="B53" s="23" t="s">
        <v>257</v>
      </c>
      <c r="C53" s="23" t="s">
        <v>994</v>
      </c>
      <c r="D53" s="23" t="s">
        <v>1071</v>
      </c>
      <c r="E53" s="23" t="s">
        <v>1072</v>
      </c>
      <c r="F53" s="25">
        <v>33</v>
      </c>
      <c r="G53" s="25">
        <v>33</v>
      </c>
      <c r="H53" s="24">
        <v>1</v>
      </c>
      <c r="I53" s="24">
        <v>1</v>
      </c>
      <c r="J53" s="24">
        <v>0</v>
      </c>
      <c r="K53" s="24">
        <v>1</v>
      </c>
      <c r="L53" s="23" t="s">
        <v>995</v>
      </c>
      <c r="M53" s="25">
        <v>719</v>
      </c>
      <c r="N53" s="25">
        <v>2</v>
      </c>
    </row>
    <row r="54" spans="1:14">
      <c r="A54" s="23" t="s">
        <v>256</v>
      </c>
      <c r="B54" s="23" t="s">
        <v>257</v>
      </c>
      <c r="C54" s="23" t="s">
        <v>994</v>
      </c>
      <c r="D54" s="23" t="s">
        <v>1073</v>
      </c>
      <c r="E54" s="23" t="s">
        <v>1074</v>
      </c>
      <c r="F54" s="25">
        <v>33</v>
      </c>
      <c r="G54" s="25">
        <v>33</v>
      </c>
      <c r="H54" s="24">
        <v>1</v>
      </c>
      <c r="I54" s="24">
        <v>1</v>
      </c>
      <c r="J54" s="24">
        <v>0</v>
      </c>
      <c r="K54" s="24">
        <v>1</v>
      </c>
      <c r="L54" s="23" t="s">
        <v>995</v>
      </c>
      <c r="M54" s="25">
        <v>470</v>
      </c>
      <c r="N54" s="25">
        <v>3</v>
      </c>
    </row>
    <row r="55" spans="1:14">
      <c r="A55" s="23" t="s">
        <v>256</v>
      </c>
      <c r="B55" s="23" t="s">
        <v>257</v>
      </c>
      <c r="C55" s="23" t="s">
        <v>994</v>
      </c>
      <c r="D55" s="23" t="s">
        <v>1075</v>
      </c>
      <c r="E55" s="23" t="s">
        <v>1076</v>
      </c>
      <c r="F55" s="25">
        <v>33</v>
      </c>
      <c r="G55" s="25">
        <v>29</v>
      </c>
      <c r="H55" s="24">
        <v>0.87878787878787878</v>
      </c>
      <c r="I55" s="24">
        <v>1</v>
      </c>
      <c r="J55" s="24">
        <v>0</v>
      </c>
      <c r="K55" s="24">
        <v>1</v>
      </c>
      <c r="L55" s="23" t="s">
        <v>995</v>
      </c>
      <c r="M55" s="25">
        <v>1201</v>
      </c>
      <c r="N55" s="25">
        <v>4</v>
      </c>
    </row>
    <row r="56" spans="1:14">
      <c r="A56" s="23" t="s">
        <v>256</v>
      </c>
      <c r="B56" s="23" t="s">
        <v>257</v>
      </c>
      <c r="C56" s="23" t="s">
        <v>994</v>
      </c>
      <c r="D56" s="23" t="s">
        <v>1077</v>
      </c>
      <c r="E56" s="23" t="s">
        <v>1078</v>
      </c>
      <c r="F56" s="25">
        <v>33</v>
      </c>
      <c r="G56" s="25">
        <v>25</v>
      </c>
      <c r="H56" s="24">
        <v>0.75757575757575757</v>
      </c>
      <c r="I56" s="24">
        <v>1</v>
      </c>
      <c r="J56" s="24">
        <v>0</v>
      </c>
      <c r="K56" s="24">
        <v>1</v>
      </c>
      <c r="L56" s="23" t="s">
        <v>995</v>
      </c>
      <c r="M56" s="25">
        <v>3350</v>
      </c>
      <c r="N56" s="25">
        <v>5</v>
      </c>
    </row>
    <row r="57" spans="1:14">
      <c r="A57" s="23" t="s">
        <v>256</v>
      </c>
      <c r="B57" s="23" t="s">
        <v>257</v>
      </c>
      <c r="C57" s="23" t="s">
        <v>994</v>
      </c>
      <c r="D57" s="23" t="s">
        <v>1079</v>
      </c>
      <c r="E57" s="23" t="s">
        <v>1080</v>
      </c>
      <c r="F57" s="25">
        <v>33</v>
      </c>
      <c r="G57" s="25">
        <v>4</v>
      </c>
      <c r="H57" s="24">
        <v>0.12121212121212122</v>
      </c>
      <c r="I57" s="24">
        <v>1</v>
      </c>
      <c r="J57" s="24">
        <v>0</v>
      </c>
      <c r="K57" s="24">
        <v>1</v>
      </c>
      <c r="L57" s="23" t="s">
        <v>995</v>
      </c>
      <c r="M57" s="25">
        <v>12</v>
      </c>
      <c r="N57" s="25">
        <v>6</v>
      </c>
    </row>
    <row r="58" spans="1:14">
      <c r="A58" s="23" t="s">
        <v>303</v>
      </c>
      <c r="B58" s="23" t="s">
        <v>309</v>
      </c>
      <c r="C58" s="23" t="s">
        <v>994</v>
      </c>
      <c r="D58" s="23" t="s">
        <v>946</v>
      </c>
      <c r="E58" s="23" t="s">
        <v>947</v>
      </c>
      <c r="F58" s="25">
        <v>91</v>
      </c>
      <c r="G58" s="25">
        <v>91</v>
      </c>
      <c r="H58" s="24">
        <v>1</v>
      </c>
      <c r="I58" s="24">
        <v>1</v>
      </c>
      <c r="J58" s="24">
        <v>0</v>
      </c>
      <c r="K58" s="24">
        <v>1</v>
      </c>
      <c r="L58" s="23" t="s">
        <v>995</v>
      </c>
      <c r="M58" s="25">
        <v>39827</v>
      </c>
      <c r="N58" s="25">
        <v>1</v>
      </c>
    </row>
    <row r="59" spans="1:14">
      <c r="A59" s="23" t="s">
        <v>303</v>
      </c>
      <c r="B59" s="23" t="s">
        <v>309</v>
      </c>
      <c r="C59" s="23" t="s">
        <v>994</v>
      </c>
      <c r="D59" s="23" t="s">
        <v>1081</v>
      </c>
      <c r="E59" s="23" t="s">
        <v>1082</v>
      </c>
      <c r="F59" s="25">
        <v>91</v>
      </c>
      <c r="G59" s="25">
        <v>91</v>
      </c>
      <c r="H59" s="24">
        <v>1</v>
      </c>
      <c r="I59" s="24">
        <v>1</v>
      </c>
      <c r="J59" s="24">
        <v>0</v>
      </c>
      <c r="K59" s="24">
        <v>1</v>
      </c>
      <c r="L59" s="23" t="s">
        <v>995</v>
      </c>
      <c r="M59" s="25">
        <v>26322</v>
      </c>
      <c r="N59" s="25">
        <v>2</v>
      </c>
    </row>
    <row r="60" spans="1:14">
      <c r="A60" s="23" t="s">
        <v>303</v>
      </c>
      <c r="B60" s="23" t="s">
        <v>309</v>
      </c>
      <c r="C60" s="23" t="s">
        <v>994</v>
      </c>
      <c r="D60" s="23" t="s">
        <v>1083</v>
      </c>
      <c r="E60" s="23" t="s">
        <v>1084</v>
      </c>
      <c r="F60" s="25">
        <v>91</v>
      </c>
      <c r="G60" s="25">
        <v>91</v>
      </c>
      <c r="H60" s="24">
        <v>1</v>
      </c>
      <c r="I60" s="24">
        <v>1</v>
      </c>
      <c r="J60" s="24">
        <v>0</v>
      </c>
      <c r="K60" s="24">
        <v>1</v>
      </c>
      <c r="L60" s="23" t="s">
        <v>995</v>
      </c>
      <c r="M60" s="25">
        <v>6977</v>
      </c>
      <c r="N60" s="25">
        <v>3</v>
      </c>
    </row>
    <row r="61" spans="1:14">
      <c r="A61" s="23" t="s">
        <v>303</v>
      </c>
      <c r="B61" s="23" t="s">
        <v>309</v>
      </c>
      <c r="C61" s="23" t="s">
        <v>994</v>
      </c>
      <c r="D61" s="23" t="s">
        <v>1085</v>
      </c>
      <c r="E61" s="23" t="s">
        <v>1086</v>
      </c>
      <c r="F61" s="25">
        <v>91</v>
      </c>
      <c r="G61" s="25">
        <v>86</v>
      </c>
      <c r="H61" s="24">
        <v>0.94505494505494503</v>
      </c>
      <c r="I61" s="24">
        <v>0.69369369369369371</v>
      </c>
      <c r="J61" s="24">
        <v>0</v>
      </c>
      <c r="K61" s="24">
        <v>1</v>
      </c>
      <c r="L61" s="23" t="s">
        <v>995</v>
      </c>
      <c r="M61" s="25">
        <v>462</v>
      </c>
      <c r="N61" s="25">
        <v>4</v>
      </c>
    </row>
    <row r="62" spans="1:14">
      <c r="A62" s="23" t="s">
        <v>303</v>
      </c>
      <c r="B62" s="23" t="s">
        <v>309</v>
      </c>
      <c r="C62" s="23" t="s">
        <v>994</v>
      </c>
      <c r="D62" s="23" t="s">
        <v>1087</v>
      </c>
      <c r="E62" s="23" t="s">
        <v>1088</v>
      </c>
      <c r="F62" s="25">
        <v>91</v>
      </c>
      <c r="G62" s="25">
        <v>85</v>
      </c>
      <c r="H62" s="24">
        <v>0.93406593406593408</v>
      </c>
      <c r="I62" s="24">
        <v>0.61611785095320626</v>
      </c>
      <c r="J62" s="24">
        <v>0</v>
      </c>
      <c r="K62" s="24">
        <v>1</v>
      </c>
      <c r="L62" s="23" t="s">
        <v>995</v>
      </c>
      <c r="M62" s="25">
        <v>1422</v>
      </c>
      <c r="N62" s="25">
        <v>5</v>
      </c>
    </row>
    <row r="63" spans="1:14">
      <c r="A63" s="23" t="s">
        <v>303</v>
      </c>
      <c r="B63" s="23" t="s">
        <v>309</v>
      </c>
      <c r="C63" s="23" t="s">
        <v>994</v>
      </c>
      <c r="D63" s="23" t="s">
        <v>1089</v>
      </c>
      <c r="E63" s="23" t="s">
        <v>1090</v>
      </c>
      <c r="F63" s="25">
        <v>91</v>
      </c>
      <c r="G63" s="25">
        <v>78</v>
      </c>
      <c r="H63" s="24">
        <v>0.8571428571428571</v>
      </c>
      <c r="I63" s="24">
        <v>1</v>
      </c>
      <c r="J63" s="24">
        <v>0</v>
      </c>
      <c r="K63" s="24">
        <v>1</v>
      </c>
      <c r="L63" s="23" t="s">
        <v>995</v>
      </c>
      <c r="M63" s="25">
        <v>1270</v>
      </c>
      <c r="N63" s="25">
        <v>6</v>
      </c>
    </row>
    <row r="64" spans="1:14">
      <c r="A64" s="23" t="s">
        <v>303</v>
      </c>
      <c r="B64" s="23" t="s">
        <v>309</v>
      </c>
      <c r="C64" s="23" t="s">
        <v>990</v>
      </c>
      <c r="D64" s="23" t="s">
        <v>940</v>
      </c>
      <c r="E64" s="23" t="s">
        <v>941</v>
      </c>
      <c r="F64" s="25">
        <v>91</v>
      </c>
      <c r="G64" s="25">
        <v>70</v>
      </c>
      <c r="H64" s="24">
        <v>0.76923076923076927</v>
      </c>
      <c r="I64" s="24">
        <v>0.50407213496218728</v>
      </c>
      <c r="J64" s="24">
        <v>1</v>
      </c>
      <c r="K64" s="24">
        <v>0</v>
      </c>
      <c r="L64" s="23" t="s">
        <v>991</v>
      </c>
      <c r="M64" s="25">
        <v>1733</v>
      </c>
      <c r="N64" s="25">
        <v>7</v>
      </c>
    </row>
    <row r="65" spans="1:14">
      <c r="A65" s="23" t="s">
        <v>303</v>
      </c>
      <c r="B65" s="23" t="s">
        <v>309</v>
      </c>
      <c r="C65" s="23" t="s">
        <v>994</v>
      </c>
      <c r="D65" s="23" t="s">
        <v>1091</v>
      </c>
      <c r="E65" s="23" t="s">
        <v>1092</v>
      </c>
      <c r="F65" s="25">
        <v>91</v>
      </c>
      <c r="G65" s="25">
        <v>21</v>
      </c>
      <c r="H65" s="24">
        <v>0.23076923076923078</v>
      </c>
      <c r="I65" s="24">
        <v>1</v>
      </c>
      <c r="J65" s="24">
        <v>0</v>
      </c>
      <c r="K65" s="24">
        <v>1</v>
      </c>
      <c r="L65" s="23" t="s">
        <v>995</v>
      </c>
      <c r="M65" s="25">
        <v>631</v>
      </c>
      <c r="N65" s="25">
        <v>8</v>
      </c>
    </row>
    <row r="66" spans="1:14">
      <c r="A66" s="23" t="s">
        <v>303</v>
      </c>
      <c r="B66" s="23" t="s">
        <v>306</v>
      </c>
      <c r="C66" s="23" t="s">
        <v>994</v>
      </c>
      <c r="D66" s="23" t="s">
        <v>944</v>
      </c>
      <c r="E66" s="23" t="s">
        <v>945</v>
      </c>
      <c r="F66" s="25">
        <v>38</v>
      </c>
      <c r="G66" s="25">
        <v>38</v>
      </c>
      <c r="H66" s="24">
        <v>1</v>
      </c>
      <c r="I66" s="24">
        <v>1</v>
      </c>
      <c r="J66" s="24">
        <v>0</v>
      </c>
      <c r="K66" s="24">
        <v>1</v>
      </c>
      <c r="L66" s="23" t="s">
        <v>995</v>
      </c>
      <c r="M66" s="25">
        <v>8623</v>
      </c>
      <c r="N66" s="25">
        <v>1</v>
      </c>
    </row>
    <row r="67" spans="1:14">
      <c r="A67" s="23" t="s">
        <v>303</v>
      </c>
      <c r="B67" s="23" t="s">
        <v>306</v>
      </c>
      <c r="C67" s="23" t="s">
        <v>994</v>
      </c>
      <c r="D67" s="23" t="s">
        <v>1093</v>
      </c>
      <c r="E67" s="23" t="s">
        <v>1094</v>
      </c>
      <c r="F67" s="25">
        <v>38</v>
      </c>
      <c r="G67" s="25">
        <v>38</v>
      </c>
      <c r="H67" s="24">
        <v>1</v>
      </c>
      <c r="I67" s="24">
        <v>0.99533073929961091</v>
      </c>
      <c r="J67" s="24">
        <v>0</v>
      </c>
      <c r="K67" s="24">
        <v>1</v>
      </c>
      <c r="L67" s="23" t="s">
        <v>995</v>
      </c>
      <c r="M67" s="25">
        <v>7674</v>
      </c>
      <c r="N67" s="25">
        <v>2</v>
      </c>
    </row>
    <row r="68" spans="1:14">
      <c r="A68" s="23" t="s">
        <v>303</v>
      </c>
      <c r="B68" s="23" t="s">
        <v>306</v>
      </c>
      <c r="C68" s="23" t="s">
        <v>994</v>
      </c>
      <c r="D68" s="23" t="s">
        <v>1095</v>
      </c>
      <c r="E68" s="23" t="s">
        <v>1096</v>
      </c>
      <c r="F68" s="25">
        <v>38</v>
      </c>
      <c r="G68" s="25">
        <v>38</v>
      </c>
      <c r="H68" s="24">
        <v>1</v>
      </c>
      <c r="I68" s="24">
        <v>1</v>
      </c>
      <c r="J68" s="24">
        <v>0</v>
      </c>
      <c r="K68" s="24">
        <v>1</v>
      </c>
      <c r="L68" s="23" t="s">
        <v>995</v>
      </c>
      <c r="M68" s="25">
        <v>1348</v>
      </c>
      <c r="N68" s="25">
        <v>3</v>
      </c>
    </row>
    <row r="69" spans="1:14">
      <c r="A69" s="23" t="s">
        <v>303</v>
      </c>
      <c r="B69" s="23" t="s">
        <v>306</v>
      </c>
      <c r="C69" s="23" t="s">
        <v>994</v>
      </c>
      <c r="D69" s="23" t="s">
        <v>1097</v>
      </c>
      <c r="E69" s="23" t="s">
        <v>1098</v>
      </c>
      <c r="F69" s="25">
        <v>38</v>
      </c>
      <c r="G69" s="25">
        <v>36</v>
      </c>
      <c r="H69" s="24">
        <v>0.94736842105263153</v>
      </c>
      <c r="I69" s="24">
        <v>1</v>
      </c>
      <c r="J69" s="24">
        <v>0</v>
      </c>
      <c r="K69" s="24">
        <v>1</v>
      </c>
      <c r="L69" s="23" t="s">
        <v>995</v>
      </c>
      <c r="M69" s="25">
        <v>3308</v>
      </c>
      <c r="N69" s="25">
        <v>4</v>
      </c>
    </row>
    <row r="70" spans="1:14">
      <c r="A70" s="23" t="s">
        <v>303</v>
      </c>
      <c r="B70" s="23" t="s">
        <v>306</v>
      </c>
      <c r="C70" s="23" t="s">
        <v>994</v>
      </c>
      <c r="D70" s="23" t="s">
        <v>1099</v>
      </c>
      <c r="E70" s="23" t="s">
        <v>1100</v>
      </c>
      <c r="F70" s="25">
        <v>38</v>
      </c>
      <c r="G70" s="25">
        <v>36</v>
      </c>
      <c r="H70" s="24">
        <v>0.94736842105263153</v>
      </c>
      <c r="I70" s="24">
        <v>1</v>
      </c>
      <c r="J70" s="24">
        <v>0</v>
      </c>
      <c r="K70" s="24">
        <v>1</v>
      </c>
      <c r="L70" s="23" t="s">
        <v>995</v>
      </c>
      <c r="M70" s="25">
        <v>513</v>
      </c>
      <c r="N70" s="25">
        <v>5</v>
      </c>
    </row>
    <row r="71" spans="1:14">
      <c r="A71" s="23" t="s">
        <v>303</v>
      </c>
      <c r="B71" s="23" t="s">
        <v>306</v>
      </c>
      <c r="C71" s="23" t="s">
        <v>994</v>
      </c>
      <c r="D71" s="23" t="s">
        <v>1101</v>
      </c>
      <c r="E71" s="23" t="s">
        <v>1102</v>
      </c>
      <c r="F71" s="25">
        <v>38</v>
      </c>
      <c r="G71" s="25">
        <v>22</v>
      </c>
      <c r="H71" s="24">
        <v>0.57894736842105265</v>
      </c>
      <c r="I71" s="24">
        <v>1</v>
      </c>
      <c r="J71" s="24">
        <v>0</v>
      </c>
      <c r="K71" s="24">
        <v>1</v>
      </c>
      <c r="L71" s="23" t="s">
        <v>995</v>
      </c>
      <c r="M71" s="25">
        <v>668</v>
      </c>
      <c r="N71" s="25">
        <v>6</v>
      </c>
    </row>
    <row r="72" spans="1:14">
      <c r="A72" s="23" t="s">
        <v>303</v>
      </c>
      <c r="B72" s="23" t="s">
        <v>306</v>
      </c>
      <c r="C72" s="23" t="s">
        <v>994</v>
      </c>
      <c r="D72" s="23" t="s">
        <v>1103</v>
      </c>
      <c r="E72" s="23" t="s">
        <v>1104</v>
      </c>
      <c r="F72" s="25">
        <v>38</v>
      </c>
      <c r="G72" s="25">
        <v>22</v>
      </c>
      <c r="H72" s="24">
        <v>0.57894736842105265</v>
      </c>
      <c r="I72" s="24">
        <v>1</v>
      </c>
      <c r="J72" s="24">
        <v>0</v>
      </c>
      <c r="K72" s="24">
        <v>0.86363636363636365</v>
      </c>
      <c r="L72" s="23" t="s">
        <v>995</v>
      </c>
      <c r="M72" s="25">
        <v>288</v>
      </c>
      <c r="N72" s="25">
        <v>7</v>
      </c>
    </row>
    <row r="73" spans="1:14">
      <c r="A73" s="23" t="s">
        <v>303</v>
      </c>
      <c r="B73" s="23" t="s">
        <v>306</v>
      </c>
      <c r="C73" s="23" t="s">
        <v>994</v>
      </c>
      <c r="D73" s="23" t="s">
        <v>1105</v>
      </c>
      <c r="E73" s="23" t="s">
        <v>1106</v>
      </c>
      <c r="F73" s="25">
        <v>38</v>
      </c>
      <c r="G73" s="25">
        <v>20</v>
      </c>
      <c r="H73" s="24">
        <v>0.52631578947368418</v>
      </c>
      <c r="I73" s="24">
        <v>0.5957446808510638</v>
      </c>
      <c r="J73" s="24">
        <v>0</v>
      </c>
      <c r="K73" s="24">
        <v>1</v>
      </c>
      <c r="L73" s="23" t="s">
        <v>995</v>
      </c>
      <c r="M73" s="25">
        <v>112</v>
      </c>
      <c r="N73" s="25">
        <v>8</v>
      </c>
    </row>
    <row r="74" spans="1:14">
      <c r="A74" s="23" t="s">
        <v>303</v>
      </c>
      <c r="B74" s="23" t="s">
        <v>306</v>
      </c>
      <c r="C74" s="23" t="s">
        <v>994</v>
      </c>
      <c r="D74" s="23" t="s">
        <v>1107</v>
      </c>
      <c r="E74" s="23" t="s">
        <v>1108</v>
      </c>
      <c r="F74" s="25">
        <v>38</v>
      </c>
      <c r="G74" s="25">
        <v>5</v>
      </c>
      <c r="H74" s="24">
        <v>0.13157894736842105</v>
      </c>
      <c r="I74" s="24">
        <v>1</v>
      </c>
      <c r="J74" s="24">
        <v>0</v>
      </c>
      <c r="K74" s="24">
        <v>1</v>
      </c>
      <c r="L74" s="23" t="s">
        <v>995</v>
      </c>
      <c r="M74" s="25">
        <v>38</v>
      </c>
      <c r="N74" s="25">
        <v>9</v>
      </c>
    </row>
    <row r="75" spans="1:14">
      <c r="A75" s="23" t="s">
        <v>303</v>
      </c>
      <c r="B75" s="23" t="s">
        <v>304</v>
      </c>
      <c r="C75" s="23" t="s">
        <v>990</v>
      </c>
      <c r="D75" s="23" t="s">
        <v>1109</v>
      </c>
      <c r="E75" s="23" t="s">
        <v>1110</v>
      </c>
      <c r="F75" s="25">
        <v>56</v>
      </c>
      <c r="G75" s="25">
        <v>55</v>
      </c>
      <c r="H75" s="24">
        <v>0.9821428571428571</v>
      </c>
      <c r="I75" s="24">
        <v>0.9892644623029262</v>
      </c>
      <c r="J75" s="24">
        <v>0.90476190476190477</v>
      </c>
      <c r="K75" s="24">
        <v>0</v>
      </c>
      <c r="L75" s="23" t="s">
        <v>991</v>
      </c>
      <c r="M75" s="25">
        <v>16126</v>
      </c>
      <c r="N75" s="25">
        <v>1</v>
      </c>
    </row>
    <row r="76" spans="1:14">
      <c r="A76" s="23" t="s">
        <v>303</v>
      </c>
      <c r="B76" s="23" t="s">
        <v>304</v>
      </c>
      <c r="C76" s="23" t="s">
        <v>990</v>
      </c>
      <c r="D76" s="23" t="s">
        <v>942</v>
      </c>
      <c r="E76" s="23" t="s">
        <v>943</v>
      </c>
      <c r="F76" s="25">
        <v>56</v>
      </c>
      <c r="G76" s="25">
        <v>48</v>
      </c>
      <c r="H76" s="24">
        <v>0.8571428571428571</v>
      </c>
      <c r="I76" s="24">
        <v>1</v>
      </c>
      <c r="J76" s="24">
        <v>1</v>
      </c>
      <c r="K76" s="24">
        <v>0</v>
      </c>
      <c r="L76" s="23" t="s">
        <v>991</v>
      </c>
      <c r="M76" s="25">
        <v>120127</v>
      </c>
      <c r="N76" s="25">
        <v>2</v>
      </c>
    </row>
    <row r="77" spans="1:14">
      <c r="A77" s="23" t="s">
        <v>303</v>
      </c>
      <c r="B77" s="23" t="s">
        <v>304</v>
      </c>
      <c r="C77" s="23" t="s">
        <v>990</v>
      </c>
      <c r="D77" s="23" t="s">
        <v>1111</v>
      </c>
      <c r="E77" s="23" t="s">
        <v>1112</v>
      </c>
      <c r="F77" s="25">
        <v>56</v>
      </c>
      <c r="G77" s="25">
        <v>36</v>
      </c>
      <c r="H77" s="24">
        <v>0.6428571428571429</v>
      </c>
      <c r="I77" s="24">
        <v>1</v>
      </c>
      <c r="J77" s="24">
        <v>0.41608391608391609</v>
      </c>
      <c r="K77" s="24">
        <v>0</v>
      </c>
      <c r="L77" s="23" t="s">
        <v>1010</v>
      </c>
      <c r="M77" s="25">
        <v>1840</v>
      </c>
      <c r="N77" s="25">
        <v>3</v>
      </c>
    </row>
    <row r="78" spans="1:14">
      <c r="A78" s="23" t="s">
        <v>303</v>
      </c>
      <c r="B78" s="23" t="s">
        <v>304</v>
      </c>
      <c r="C78" s="23" t="s">
        <v>990</v>
      </c>
      <c r="D78" s="23" t="s">
        <v>1113</v>
      </c>
      <c r="E78" s="23" t="s">
        <v>1114</v>
      </c>
      <c r="F78" s="25">
        <v>56</v>
      </c>
      <c r="G78" s="25">
        <v>25</v>
      </c>
      <c r="H78" s="24">
        <v>0.44642857142857145</v>
      </c>
      <c r="I78" s="24">
        <v>1</v>
      </c>
      <c r="J78" s="24">
        <v>0.76</v>
      </c>
      <c r="K78" s="24">
        <v>0</v>
      </c>
      <c r="L78" s="23" t="s">
        <v>991</v>
      </c>
      <c r="M78" s="25">
        <v>4825</v>
      </c>
      <c r="N78" s="25">
        <v>4</v>
      </c>
    </row>
    <row r="79" spans="1:14">
      <c r="A79" s="23" t="s">
        <v>303</v>
      </c>
      <c r="B79" s="23" t="s">
        <v>304</v>
      </c>
      <c r="C79" s="23" t="s">
        <v>990</v>
      </c>
      <c r="D79" s="23" t="s">
        <v>1115</v>
      </c>
      <c r="E79" s="23" t="s">
        <v>1116</v>
      </c>
      <c r="F79" s="25">
        <v>56</v>
      </c>
      <c r="G79" s="25">
        <v>25</v>
      </c>
      <c r="H79" s="24">
        <v>0.44642857142857145</v>
      </c>
      <c r="I79" s="24">
        <v>1</v>
      </c>
      <c r="J79" s="24">
        <v>0.44</v>
      </c>
      <c r="K79" s="24">
        <v>0</v>
      </c>
      <c r="L79" s="23" t="s">
        <v>1010</v>
      </c>
      <c r="M79" s="25">
        <v>3222</v>
      </c>
      <c r="N79" s="25">
        <v>5</v>
      </c>
    </row>
    <row r="80" spans="1:14">
      <c r="A80" s="23" t="s">
        <v>303</v>
      </c>
      <c r="B80" s="23" t="s">
        <v>304</v>
      </c>
      <c r="C80" s="23" t="s">
        <v>990</v>
      </c>
      <c r="D80" s="23" t="s">
        <v>1117</v>
      </c>
      <c r="E80" s="23" t="s">
        <v>1118</v>
      </c>
      <c r="F80" s="25">
        <v>56</v>
      </c>
      <c r="G80" s="25">
        <v>23</v>
      </c>
      <c r="H80" s="24">
        <v>0.4107142857142857</v>
      </c>
      <c r="I80" s="24">
        <v>1</v>
      </c>
      <c r="J80" s="24">
        <v>1</v>
      </c>
      <c r="K80" s="24">
        <v>0</v>
      </c>
      <c r="L80" s="23" t="s">
        <v>991</v>
      </c>
      <c r="M80" s="25">
        <v>1202</v>
      </c>
      <c r="N80" s="25">
        <v>6</v>
      </c>
    </row>
    <row r="81" spans="1:14">
      <c r="A81" s="23" t="s">
        <v>303</v>
      </c>
      <c r="B81" s="23" t="s">
        <v>304</v>
      </c>
      <c r="C81" s="23" t="s">
        <v>990</v>
      </c>
      <c r="D81" s="23" t="s">
        <v>1119</v>
      </c>
      <c r="E81" s="23" t="s">
        <v>1120</v>
      </c>
      <c r="F81" s="25">
        <v>56</v>
      </c>
      <c r="G81" s="25">
        <v>19</v>
      </c>
      <c r="H81" s="24">
        <v>0.3392857142857143</v>
      </c>
      <c r="I81" s="24">
        <v>1</v>
      </c>
      <c r="J81" s="24">
        <v>0.375</v>
      </c>
      <c r="K81" s="24">
        <v>0</v>
      </c>
      <c r="L81" s="23" t="s">
        <v>1010</v>
      </c>
      <c r="M81" s="25">
        <v>1117</v>
      </c>
      <c r="N81" s="25">
        <v>7</v>
      </c>
    </row>
    <row r="82" spans="1:14">
      <c r="A82" s="23" t="s">
        <v>303</v>
      </c>
      <c r="B82" s="23" t="s">
        <v>304</v>
      </c>
      <c r="C82" s="23" t="s">
        <v>990</v>
      </c>
      <c r="D82" s="23" t="s">
        <v>1121</v>
      </c>
      <c r="E82" s="23" t="s">
        <v>1122</v>
      </c>
      <c r="F82" s="25">
        <v>56</v>
      </c>
      <c r="G82" s="25">
        <v>11</v>
      </c>
      <c r="H82" s="24">
        <v>0.19642857142857142</v>
      </c>
      <c r="I82" s="24">
        <v>1</v>
      </c>
      <c r="J82" s="24">
        <v>0.90476190476190477</v>
      </c>
      <c r="K82" s="24">
        <v>0</v>
      </c>
      <c r="L82" s="23" t="s">
        <v>991</v>
      </c>
      <c r="M82" s="25">
        <v>1545</v>
      </c>
      <c r="N82" s="25">
        <v>8</v>
      </c>
    </row>
    <row r="83" spans="1:14">
      <c r="A83" s="23" t="s">
        <v>303</v>
      </c>
      <c r="B83" s="23" t="s">
        <v>304</v>
      </c>
      <c r="C83" s="23" t="s">
        <v>990</v>
      </c>
      <c r="D83" s="23" t="s">
        <v>1123</v>
      </c>
      <c r="E83" s="23" t="s">
        <v>1124</v>
      </c>
      <c r="F83" s="25">
        <v>56</v>
      </c>
      <c r="G83" s="25">
        <v>10</v>
      </c>
      <c r="H83" s="24">
        <v>0.17857142857142858</v>
      </c>
      <c r="I83" s="24">
        <v>1</v>
      </c>
      <c r="J83" s="24">
        <v>0.91833333333333333</v>
      </c>
      <c r="K83" s="24">
        <v>0</v>
      </c>
      <c r="L83" s="23" t="s">
        <v>991</v>
      </c>
      <c r="M83" s="25">
        <v>2052</v>
      </c>
      <c r="N83" s="25">
        <v>9</v>
      </c>
    </row>
    <row r="84" spans="1:14">
      <c r="A84" s="23" t="s">
        <v>183</v>
      </c>
      <c r="B84" s="23" t="s">
        <v>189</v>
      </c>
      <c r="C84" s="23" t="s">
        <v>994</v>
      </c>
      <c r="D84" s="23" t="s">
        <v>805</v>
      </c>
      <c r="E84" s="23" t="s">
        <v>806</v>
      </c>
      <c r="F84" s="25">
        <v>11</v>
      </c>
      <c r="G84" s="25">
        <v>11</v>
      </c>
      <c r="H84" s="24">
        <v>1</v>
      </c>
      <c r="I84" s="24">
        <v>1</v>
      </c>
      <c r="J84" s="24">
        <v>0</v>
      </c>
      <c r="K84" s="24">
        <v>1</v>
      </c>
      <c r="L84" s="23" t="s">
        <v>995</v>
      </c>
      <c r="M84" s="25">
        <v>1649</v>
      </c>
      <c r="N84" s="25">
        <v>1</v>
      </c>
    </row>
    <row r="85" spans="1:14">
      <c r="A85" s="23" t="s">
        <v>183</v>
      </c>
      <c r="B85" s="23" t="s">
        <v>189</v>
      </c>
      <c r="C85" s="23" t="s">
        <v>994</v>
      </c>
      <c r="D85" s="23" t="s">
        <v>1125</v>
      </c>
      <c r="E85" s="23" t="s">
        <v>1126</v>
      </c>
      <c r="F85" s="25">
        <v>11</v>
      </c>
      <c r="G85" s="25">
        <v>11</v>
      </c>
      <c r="H85" s="24">
        <v>1</v>
      </c>
      <c r="I85" s="24">
        <v>1</v>
      </c>
      <c r="J85" s="24">
        <v>0</v>
      </c>
      <c r="K85" s="24">
        <v>1</v>
      </c>
      <c r="L85" s="23" t="s">
        <v>995</v>
      </c>
      <c r="M85" s="25">
        <v>237</v>
      </c>
      <c r="N85" s="25">
        <v>2</v>
      </c>
    </row>
    <row r="86" spans="1:14">
      <c r="A86" s="23" t="s">
        <v>183</v>
      </c>
      <c r="B86" s="23" t="s">
        <v>189</v>
      </c>
      <c r="C86" s="23" t="s">
        <v>994</v>
      </c>
      <c r="D86" s="23" t="s">
        <v>1127</v>
      </c>
      <c r="E86" s="23" t="s">
        <v>1128</v>
      </c>
      <c r="F86" s="25">
        <v>11</v>
      </c>
      <c r="G86" s="25">
        <v>9</v>
      </c>
      <c r="H86" s="24">
        <v>0.81818181818181823</v>
      </c>
      <c r="I86" s="24">
        <v>1</v>
      </c>
      <c r="J86" s="24">
        <v>0</v>
      </c>
      <c r="K86" s="24">
        <v>1</v>
      </c>
      <c r="L86" s="23" t="s">
        <v>995</v>
      </c>
      <c r="M86" s="25">
        <v>347</v>
      </c>
      <c r="N86" s="25">
        <v>3</v>
      </c>
    </row>
    <row r="87" spans="1:14">
      <c r="A87" s="23" t="s">
        <v>183</v>
      </c>
      <c r="B87" s="23" t="s">
        <v>189</v>
      </c>
      <c r="C87" s="23" t="s">
        <v>994</v>
      </c>
      <c r="D87" s="23" t="s">
        <v>1129</v>
      </c>
      <c r="E87" s="23" t="s">
        <v>1130</v>
      </c>
      <c r="F87" s="25">
        <v>11</v>
      </c>
      <c r="G87" s="25">
        <v>2</v>
      </c>
      <c r="H87" s="24">
        <v>0.18181818181818182</v>
      </c>
      <c r="I87" s="24">
        <v>1</v>
      </c>
      <c r="J87" s="24">
        <v>0</v>
      </c>
      <c r="K87" s="24">
        <v>1</v>
      </c>
      <c r="L87" s="23" t="s">
        <v>995</v>
      </c>
      <c r="M87" s="25">
        <v>7</v>
      </c>
      <c r="N87" s="25">
        <v>4</v>
      </c>
    </row>
    <row r="88" spans="1:14">
      <c r="A88" s="23" t="s">
        <v>183</v>
      </c>
      <c r="B88" s="23" t="s">
        <v>186</v>
      </c>
      <c r="C88" s="23" t="s">
        <v>994</v>
      </c>
      <c r="D88" s="23" t="s">
        <v>801</v>
      </c>
      <c r="E88" s="23" t="s">
        <v>802</v>
      </c>
      <c r="F88" s="25">
        <v>31</v>
      </c>
      <c r="G88" s="25">
        <v>21</v>
      </c>
      <c r="H88" s="24">
        <v>0.67741935483870963</v>
      </c>
      <c r="I88" s="24">
        <v>1</v>
      </c>
      <c r="J88" s="24">
        <v>0</v>
      </c>
      <c r="K88" s="24">
        <v>0.8571428571428571</v>
      </c>
      <c r="L88" s="23" t="s">
        <v>995</v>
      </c>
      <c r="M88" s="25">
        <v>271</v>
      </c>
      <c r="N88" s="25">
        <v>1</v>
      </c>
    </row>
    <row r="89" spans="1:14">
      <c r="A89" s="23" t="s">
        <v>183</v>
      </c>
      <c r="B89" s="23" t="s">
        <v>186</v>
      </c>
      <c r="C89" s="23" t="s">
        <v>994</v>
      </c>
      <c r="D89" s="23" t="s">
        <v>1131</v>
      </c>
      <c r="E89" s="23" t="s">
        <v>1132</v>
      </c>
      <c r="F89" s="25">
        <v>31</v>
      </c>
      <c r="G89" s="25">
        <v>18</v>
      </c>
      <c r="H89" s="24">
        <v>0.58064516129032262</v>
      </c>
      <c r="I89" s="24">
        <v>1</v>
      </c>
      <c r="J89" s="24">
        <v>0</v>
      </c>
      <c r="K89" s="24">
        <v>0.94444444444444442</v>
      </c>
      <c r="L89" s="23" t="s">
        <v>995</v>
      </c>
      <c r="M89" s="25">
        <v>306</v>
      </c>
      <c r="N89" s="25">
        <v>2</v>
      </c>
    </row>
    <row r="90" spans="1:14">
      <c r="A90" s="23" t="s">
        <v>183</v>
      </c>
      <c r="B90" s="23" t="s">
        <v>186</v>
      </c>
      <c r="C90" s="23" t="s">
        <v>994</v>
      </c>
      <c r="D90" s="23" t="s">
        <v>1133</v>
      </c>
      <c r="E90" s="23" t="s">
        <v>1134</v>
      </c>
      <c r="F90" s="25">
        <v>31</v>
      </c>
      <c r="G90" s="25">
        <v>8</v>
      </c>
      <c r="H90" s="24">
        <v>0.25806451612903225</v>
      </c>
      <c r="I90" s="24">
        <v>1</v>
      </c>
      <c r="J90" s="24">
        <v>0</v>
      </c>
      <c r="K90" s="24">
        <v>1</v>
      </c>
      <c r="L90" s="23" t="s">
        <v>995</v>
      </c>
      <c r="M90" s="25">
        <v>208</v>
      </c>
      <c r="N90" s="25">
        <v>3</v>
      </c>
    </row>
    <row r="91" spans="1:14">
      <c r="A91" s="23" t="s">
        <v>183</v>
      </c>
      <c r="B91" s="23" t="s">
        <v>186</v>
      </c>
      <c r="C91" s="23" t="s">
        <v>994</v>
      </c>
      <c r="D91" s="23" t="s">
        <v>1135</v>
      </c>
      <c r="E91" s="23" t="s">
        <v>1136</v>
      </c>
      <c r="F91" s="25">
        <v>31</v>
      </c>
      <c r="G91" s="25">
        <v>8</v>
      </c>
      <c r="H91" s="24">
        <v>0.25806451612903225</v>
      </c>
      <c r="I91" s="24">
        <v>0.83168316831683164</v>
      </c>
      <c r="J91" s="24">
        <v>0</v>
      </c>
      <c r="K91" s="24">
        <v>0.625</v>
      </c>
      <c r="L91" s="23" t="s">
        <v>1010</v>
      </c>
      <c r="M91" s="25">
        <v>336</v>
      </c>
      <c r="N91" s="25">
        <v>4</v>
      </c>
    </row>
    <row r="92" spans="1:14">
      <c r="A92" s="23" t="s">
        <v>183</v>
      </c>
      <c r="B92" s="23" t="s">
        <v>192</v>
      </c>
      <c r="C92" s="23" t="s">
        <v>994</v>
      </c>
      <c r="D92" s="23" t="s">
        <v>807</v>
      </c>
      <c r="E92" s="23" t="s">
        <v>808</v>
      </c>
      <c r="F92" s="25">
        <v>174</v>
      </c>
      <c r="G92" s="25">
        <v>171</v>
      </c>
      <c r="H92" s="24">
        <v>0.98275862068965514</v>
      </c>
      <c r="I92" s="24">
        <v>1</v>
      </c>
      <c r="J92" s="24">
        <v>0</v>
      </c>
      <c r="K92" s="24">
        <v>0.98830409356725146</v>
      </c>
      <c r="L92" s="23" t="s">
        <v>995</v>
      </c>
      <c r="M92" s="25">
        <v>17872</v>
      </c>
      <c r="N92" s="25">
        <v>1</v>
      </c>
    </row>
    <row r="93" spans="1:14">
      <c r="A93" s="23" t="s">
        <v>183</v>
      </c>
      <c r="B93" s="23" t="s">
        <v>192</v>
      </c>
      <c r="C93" s="23" t="s">
        <v>994</v>
      </c>
      <c r="D93" s="23" t="s">
        <v>1137</v>
      </c>
      <c r="E93" s="23" t="s">
        <v>1138</v>
      </c>
      <c r="F93" s="25">
        <v>174</v>
      </c>
      <c r="G93" s="25">
        <v>166</v>
      </c>
      <c r="H93" s="24">
        <v>0.95402298850574707</v>
      </c>
      <c r="I93" s="24">
        <v>0.60627564979480164</v>
      </c>
      <c r="J93" s="24">
        <v>0</v>
      </c>
      <c r="K93" s="24">
        <v>1</v>
      </c>
      <c r="L93" s="23" t="s">
        <v>995</v>
      </c>
      <c r="M93" s="25">
        <v>7091</v>
      </c>
      <c r="N93" s="25">
        <v>2</v>
      </c>
    </row>
    <row r="94" spans="1:14">
      <c r="A94" s="23" t="s">
        <v>183</v>
      </c>
      <c r="B94" s="23" t="s">
        <v>192</v>
      </c>
      <c r="C94" s="23" t="s">
        <v>994</v>
      </c>
      <c r="D94" s="23" t="s">
        <v>1139</v>
      </c>
      <c r="E94" s="23" t="s">
        <v>1140</v>
      </c>
      <c r="F94" s="25">
        <v>174</v>
      </c>
      <c r="G94" s="25">
        <v>166</v>
      </c>
      <c r="H94" s="24">
        <v>0.95402298850574707</v>
      </c>
      <c r="I94" s="24">
        <v>0.66622489550412889</v>
      </c>
      <c r="J94" s="24">
        <v>0</v>
      </c>
      <c r="K94" s="24">
        <v>1</v>
      </c>
      <c r="L94" s="23" t="s">
        <v>995</v>
      </c>
      <c r="M94" s="25">
        <v>6535</v>
      </c>
      <c r="N94" s="25">
        <v>3</v>
      </c>
    </row>
    <row r="95" spans="1:14">
      <c r="A95" s="23" t="s">
        <v>183</v>
      </c>
      <c r="B95" s="23" t="s">
        <v>192</v>
      </c>
      <c r="C95" s="23" t="s">
        <v>994</v>
      </c>
      <c r="D95" s="23" t="s">
        <v>1141</v>
      </c>
      <c r="E95" s="23" t="s">
        <v>1142</v>
      </c>
      <c r="F95" s="25">
        <v>174</v>
      </c>
      <c r="G95" s="25">
        <v>165</v>
      </c>
      <c r="H95" s="24">
        <v>0.94827586206896552</v>
      </c>
      <c r="I95" s="24">
        <v>1</v>
      </c>
      <c r="J95" s="24">
        <v>0</v>
      </c>
      <c r="K95" s="24">
        <v>0.98787878787878791</v>
      </c>
      <c r="L95" s="23" t="s">
        <v>995</v>
      </c>
      <c r="M95" s="25">
        <v>23017</v>
      </c>
      <c r="N95" s="25">
        <v>4</v>
      </c>
    </row>
    <row r="96" spans="1:14">
      <c r="A96" s="23" t="s">
        <v>183</v>
      </c>
      <c r="B96" s="23" t="s">
        <v>192</v>
      </c>
      <c r="C96" s="23" t="s">
        <v>994</v>
      </c>
      <c r="D96" s="23" t="s">
        <v>1143</v>
      </c>
      <c r="E96" s="23" t="s">
        <v>1144</v>
      </c>
      <c r="F96" s="25">
        <v>174</v>
      </c>
      <c r="G96" s="25">
        <v>160</v>
      </c>
      <c r="H96" s="24">
        <v>0.91954022988505746</v>
      </c>
      <c r="I96" s="24">
        <v>0.5932055114092003</v>
      </c>
      <c r="J96" s="24">
        <v>0</v>
      </c>
      <c r="K96" s="24">
        <v>0.98124999999999996</v>
      </c>
      <c r="L96" s="23" t="s">
        <v>995</v>
      </c>
      <c r="M96" s="25">
        <v>16274</v>
      </c>
      <c r="N96" s="25">
        <v>5</v>
      </c>
    </row>
    <row r="97" spans="1:14">
      <c r="A97" s="23" t="s">
        <v>183</v>
      </c>
      <c r="B97" s="23" t="s">
        <v>192</v>
      </c>
      <c r="C97" s="23" t="s">
        <v>990</v>
      </c>
      <c r="D97" s="23" t="s">
        <v>1145</v>
      </c>
      <c r="E97" s="23" t="s">
        <v>1146</v>
      </c>
      <c r="F97" s="25">
        <v>174</v>
      </c>
      <c r="G97" s="25">
        <v>152</v>
      </c>
      <c r="H97" s="24">
        <v>0.87356321839080464</v>
      </c>
      <c r="I97" s="24">
        <v>0.83833321891947554</v>
      </c>
      <c r="J97" s="24">
        <v>0.40909090909090912</v>
      </c>
      <c r="K97" s="24">
        <v>0</v>
      </c>
      <c r="L97" s="23" t="s">
        <v>1010</v>
      </c>
      <c r="M97" s="25">
        <v>12212</v>
      </c>
      <c r="N97" s="25">
        <v>6</v>
      </c>
    </row>
    <row r="98" spans="1:14">
      <c r="A98" s="23" t="s">
        <v>183</v>
      </c>
      <c r="B98" s="23" t="s">
        <v>192</v>
      </c>
      <c r="C98" s="23" t="s">
        <v>994</v>
      </c>
      <c r="D98" s="23" t="s">
        <v>1145</v>
      </c>
      <c r="E98" s="23" t="s">
        <v>1147</v>
      </c>
      <c r="F98" s="25">
        <v>174</v>
      </c>
      <c r="G98" s="25">
        <v>151</v>
      </c>
      <c r="H98" s="24">
        <v>0.86781609195402298</v>
      </c>
      <c r="I98" s="24">
        <v>0.81363331094694424</v>
      </c>
      <c r="J98" s="24">
        <v>0</v>
      </c>
      <c r="K98" s="24">
        <v>0.91390728476821192</v>
      </c>
      <c r="L98" s="23" t="s">
        <v>995</v>
      </c>
      <c r="M98" s="25">
        <v>4846</v>
      </c>
      <c r="N98" s="25">
        <v>7</v>
      </c>
    </row>
    <row r="99" spans="1:14">
      <c r="A99" s="23" t="s">
        <v>183</v>
      </c>
      <c r="B99" s="23" t="s">
        <v>192</v>
      </c>
      <c r="C99" s="23" t="s">
        <v>990</v>
      </c>
      <c r="D99" s="23" t="s">
        <v>803</v>
      </c>
      <c r="E99" s="23" t="s">
        <v>804</v>
      </c>
      <c r="F99" s="25">
        <v>174</v>
      </c>
      <c r="G99" s="25">
        <v>85</v>
      </c>
      <c r="H99" s="24">
        <v>0.4885057471264368</v>
      </c>
      <c r="I99" s="24">
        <v>0.54128693731013533</v>
      </c>
      <c r="J99" s="24">
        <v>1</v>
      </c>
      <c r="K99" s="24">
        <v>0</v>
      </c>
      <c r="L99" s="23" t="s">
        <v>991</v>
      </c>
      <c r="M99" s="25">
        <v>1960</v>
      </c>
      <c r="N99" s="25">
        <v>8</v>
      </c>
    </row>
    <row r="100" spans="1:14">
      <c r="A100" s="23" t="s">
        <v>183</v>
      </c>
      <c r="B100" s="23" t="s">
        <v>184</v>
      </c>
      <c r="C100" s="23" t="s">
        <v>990</v>
      </c>
      <c r="D100" s="23" t="s">
        <v>799</v>
      </c>
      <c r="E100" s="23" t="s">
        <v>800</v>
      </c>
      <c r="F100" s="25">
        <v>166</v>
      </c>
      <c r="G100" s="25">
        <v>166</v>
      </c>
      <c r="H100" s="24">
        <v>1</v>
      </c>
      <c r="I100" s="24">
        <v>1</v>
      </c>
      <c r="J100" s="24">
        <v>0.96153846153846156</v>
      </c>
      <c r="K100" s="24">
        <v>0</v>
      </c>
      <c r="L100" s="23" t="s">
        <v>991</v>
      </c>
      <c r="M100" s="25">
        <v>90501</v>
      </c>
      <c r="N100" s="25">
        <v>1</v>
      </c>
    </row>
    <row r="101" spans="1:14">
      <c r="A101" s="23" t="s">
        <v>183</v>
      </c>
      <c r="B101" s="23" t="s">
        <v>184</v>
      </c>
      <c r="C101" s="23" t="s">
        <v>990</v>
      </c>
      <c r="D101" s="23" t="s">
        <v>1148</v>
      </c>
      <c r="E101" s="23" t="s">
        <v>1149</v>
      </c>
      <c r="F101" s="25">
        <v>166</v>
      </c>
      <c r="G101" s="25">
        <v>164</v>
      </c>
      <c r="H101" s="24">
        <v>0.98795180722891562</v>
      </c>
      <c r="I101" s="24">
        <v>1</v>
      </c>
      <c r="J101" s="24">
        <v>0.61721611721611724</v>
      </c>
      <c r="K101" s="24">
        <v>0</v>
      </c>
      <c r="L101" s="23" t="s">
        <v>1010</v>
      </c>
      <c r="M101" s="25">
        <v>37666</v>
      </c>
      <c r="N101" s="25">
        <v>2</v>
      </c>
    </row>
    <row r="102" spans="1:14">
      <c r="A102" s="23" t="s">
        <v>183</v>
      </c>
      <c r="B102" s="23" t="s">
        <v>184</v>
      </c>
      <c r="C102" s="23" t="s">
        <v>990</v>
      </c>
      <c r="D102" s="23" t="s">
        <v>1150</v>
      </c>
      <c r="E102" s="23" t="s">
        <v>1151</v>
      </c>
      <c r="F102" s="25">
        <v>166</v>
      </c>
      <c r="G102" s="25">
        <v>153</v>
      </c>
      <c r="H102" s="24">
        <v>0.92168674698795183</v>
      </c>
      <c r="I102" s="24">
        <v>1</v>
      </c>
      <c r="J102" s="24">
        <v>0.95454545454545459</v>
      </c>
      <c r="K102" s="24">
        <v>0</v>
      </c>
      <c r="L102" s="23" t="s">
        <v>991</v>
      </c>
      <c r="M102" s="25">
        <v>68181</v>
      </c>
      <c r="N102" s="25">
        <v>3</v>
      </c>
    </row>
    <row r="103" spans="1:14">
      <c r="A103" s="23" t="s">
        <v>183</v>
      </c>
      <c r="B103" s="23" t="s">
        <v>184</v>
      </c>
      <c r="C103" s="23" t="s">
        <v>990</v>
      </c>
      <c r="D103" s="23" t="s">
        <v>1152</v>
      </c>
      <c r="E103" s="23" t="s">
        <v>1153</v>
      </c>
      <c r="F103" s="25">
        <v>166</v>
      </c>
      <c r="G103" s="25">
        <v>140</v>
      </c>
      <c r="H103" s="24">
        <v>0.84337349397590367</v>
      </c>
      <c r="I103" s="24">
        <v>0.96660531658539361</v>
      </c>
      <c r="J103" s="24">
        <v>0.76</v>
      </c>
      <c r="K103" s="24">
        <v>0</v>
      </c>
      <c r="L103" s="23" t="s">
        <v>991</v>
      </c>
      <c r="M103" s="25">
        <v>50943</v>
      </c>
      <c r="N103" s="25">
        <v>4</v>
      </c>
    </row>
    <row r="104" spans="1:14">
      <c r="A104" s="23" t="s">
        <v>183</v>
      </c>
      <c r="B104" s="23" t="s">
        <v>184</v>
      </c>
      <c r="C104" s="23" t="s">
        <v>990</v>
      </c>
      <c r="D104" s="23" t="s">
        <v>1154</v>
      </c>
      <c r="E104" s="23" t="s">
        <v>1155</v>
      </c>
      <c r="F104" s="25">
        <v>166</v>
      </c>
      <c r="G104" s="25">
        <v>77</v>
      </c>
      <c r="H104" s="24">
        <v>0.46385542168674698</v>
      </c>
      <c r="I104" s="24">
        <v>0.95681625740897547</v>
      </c>
      <c r="J104" s="24">
        <v>0.52</v>
      </c>
      <c r="K104" s="24">
        <v>0</v>
      </c>
      <c r="L104" s="23" t="s">
        <v>1010</v>
      </c>
      <c r="M104" s="25">
        <v>5650</v>
      </c>
      <c r="N104" s="25">
        <v>5</v>
      </c>
    </row>
    <row r="105" spans="1:14">
      <c r="A105" s="23" t="s">
        <v>183</v>
      </c>
      <c r="B105" s="23" t="s">
        <v>184</v>
      </c>
      <c r="C105" s="23" t="s">
        <v>990</v>
      </c>
      <c r="D105" s="23" t="s">
        <v>1156</v>
      </c>
      <c r="E105" s="23" t="s">
        <v>1157</v>
      </c>
      <c r="F105" s="25">
        <v>166</v>
      </c>
      <c r="G105" s="25">
        <v>76</v>
      </c>
      <c r="H105" s="24">
        <v>0.45783132530120479</v>
      </c>
      <c r="I105" s="24">
        <v>1</v>
      </c>
      <c r="J105" s="24">
        <v>0.84</v>
      </c>
      <c r="K105" s="24">
        <v>0</v>
      </c>
      <c r="L105" s="23" t="s">
        <v>991</v>
      </c>
      <c r="M105" s="25">
        <v>16266</v>
      </c>
      <c r="N105" s="25">
        <v>6</v>
      </c>
    </row>
    <row r="106" spans="1:14">
      <c r="A106" s="23" t="s">
        <v>183</v>
      </c>
      <c r="B106" s="23" t="s">
        <v>184</v>
      </c>
      <c r="C106" s="23" t="s">
        <v>990</v>
      </c>
      <c r="D106" s="23" t="s">
        <v>1158</v>
      </c>
      <c r="E106" s="23" t="s">
        <v>1159</v>
      </c>
      <c r="F106" s="25">
        <v>166</v>
      </c>
      <c r="G106" s="25">
        <v>66</v>
      </c>
      <c r="H106" s="24">
        <v>0.39759036144578314</v>
      </c>
      <c r="I106" s="24">
        <v>0.90786397449521783</v>
      </c>
      <c r="J106" s="24">
        <v>0.87749999999999995</v>
      </c>
      <c r="K106" s="24">
        <v>0.9242424242424242</v>
      </c>
      <c r="L106" s="23" t="s">
        <v>991</v>
      </c>
      <c r="M106" s="25">
        <v>34172</v>
      </c>
      <c r="N106" s="25">
        <v>7</v>
      </c>
    </row>
    <row r="107" spans="1:14">
      <c r="A107" s="23" t="s">
        <v>152</v>
      </c>
      <c r="B107" s="23" t="s">
        <v>153</v>
      </c>
      <c r="C107" s="23" t="s">
        <v>994</v>
      </c>
      <c r="D107" s="23" t="s">
        <v>768</v>
      </c>
      <c r="E107" s="23" t="s">
        <v>769</v>
      </c>
      <c r="F107" s="25">
        <v>122</v>
      </c>
      <c r="G107" s="25">
        <v>122</v>
      </c>
      <c r="H107" s="24">
        <v>1</v>
      </c>
      <c r="I107" s="24">
        <v>1</v>
      </c>
      <c r="J107" s="24">
        <v>0</v>
      </c>
      <c r="K107" s="24">
        <v>1</v>
      </c>
      <c r="L107" s="23" t="s">
        <v>995</v>
      </c>
      <c r="M107" s="25">
        <v>21799</v>
      </c>
      <c r="N107" s="25">
        <v>1</v>
      </c>
    </row>
    <row r="108" spans="1:14">
      <c r="A108" s="23" t="s">
        <v>152</v>
      </c>
      <c r="B108" s="23" t="s">
        <v>153</v>
      </c>
      <c r="C108" s="23" t="s">
        <v>994</v>
      </c>
      <c r="D108" s="23" t="s">
        <v>1160</v>
      </c>
      <c r="E108" s="23" t="s">
        <v>1161</v>
      </c>
      <c r="F108" s="25">
        <v>122</v>
      </c>
      <c r="G108" s="25">
        <v>122</v>
      </c>
      <c r="H108" s="24">
        <v>1</v>
      </c>
      <c r="I108" s="24">
        <v>0.69050207866965141</v>
      </c>
      <c r="J108" s="24">
        <v>0</v>
      </c>
      <c r="K108" s="24">
        <v>1</v>
      </c>
      <c r="L108" s="23" t="s">
        <v>995</v>
      </c>
      <c r="M108" s="25">
        <v>10796</v>
      </c>
      <c r="N108" s="25">
        <v>2</v>
      </c>
    </row>
    <row r="109" spans="1:14">
      <c r="A109" s="23" t="s">
        <v>152</v>
      </c>
      <c r="B109" s="23" t="s">
        <v>153</v>
      </c>
      <c r="C109" s="23" t="s">
        <v>994</v>
      </c>
      <c r="D109" s="23" t="s">
        <v>1162</v>
      </c>
      <c r="E109" s="23" t="s">
        <v>1163</v>
      </c>
      <c r="F109" s="25">
        <v>122</v>
      </c>
      <c r="G109" s="25">
        <v>105</v>
      </c>
      <c r="H109" s="24">
        <v>0.86065573770491799</v>
      </c>
      <c r="I109" s="24">
        <v>0.95046329294369214</v>
      </c>
      <c r="J109" s="24">
        <v>0</v>
      </c>
      <c r="K109" s="24">
        <v>1</v>
      </c>
      <c r="L109" s="23" t="s">
        <v>995</v>
      </c>
      <c r="M109" s="25">
        <v>2667</v>
      </c>
      <c r="N109" s="25">
        <v>3</v>
      </c>
    </row>
    <row r="110" spans="1:14">
      <c r="A110" s="23" t="s">
        <v>152</v>
      </c>
      <c r="B110" s="23" t="s">
        <v>153</v>
      </c>
      <c r="C110" s="23" t="s">
        <v>990</v>
      </c>
      <c r="D110" s="23" t="s">
        <v>766</v>
      </c>
      <c r="E110" s="23" t="s">
        <v>767</v>
      </c>
      <c r="F110" s="25">
        <v>122</v>
      </c>
      <c r="G110" s="25">
        <v>96</v>
      </c>
      <c r="H110" s="24">
        <v>0.78688524590163933</v>
      </c>
      <c r="I110" s="24">
        <v>0.78608470181503887</v>
      </c>
      <c r="J110" s="24">
        <v>0.80769230769230771</v>
      </c>
      <c r="K110" s="24">
        <v>0</v>
      </c>
      <c r="L110" s="23" t="s">
        <v>991</v>
      </c>
      <c r="M110" s="25">
        <v>1819</v>
      </c>
      <c r="N110" s="25">
        <v>4</v>
      </c>
    </row>
    <row r="111" spans="1:14">
      <c r="A111" s="23" t="s">
        <v>152</v>
      </c>
      <c r="B111" s="23" t="s">
        <v>153</v>
      </c>
      <c r="C111" s="23" t="s">
        <v>994</v>
      </c>
      <c r="D111" s="23" t="s">
        <v>1164</v>
      </c>
      <c r="E111" s="23" t="s">
        <v>1165</v>
      </c>
      <c r="F111" s="25">
        <v>122</v>
      </c>
      <c r="G111" s="25">
        <v>86</v>
      </c>
      <c r="H111" s="24">
        <v>0.70491803278688525</v>
      </c>
      <c r="I111" s="24">
        <v>1</v>
      </c>
      <c r="J111" s="24">
        <v>0</v>
      </c>
      <c r="K111" s="24">
        <v>0.86046511627906974</v>
      </c>
      <c r="L111" s="23" t="s">
        <v>995</v>
      </c>
      <c r="M111" s="25">
        <v>8655</v>
      </c>
      <c r="N111" s="25">
        <v>5</v>
      </c>
    </row>
    <row r="112" spans="1:14">
      <c r="A112" s="23" t="s">
        <v>152</v>
      </c>
      <c r="B112" s="23" t="s">
        <v>153</v>
      </c>
      <c r="C112" s="23" t="s">
        <v>994</v>
      </c>
      <c r="D112" s="23" t="s">
        <v>1166</v>
      </c>
      <c r="E112" s="23" t="s">
        <v>1167</v>
      </c>
      <c r="F112" s="25">
        <v>122</v>
      </c>
      <c r="G112" s="25">
        <v>31</v>
      </c>
      <c r="H112" s="24">
        <v>0.25409836065573771</v>
      </c>
      <c r="I112" s="24">
        <v>1</v>
      </c>
      <c r="J112" s="24">
        <v>0</v>
      </c>
      <c r="K112" s="24">
        <v>0.90322580645161288</v>
      </c>
      <c r="L112" s="23" t="s">
        <v>995</v>
      </c>
      <c r="M112" s="25">
        <v>241</v>
      </c>
      <c r="N112" s="25">
        <v>6</v>
      </c>
    </row>
    <row r="113" spans="1:14">
      <c r="A113" s="23" t="s">
        <v>152</v>
      </c>
      <c r="B113" s="23" t="s">
        <v>153</v>
      </c>
      <c r="C113" s="23" t="s">
        <v>994</v>
      </c>
      <c r="D113" s="23" t="s">
        <v>1168</v>
      </c>
      <c r="E113" s="23" t="s">
        <v>1169</v>
      </c>
      <c r="F113" s="25">
        <v>122</v>
      </c>
      <c r="G113" s="25">
        <v>29</v>
      </c>
      <c r="H113" s="24">
        <v>0.23770491803278687</v>
      </c>
      <c r="I113" s="24">
        <v>1</v>
      </c>
      <c r="J113" s="24">
        <v>0</v>
      </c>
      <c r="K113" s="24">
        <v>0.96551724137931039</v>
      </c>
      <c r="L113" s="23" t="s">
        <v>995</v>
      </c>
      <c r="M113" s="25">
        <v>514</v>
      </c>
      <c r="N113" s="25">
        <v>7</v>
      </c>
    </row>
    <row r="114" spans="1:14">
      <c r="A114" s="23" t="s">
        <v>152</v>
      </c>
      <c r="B114" s="23" t="s">
        <v>153</v>
      </c>
      <c r="C114" s="23" t="s">
        <v>994</v>
      </c>
      <c r="D114" s="23" t="s">
        <v>1170</v>
      </c>
      <c r="E114" s="23" t="s">
        <v>1171</v>
      </c>
      <c r="F114" s="25">
        <v>122</v>
      </c>
      <c r="G114" s="25">
        <v>24</v>
      </c>
      <c r="H114" s="24">
        <v>0.19672131147540983</v>
      </c>
      <c r="I114" s="24">
        <v>1</v>
      </c>
      <c r="J114" s="24">
        <v>0</v>
      </c>
      <c r="K114" s="24">
        <v>0.875</v>
      </c>
      <c r="L114" s="23" t="s">
        <v>995</v>
      </c>
      <c r="M114" s="25">
        <v>7970</v>
      </c>
      <c r="N114" s="25">
        <v>8</v>
      </c>
    </row>
    <row r="115" spans="1:14">
      <c r="A115" s="23" t="s">
        <v>152</v>
      </c>
      <c r="B115" s="23" t="s">
        <v>153</v>
      </c>
      <c r="C115" s="23" t="s">
        <v>990</v>
      </c>
      <c r="D115" s="23" t="s">
        <v>1172</v>
      </c>
      <c r="E115" s="23" t="s">
        <v>1173</v>
      </c>
      <c r="F115" s="25">
        <v>122</v>
      </c>
      <c r="G115" s="25">
        <v>21</v>
      </c>
      <c r="H115" s="24">
        <v>0.1721311475409836</v>
      </c>
      <c r="I115" s="24">
        <v>0.60616587060356053</v>
      </c>
      <c r="J115" s="24">
        <v>0.78260869565217395</v>
      </c>
      <c r="K115" s="24">
        <v>0</v>
      </c>
      <c r="L115" s="23" t="s">
        <v>991</v>
      </c>
      <c r="M115" s="25">
        <v>1396</v>
      </c>
      <c r="N115" s="25">
        <v>9</v>
      </c>
    </row>
    <row r="116" spans="1:14">
      <c r="A116" s="23" t="s">
        <v>152</v>
      </c>
      <c r="B116" s="23" t="s">
        <v>153</v>
      </c>
      <c r="C116" s="23" t="s">
        <v>994</v>
      </c>
      <c r="D116" s="23" t="s">
        <v>1174</v>
      </c>
      <c r="E116" s="23" t="s">
        <v>1175</v>
      </c>
      <c r="F116" s="25">
        <v>122</v>
      </c>
      <c r="G116" s="25">
        <v>17</v>
      </c>
      <c r="H116" s="24">
        <v>0.13934426229508196</v>
      </c>
      <c r="I116" s="24">
        <v>1</v>
      </c>
      <c r="J116" s="24">
        <v>0</v>
      </c>
      <c r="K116" s="24">
        <v>0.94117647058823528</v>
      </c>
      <c r="L116" s="23" t="s">
        <v>995</v>
      </c>
      <c r="M116" s="25">
        <v>993</v>
      </c>
      <c r="N116" s="25">
        <v>10</v>
      </c>
    </row>
    <row r="117" spans="1:14">
      <c r="A117" s="23" t="s">
        <v>152</v>
      </c>
      <c r="B117" s="23" t="s">
        <v>153</v>
      </c>
      <c r="C117" s="23" t="s">
        <v>990</v>
      </c>
      <c r="D117" s="23" t="s">
        <v>1176</v>
      </c>
      <c r="E117" s="23" t="s">
        <v>1177</v>
      </c>
      <c r="F117" s="25">
        <v>122</v>
      </c>
      <c r="G117" s="25">
        <v>15</v>
      </c>
      <c r="H117" s="24">
        <v>0.12295081967213115</v>
      </c>
      <c r="I117" s="24">
        <v>0.91898148148148151</v>
      </c>
      <c r="J117" s="24">
        <v>0.95833333333333337</v>
      </c>
      <c r="K117" s="24">
        <v>0</v>
      </c>
      <c r="L117" s="23" t="s">
        <v>991</v>
      </c>
      <c r="M117" s="25">
        <v>794</v>
      </c>
      <c r="N117" s="25">
        <v>11</v>
      </c>
    </row>
    <row r="118" spans="1:14">
      <c r="A118" s="23" t="s">
        <v>152</v>
      </c>
      <c r="B118" s="23" t="s">
        <v>1178</v>
      </c>
      <c r="C118" s="23" t="s">
        <v>994</v>
      </c>
      <c r="D118" s="23" t="s">
        <v>1179</v>
      </c>
      <c r="E118" s="23" t="s">
        <v>1180</v>
      </c>
      <c r="F118" s="25">
        <v>36</v>
      </c>
      <c r="G118" s="25">
        <v>24</v>
      </c>
      <c r="H118" s="24">
        <v>0.66666666666666663</v>
      </c>
      <c r="I118" s="24">
        <v>1</v>
      </c>
      <c r="J118" s="24">
        <v>0</v>
      </c>
      <c r="K118" s="24">
        <v>1</v>
      </c>
      <c r="L118" s="23" t="s">
        <v>995</v>
      </c>
      <c r="M118" s="25">
        <v>1534</v>
      </c>
      <c r="N118" s="25">
        <v>1</v>
      </c>
    </row>
    <row r="119" spans="1:14">
      <c r="A119" s="23" t="s">
        <v>152</v>
      </c>
      <c r="B119" s="23" t="s">
        <v>1178</v>
      </c>
      <c r="C119" s="23" t="s">
        <v>994</v>
      </c>
      <c r="D119" s="23" t="s">
        <v>1181</v>
      </c>
      <c r="E119" s="23" t="s">
        <v>1182</v>
      </c>
      <c r="F119" s="25">
        <v>36</v>
      </c>
      <c r="G119" s="25">
        <v>23</v>
      </c>
      <c r="H119" s="24">
        <v>0.63888888888888884</v>
      </c>
      <c r="I119" s="24">
        <v>1</v>
      </c>
      <c r="J119" s="24">
        <v>0</v>
      </c>
      <c r="K119" s="24">
        <v>1</v>
      </c>
      <c r="L119" s="23" t="s">
        <v>995</v>
      </c>
      <c r="M119" s="25">
        <v>157</v>
      </c>
      <c r="N119" s="25">
        <v>2</v>
      </c>
    </row>
    <row r="120" spans="1:14">
      <c r="A120" s="23" t="s">
        <v>152</v>
      </c>
      <c r="B120" s="23" t="s">
        <v>1178</v>
      </c>
      <c r="C120" s="23" t="s">
        <v>994</v>
      </c>
      <c r="D120" s="23" t="s">
        <v>1183</v>
      </c>
      <c r="E120" s="23" t="s">
        <v>1184</v>
      </c>
      <c r="F120" s="25">
        <v>36</v>
      </c>
      <c r="G120" s="25">
        <v>9</v>
      </c>
      <c r="H120" s="24">
        <v>0.25</v>
      </c>
      <c r="I120" s="24">
        <v>1</v>
      </c>
      <c r="J120" s="24">
        <v>0</v>
      </c>
      <c r="K120" s="24">
        <v>1</v>
      </c>
      <c r="L120" s="23" t="s">
        <v>995</v>
      </c>
      <c r="M120" s="25">
        <v>420</v>
      </c>
      <c r="N120" s="25">
        <v>3</v>
      </c>
    </row>
    <row r="121" spans="1:14">
      <c r="A121" s="23" t="s">
        <v>152</v>
      </c>
      <c r="B121" s="23" t="s">
        <v>1178</v>
      </c>
      <c r="C121" s="23" t="s">
        <v>994</v>
      </c>
      <c r="D121" s="23" t="s">
        <v>1185</v>
      </c>
      <c r="E121" s="23" t="s">
        <v>1186</v>
      </c>
      <c r="F121" s="25">
        <v>36</v>
      </c>
      <c r="G121" s="25">
        <v>5</v>
      </c>
      <c r="H121" s="24">
        <v>0.1388888888888889</v>
      </c>
      <c r="I121" s="24">
        <v>1</v>
      </c>
      <c r="J121" s="24">
        <v>0</v>
      </c>
      <c r="K121" s="24">
        <v>1</v>
      </c>
      <c r="L121" s="23" t="s">
        <v>995</v>
      </c>
      <c r="M121" s="25">
        <v>52</v>
      </c>
      <c r="N121" s="25">
        <v>4</v>
      </c>
    </row>
    <row r="122" spans="1:14">
      <c r="A122" s="23" t="s">
        <v>152</v>
      </c>
      <c r="B122" s="23" t="s">
        <v>156</v>
      </c>
      <c r="C122" s="23" t="s">
        <v>994</v>
      </c>
      <c r="D122" s="23" t="s">
        <v>772</v>
      </c>
      <c r="E122" s="23" t="s">
        <v>773</v>
      </c>
      <c r="F122" s="25">
        <v>137</v>
      </c>
      <c r="G122" s="25">
        <v>108</v>
      </c>
      <c r="H122" s="24">
        <v>0.78832116788321172</v>
      </c>
      <c r="I122" s="24">
        <v>1</v>
      </c>
      <c r="J122" s="24">
        <v>0</v>
      </c>
      <c r="K122" s="24">
        <v>1</v>
      </c>
      <c r="L122" s="23" t="s">
        <v>995</v>
      </c>
      <c r="M122" s="25">
        <v>15516</v>
      </c>
      <c r="N122" s="25">
        <v>1</v>
      </c>
    </row>
    <row r="123" spans="1:14">
      <c r="A123" s="23" t="s">
        <v>152</v>
      </c>
      <c r="B123" s="23" t="s">
        <v>156</v>
      </c>
      <c r="C123" s="23" t="s">
        <v>994</v>
      </c>
      <c r="D123" s="23" t="s">
        <v>1187</v>
      </c>
      <c r="E123" s="23" t="s">
        <v>1188</v>
      </c>
      <c r="F123" s="25">
        <v>137</v>
      </c>
      <c r="G123" s="25">
        <v>103</v>
      </c>
      <c r="H123" s="24">
        <v>0.75182481751824815</v>
      </c>
      <c r="I123" s="24">
        <v>1</v>
      </c>
      <c r="J123" s="24">
        <v>0</v>
      </c>
      <c r="K123" s="24">
        <v>1</v>
      </c>
      <c r="L123" s="23" t="s">
        <v>995</v>
      </c>
      <c r="M123" s="25">
        <v>23649</v>
      </c>
      <c r="N123" s="25">
        <v>2</v>
      </c>
    </row>
    <row r="124" spans="1:14">
      <c r="A124" s="23" t="s">
        <v>152</v>
      </c>
      <c r="B124" s="23" t="s">
        <v>156</v>
      </c>
      <c r="C124" s="23" t="s">
        <v>994</v>
      </c>
      <c r="D124" s="23" t="s">
        <v>1189</v>
      </c>
      <c r="E124" s="23" t="s">
        <v>1190</v>
      </c>
      <c r="F124" s="25">
        <v>137</v>
      </c>
      <c r="G124" s="25">
        <v>82</v>
      </c>
      <c r="H124" s="24">
        <v>0.59854014598540151</v>
      </c>
      <c r="I124" s="24">
        <v>0.80837004405286339</v>
      </c>
      <c r="J124" s="24">
        <v>0</v>
      </c>
      <c r="K124" s="24">
        <v>0.98780487804878048</v>
      </c>
      <c r="L124" s="23" t="s">
        <v>995</v>
      </c>
      <c r="M124" s="25">
        <v>367</v>
      </c>
      <c r="N124" s="25">
        <v>3</v>
      </c>
    </row>
    <row r="125" spans="1:14">
      <c r="A125" s="23" t="s">
        <v>152</v>
      </c>
      <c r="B125" s="23" t="s">
        <v>156</v>
      </c>
      <c r="C125" s="23" t="s">
        <v>994</v>
      </c>
      <c r="D125" s="23" t="s">
        <v>1191</v>
      </c>
      <c r="E125" s="23" t="s">
        <v>1192</v>
      </c>
      <c r="F125" s="25">
        <v>137</v>
      </c>
      <c r="G125" s="25">
        <v>71</v>
      </c>
      <c r="H125" s="24">
        <v>0.51824817518248179</v>
      </c>
      <c r="I125" s="24">
        <v>1</v>
      </c>
      <c r="J125" s="24">
        <v>0</v>
      </c>
      <c r="K125" s="24">
        <v>1</v>
      </c>
      <c r="L125" s="23" t="s">
        <v>995</v>
      </c>
      <c r="M125" s="25">
        <v>5704</v>
      </c>
      <c r="N125" s="25">
        <v>4</v>
      </c>
    </row>
    <row r="126" spans="1:14">
      <c r="A126" s="23" t="s">
        <v>152</v>
      </c>
      <c r="B126" s="23" t="s">
        <v>156</v>
      </c>
      <c r="C126" s="23" t="s">
        <v>994</v>
      </c>
      <c r="D126" s="23" t="s">
        <v>1193</v>
      </c>
      <c r="E126" s="23" t="s">
        <v>1194</v>
      </c>
      <c r="F126" s="25">
        <v>137</v>
      </c>
      <c r="G126" s="25">
        <v>66</v>
      </c>
      <c r="H126" s="24">
        <v>0.48175182481751827</v>
      </c>
      <c r="I126" s="24">
        <v>0.64295485636114913</v>
      </c>
      <c r="J126" s="24">
        <v>0</v>
      </c>
      <c r="K126" s="24">
        <v>1</v>
      </c>
      <c r="L126" s="23" t="s">
        <v>995</v>
      </c>
      <c r="M126" s="25">
        <v>7990</v>
      </c>
      <c r="N126" s="25">
        <v>5</v>
      </c>
    </row>
    <row r="127" spans="1:14">
      <c r="A127" s="23" t="s">
        <v>152</v>
      </c>
      <c r="B127" s="23" t="s">
        <v>156</v>
      </c>
      <c r="C127" s="23" t="s">
        <v>990</v>
      </c>
      <c r="D127" s="23" t="s">
        <v>770</v>
      </c>
      <c r="E127" s="23" t="s">
        <v>771</v>
      </c>
      <c r="F127" s="25">
        <v>137</v>
      </c>
      <c r="G127" s="25">
        <v>55</v>
      </c>
      <c r="H127" s="24">
        <v>0.40145985401459855</v>
      </c>
      <c r="I127" s="24">
        <v>0.87239655651207992</v>
      </c>
      <c r="J127" s="24">
        <v>0.81818181818181823</v>
      </c>
      <c r="K127" s="24">
        <v>0</v>
      </c>
      <c r="L127" s="23" t="s">
        <v>991</v>
      </c>
      <c r="M127" s="25">
        <v>12566</v>
      </c>
      <c r="N127" s="25">
        <v>6</v>
      </c>
    </row>
    <row r="128" spans="1:14">
      <c r="A128" s="23" t="s">
        <v>152</v>
      </c>
      <c r="B128" s="23" t="s">
        <v>156</v>
      </c>
      <c r="C128" s="23" t="s">
        <v>994</v>
      </c>
      <c r="D128" s="23" t="s">
        <v>1195</v>
      </c>
      <c r="E128" s="23" t="s">
        <v>1196</v>
      </c>
      <c r="F128" s="25">
        <v>137</v>
      </c>
      <c r="G128" s="25">
        <v>50</v>
      </c>
      <c r="H128" s="24">
        <v>0.36496350364963503</v>
      </c>
      <c r="I128" s="24">
        <v>1</v>
      </c>
      <c r="J128" s="24">
        <v>0</v>
      </c>
      <c r="K128" s="24">
        <v>0.86</v>
      </c>
      <c r="L128" s="23" t="s">
        <v>995</v>
      </c>
      <c r="M128" s="25">
        <v>580</v>
      </c>
      <c r="N128" s="25">
        <v>7</v>
      </c>
    </row>
    <row r="129" spans="1:14">
      <c r="A129" s="23" t="s">
        <v>152</v>
      </c>
      <c r="B129" s="23" t="s">
        <v>156</v>
      </c>
      <c r="C129" s="23" t="s">
        <v>990</v>
      </c>
      <c r="D129" s="23" t="s">
        <v>1197</v>
      </c>
      <c r="E129" s="23" t="s">
        <v>1198</v>
      </c>
      <c r="F129" s="25">
        <v>137</v>
      </c>
      <c r="G129" s="25">
        <v>47</v>
      </c>
      <c r="H129" s="24">
        <v>0.34306569343065696</v>
      </c>
      <c r="I129" s="24">
        <v>0.71815325114817496</v>
      </c>
      <c r="J129" s="24">
        <v>0.95833333333333337</v>
      </c>
      <c r="K129" s="24">
        <v>0</v>
      </c>
      <c r="L129" s="23" t="s">
        <v>991</v>
      </c>
      <c r="M129" s="25">
        <v>2971</v>
      </c>
      <c r="N129" s="25">
        <v>8</v>
      </c>
    </row>
    <row r="130" spans="1:14">
      <c r="A130" s="23" t="s">
        <v>152</v>
      </c>
      <c r="B130" s="23" t="s">
        <v>156</v>
      </c>
      <c r="C130" s="23" t="s">
        <v>990</v>
      </c>
      <c r="D130" s="23" t="s">
        <v>1199</v>
      </c>
      <c r="E130" s="23" t="s">
        <v>1200</v>
      </c>
      <c r="F130" s="25">
        <v>137</v>
      </c>
      <c r="G130" s="25">
        <v>45</v>
      </c>
      <c r="H130" s="24">
        <v>0.32846715328467152</v>
      </c>
      <c r="I130" s="24">
        <v>0.64895635673624286</v>
      </c>
      <c r="J130" s="24">
        <v>0.9642857142857143</v>
      </c>
      <c r="K130" s="24">
        <v>0</v>
      </c>
      <c r="L130" s="23" t="s">
        <v>991</v>
      </c>
      <c r="M130" s="25">
        <v>1026</v>
      </c>
      <c r="N130" s="25">
        <v>9</v>
      </c>
    </row>
    <row r="131" spans="1:14">
      <c r="A131" s="23" t="s">
        <v>152</v>
      </c>
      <c r="B131" s="23" t="s">
        <v>156</v>
      </c>
      <c r="C131" s="23" t="s">
        <v>990</v>
      </c>
      <c r="D131" s="23" t="s">
        <v>1201</v>
      </c>
      <c r="E131" s="23" t="s">
        <v>1202</v>
      </c>
      <c r="F131" s="25">
        <v>137</v>
      </c>
      <c r="G131" s="25">
        <v>27</v>
      </c>
      <c r="H131" s="24">
        <v>0.19708029197080293</v>
      </c>
      <c r="I131" s="24">
        <v>1</v>
      </c>
      <c r="J131" s="24">
        <v>0.78260869565217395</v>
      </c>
      <c r="K131" s="24">
        <v>0</v>
      </c>
      <c r="L131" s="23" t="s">
        <v>991</v>
      </c>
      <c r="M131" s="25">
        <v>12843</v>
      </c>
      <c r="N131" s="25">
        <v>10</v>
      </c>
    </row>
    <row r="132" spans="1:14">
      <c r="A132" s="23" t="s">
        <v>152</v>
      </c>
      <c r="B132" s="23" t="s">
        <v>156</v>
      </c>
      <c r="C132" s="23" t="s">
        <v>994</v>
      </c>
      <c r="D132" s="23" t="s">
        <v>1203</v>
      </c>
      <c r="E132" s="23" t="s">
        <v>1204</v>
      </c>
      <c r="F132" s="25">
        <v>137</v>
      </c>
      <c r="G132" s="25">
        <v>23</v>
      </c>
      <c r="H132" s="24">
        <v>0.16788321167883211</v>
      </c>
      <c r="I132" s="24">
        <v>0.57894736842105265</v>
      </c>
      <c r="J132" s="24">
        <v>0</v>
      </c>
      <c r="K132" s="24">
        <v>0.73913043478260865</v>
      </c>
      <c r="L132" s="23" t="s">
        <v>995</v>
      </c>
      <c r="M132" s="25">
        <v>66</v>
      </c>
      <c r="N132" s="25">
        <v>11</v>
      </c>
    </row>
    <row r="133" spans="1:14">
      <c r="A133" s="23" t="s">
        <v>152</v>
      </c>
      <c r="B133" s="23" t="s">
        <v>156</v>
      </c>
      <c r="C133" s="23" t="s">
        <v>990</v>
      </c>
      <c r="D133" s="23" t="s">
        <v>1205</v>
      </c>
      <c r="E133" s="23" t="s">
        <v>1206</v>
      </c>
      <c r="F133" s="25">
        <v>137</v>
      </c>
      <c r="G133" s="25">
        <v>23</v>
      </c>
      <c r="H133" s="24">
        <v>0.16788321167883211</v>
      </c>
      <c r="I133" s="24">
        <v>1</v>
      </c>
      <c r="J133" s="24">
        <v>0.65384615384615385</v>
      </c>
      <c r="K133" s="24">
        <v>0</v>
      </c>
      <c r="L133" s="23" t="s">
        <v>1010</v>
      </c>
      <c r="M133" s="25">
        <v>1372</v>
      </c>
      <c r="N133" s="25">
        <v>12</v>
      </c>
    </row>
    <row r="134" spans="1:14">
      <c r="A134" s="23" t="s">
        <v>152</v>
      </c>
      <c r="B134" s="23" t="s">
        <v>156</v>
      </c>
      <c r="C134" s="23" t="s">
        <v>994</v>
      </c>
      <c r="D134" s="23" t="s">
        <v>1207</v>
      </c>
      <c r="E134" s="23" t="s">
        <v>1208</v>
      </c>
      <c r="F134" s="25">
        <v>137</v>
      </c>
      <c r="G134" s="25">
        <v>19</v>
      </c>
      <c r="H134" s="24">
        <v>0.13868613138686131</v>
      </c>
      <c r="I134" s="24">
        <v>1</v>
      </c>
      <c r="J134" s="24">
        <v>0</v>
      </c>
      <c r="K134" s="24">
        <v>1</v>
      </c>
      <c r="L134" s="23" t="s">
        <v>995</v>
      </c>
      <c r="M134" s="25">
        <v>1053</v>
      </c>
      <c r="N134" s="25">
        <v>13</v>
      </c>
    </row>
    <row r="135" spans="1:14">
      <c r="A135" s="23" t="s">
        <v>152</v>
      </c>
      <c r="B135" s="23" t="s">
        <v>156</v>
      </c>
      <c r="C135" s="23" t="s">
        <v>994</v>
      </c>
      <c r="D135" s="23" t="s">
        <v>1209</v>
      </c>
      <c r="E135" s="23" t="s">
        <v>1210</v>
      </c>
      <c r="F135" s="25">
        <v>137</v>
      </c>
      <c r="G135" s="25">
        <v>15</v>
      </c>
      <c r="H135" s="24">
        <v>0.10948905109489052</v>
      </c>
      <c r="I135" s="24">
        <v>1</v>
      </c>
      <c r="J135" s="24">
        <v>0</v>
      </c>
      <c r="K135" s="24">
        <v>0.8666666666666667</v>
      </c>
      <c r="L135" s="23" t="s">
        <v>995</v>
      </c>
      <c r="M135" s="25">
        <v>936</v>
      </c>
      <c r="N135" s="25">
        <v>14</v>
      </c>
    </row>
    <row r="136" spans="1:14">
      <c r="A136" s="23" t="s">
        <v>204</v>
      </c>
      <c r="B136" s="23" t="s">
        <v>208</v>
      </c>
      <c r="C136" s="23" t="s">
        <v>994</v>
      </c>
      <c r="D136" s="23" t="s">
        <v>826</v>
      </c>
      <c r="E136" s="23" t="s">
        <v>827</v>
      </c>
      <c r="F136" s="25">
        <v>33</v>
      </c>
      <c r="G136" s="25">
        <v>33</v>
      </c>
      <c r="H136" s="24">
        <v>1</v>
      </c>
      <c r="I136" s="24">
        <v>1</v>
      </c>
      <c r="J136" s="24">
        <v>0</v>
      </c>
      <c r="K136" s="24">
        <v>1</v>
      </c>
      <c r="L136" s="23" t="s">
        <v>995</v>
      </c>
      <c r="M136" s="25">
        <v>2366</v>
      </c>
      <c r="N136" s="25">
        <v>1</v>
      </c>
    </row>
    <row r="137" spans="1:14">
      <c r="A137" s="23" t="s">
        <v>204</v>
      </c>
      <c r="B137" s="23" t="s">
        <v>208</v>
      </c>
      <c r="C137" s="23" t="s">
        <v>990</v>
      </c>
      <c r="D137" s="23" t="s">
        <v>1211</v>
      </c>
      <c r="E137" s="23" t="s">
        <v>1212</v>
      </c>
      <c r="F137" s="25">
        <v>33</v>
      </c>
      <c r="G137" s="25">
        <v>30</v>
      </c>
      <c r="H137" s="24">
        <v>0.90909090909090906</v>
      </c>
      <c r="I137" s="24">
        <v>0.50774193548387092</v>
      </c>
      <c r="J137" s="24">
        <v>0.2</v>
      </c>
      <c r="K137" s="24">
        <v>0</v>
      </c>
      <c r="L137" s="23" t="s">
        <v>1010</v>
      </c>
      <c r="M137" s="25">
        <v>787</v>
      </c>
      <c r="N137" s="25">
        <v>2</v>
      </c>
    </row>
    <row r="138" spans="1:14">
      <c r="A138" s="23" t="s">
        <v>204</v>
      </c>
      <c r="B138" s="23" t="s">
        <v>208</v>
      </c>
      <c r="C138" s="23" t="s">
        <v>994</v>
      </c>
      <c r="D138" s="23" t="s">
        <v>1213</v>
      </c>
      <c r="E138" s="23" t="s">
        <v>1214</v>
      </c>
      <c r="F138" s="25">
        <v>33</v>
      </c>
      <c r="G138" s="25">
        <v>26</v>
      </c>
      <c r="H138" s="24">
        <v>0.78787878787878785</v>
      </c>
      <c r="I138" s="24">
        <v>0.68027210884353739</v>
      </c>
      <c r="J138" s="24">
        <v>0</v>
      </c>
      <c r="K138" s="24">
        <v>0.88461538461538458</v>
      </c>
      <c r="L138" s="23" t="s">
        <v>995</v>
      </c>
      <c r="M138" s="25">
        <v>200</v>
      </c>
      <c r="N138" s="25">
        <v>3</v>
      </c>
    </row>
    <row r="139" spans="1:14">
      <c r="A139" s="23" t="s">
        <v>204</v>
      </c>
      <c r="B139" s="23" t="s">
        <v>208</v>
      </c>
      <c r="C139" s="23" t="s">
        <v>994</v>
      </c>
      <c r="D139" s="23" t="s">
        <v>1215</v>
      </c>
      <c r="E139" s="23" t="s">
        <v>1216</v>
      </c>
      <c r="F139" s="25">
        <v>33</v>
      </c>
      <c r="G139" s="25">
        <v>21</v>
      </c>
      <c r="H139" s="24">
        <v>0.63636363636363635</v>
      </c>
      <c r="I139" s="24">
        <v>0.84477611940298503</v>
      </c>
      <c r="J139" s="24">
        <v>0</v>
      </c>
      <c r="K139" s="24">
        <v>1</v>
      </c>
      <c r="L139" s="23" t="s">
        <v>995</v>
      </c>
      <c r="M139" s="25">
        <v>566</v>
      </c>
      <c r="N139" s="25">
        <v>4</v>
      </c>
    </row>
    <row r="140" spans="1:14">
      <c r="A140" s="23" t="s">
        <v>204</v>
      </c>
      <c r="B140" s="23" t="s">
        <v>208</v>
      </c>
      <c r="C140" s="23" t="s">
        <v>994</v>
      </c>
      <c r="D140" s="23" t="s">
        <v>1217</v>
      </c>
      <c r="E140" s="23" t="s">
        <v>1218</v>
      </c>
      <c r="F140" s="25">
        <v>33</v>
      </c>
      <c r="G140" s="25">
        <v>12</v>
      </c>
      <c r="H140" s="24">
        <v>0.36363636363636365</v>
      </c>
      <c r="I140" s="24">
        <v>0.82191780821917804</v>
      </c>
      <c r="J140" s="24">
        <v>0</v>
      </c>
      <c r="K140" s="24">
        <v>0.83333333333333337</v>
      </c>
      <c r="L140" s="23" t="s">
        <v>995</v>
      </c>
      <c r="M140" s="25">
        <v>780</v>
      </c>
      <c r="N140" s="25">
        <v>5</v>
      </c>
    </row>
    <row r="141" spans="1:14">
      <c r="A141" s="23" t="s">
        <v>204</v>
      </c>
      <c r="B141" s="23" t="s">
        <v>210</v>
      </c>
      <c r="C141" s="23" t="s">
        <v>990</v>
      </c>
      <c r="D141" s="23" t="s">
        <v>828</v>
      </c>
      <c r="E141" s="23" t="s">
        <v>829</v>
      </c>
      <c r="F141" s="25">
        <v>62</v>
      </c>
      <c r="G141" s="25">
        <v>62</v>
      </c>
      <c r="H141" s="24">
        <v>1</v>
      </c>
      <c r="I141" s="24">
        <v>1</v>
      </c>
      <c r="J141" s="24">
        <v>0.84499999999999997</v>
      </c>
      <c r="K141" s="24">
        <v>0</v>
      </c>
      <c r="L141" s="23" t="s">
        <v>991</v>
      </c>
      <c r="M141" s="25">
        <v>32476</v>
      </c>
      <c r="N141" s="25">
        <v>1</v>
      </c>
    </row>
    <row r="142" spans="1:14">
      <c r="A142" s="23" t="s">
        <v>204</v>
      </c>
      <c r="B142" s="23" t="s">
        <v>210</v>
      </c>
      <c r="C142" s="23" t="s">
        <v>994</v>
      </c>
      <c r="D142" s="23" t="s">
        <v>1219</v>
      </c>
      <c r="E142" s="23" t="s">
        <v>1220</v>
      </c>
      <c r="F142" s="25">
        <v>62</v>
      </c>
      <c r="G142" s="25">
        <v>58</v>
      </c>
      <c r="H142" s="24">
        <v>0.93548387096774188</v>
      </c>
      <c r="I142" s="24">
        <v>0.54443397034878738</v>
      </c>
      <c r="J142" s="24">
        <v>0</v>
      </c>
      <c r="K142" s="24">
        <v>1</v>
      </c>
      <c r="L142" s="23" t="s">
        <v>995</v>
      </c>
      <c r="M142" s="25">
        <v>12706</v>
      </c>
      <c r="N142" s="25">
        <v>2</v>
      </c>
    </row>
    <row r="143" spans="1:14">
      <c r="A143" s="23" t="s">
        <v>204</v>
      </c>
      <c r="B143" s="23" t="s">
        <v>210</v>
      </c>
      <c r="C143" s="23" t="s">
        <v>994</v>
      </c>
      <c r="D143" s="23" t="s">
        <v>1221</v>
      </c>
      <c r="E143" s="23" t="s">
        <v>1222</v>
      </c>
      <c r="F143" s="25">
        <v>62</v>
      </c>
      <c r="G143" s="25">
        <v>58</v>
      </c>
      <c r="H143" s="24">
        <v>0.93548387096774188</v>
      </c>
      <c r="I143" s="24">
        <v>0.54634487583071001</v>
      </c>
      <c r="J143" s="24">
        <v>0</v>
      </c>
      <c r="K143" s="24">
        <v>1</v>
      </c>
      <c r="L143" s="23" t="s">
        <v>995</v>
      </c>
      <c r="M143" s="25">
        <v>1562</v>
      </c>
      <c r="N143" s="25">
        <v>3</v>
      </c>
    </row>
    <row r="144" spans="1:14">
      <c r="A144" s="23" t="s">
        <v>204</v>
      </c>
      <c r="B144" s="23" t="s">
        <v>210</v>
      </c>
      <c r="C144" s="23" t="s">
        <v>990</v>
      </c>
      <c r="D144" s="23" t="s">
        <v>1223</v>
      </c>
      <c r="E144" s="23" t="s">
        <v>1224</v>
      </c>
      <c r="F144" s="25">
        <v>62</v>
      </c>
      <c r="G144" s="25">
        <v>52</v>
      </c>
      <c r="H144" s="24">
        <v>0.83870967741935487</v>
      </c>
      <c r="I144" s="24">
        <v>1</v>
      </c>
      <c r="J144" s="24">
        <v>1</v>
      </c>
      <c r="K144" s="24">
        <v>0</v>
      </c>
      <c r="L144" s="23" t="s">
        <v>991</v>
      </c>
      <c r="M144" s="25">
        <v>73697</v>
      </c>
      <c r="N144" s="25">
        <v>4</v>
      </c>
    </row>
    <row r="145" spans="1:14">
      <c r="A145" s="23" t="s">
        <v>204</v>
      </c>
      <c r="B145" s="23" t="s">
        <v>210</v>
      </c>
      <c r="C145" s="23" t="s">
        <v>990</v>
      </c>
      <c r="D145" s="23" t="s">
        <v>1225</v>
      </c>
      <c r="E145" s="23" t="s">
        <v>1226</v>
      </c>
      <c r="F145" s="25">
        <v>62</v>
      </c>
      <c r="G145" s="25">
        <v>50</v>
      </c>
      <c r="H145" s="24">
        <v>0.80645161290322576</v>
      </c>
      <c r="I145" s="24">
        <v>1</v>
      </c>
      <c r="J145" s="24">
        <v>0.98</v>
      </c>
      <c r="K145" s="24">
        <v>0</v>
      </c>
      <c r="L145" s="23" t="s">
        <v>991</v>
      </c>
      <c r="M145" s="25">
        <v>153797</v>
      </c>
      <c r="N145" s="25">
        <v>5</v>
      </c>
    </row>
    <row r="146" spans="1:14">
      <c r="A146" s="23" t="s">
        <v>204</v>
      </c>
      <c r="B146" s="23" t="s">
        <v>210</v>
      </c>
      <c r="C146" s="23" t="s">
        <v>990</v>
      </c>
      <c r="D146" s="23" t="s">
        <v>1227</v>
      </c>
      <c r="E146" s="23" t="s">
        <v>1228</v>
      </c>
      <c r="F146" s="25">
        <v>62</v>
      </c>
      <c r="G146" s="25">
        <v>48</v>
      </c>
      <c r="H146" s="24">
        <v>0.77419354838709675</v>
      </c>
      <c r="I146" s="24">
        <v>1</v>
      </c>
      <c r="J146" s="24">
        <v>1</v>
      </c>
      <c r="K146" s="24">
        <v>0</v>
      </c>
      <c r="L146" s="23" t="s">
        <v>991</v>
      </c>
      <c r="M146" s="25">
        <v>69851</v>
      </c>
      <c r="N146" s="25">
        <v>6</v>
      </c>
    </row>
    <row r="147" spans="1:14">
      <c r="A147" s="23" t="s">
        <v>204</v>
      </c>
      <c r="B147" s="23" t="s">
        <v>210</v>
      </c>
      <c r="C147" s="23" t="s">
        <v>994</v>
      </c>
      <c r="D147" s="23" t="s">
        <v>830</v>
      </c>
      <c r="E147" s="23" t="s">
        <v>831</v>
      </c>
      <c r="F147" s="25">
        <v>62</v>
      </c>
      <c r="G147" s="25">
        <v>46</v>
      </c>
      <c r="H147" s="24">
        <v>0.74193548387096775</v>
      </c>
      <c r="I147" s="24">
        <v>1</v>
      </c>
      <c r="J147" s="24">
        <v>0</v>
      </c>
      <c r="K147" s="24">
        <v>1</v>
      </c>
      <c r="L147" s="23" t="s">
        <v>995</v>
      </c>
      <c r="M147" s="25">
        <v>1382</v>
      </c>
      <c r="N147" s="25">
        <v>7</v>
      </c>
    </row>
    <row r="148" spans="1:14">
      <c r="A148" s="23" t="s">
        <v>204</v>
      </c>
      <c r="B148" s="23" t="s">
        <v>210</v>
      </c>
      <c r="C148" s="23" t="s">
        <v>990</v>
      </c>
      <c r="D148" s="23" t="s">
        <v>1229</v>
      </c>
      <c r="E148" s="23" t="s">
        <v>1230</v>
      </c>
      <c r="F148" s="25">
        <v>62</v>
      </c>
      <c r="G148" s="25">
        <v>43</v>
      </c>
      <c r="H148" s="24">
        <v>0.69354838709677424</v>
      </c>
      <c r="I148" s="24">
        <v>1</v>
      </c>
      <c r="J148" s="24">
        <v>1</v>
      </c>
      <c r="K148" s="24">
        <v>0</v>
      </c>
      <c r="L148" s="23" t="s">
        <v>991</v>
      </c>
      <c r="M148" s="25">
        <v>19832</v>
      </c>
      <c r="N148" s="25">
        <v>8</v>
      </c>
    </row>
    <row r="149" spans="1:14">
      <c r="A149" s="23" t="s">
        <v>204</v>
      </c>
      <c r="B149" s="23" t="s">
        <v>210</v>
      </c>
      <c r="C149" s="23" t="s">
        <v>994</v>
      </c>
      <c r="D149" s="23" t="s">
        <v>1231</v>
      </c>
      <c r="E149" s="23" t="s">
        <v>1232</v>
      </c>
      <c r="F149" s="25">
        <v>62</v>
      </c>
      <c r="G149" s="25">
        <v>37</v>
      </c>
      <c r="H149" s="24">
        <v>0.59677419354838712</v>
      </c>
      <c r="I149" s="24">
        <v>1</v>
      </c>
      <c r="J149" s="24">
        <v>0</v>
      </c>
      <c r="K149" s="24">
        <v>0.7567567567567568</v>
      </c>
      <c r="L149" s="23" t="s">
        <v>995</v>
      </c>
      <c r="M149" s="25">
        <v>2482</v>
      </c>
      <c r="N149" s="25">
        <v>9</v>
      </c>
    </row>
    <row r="150" spans="1:14">
      <c r="A150" s="23" t="s">
        <v>204</v>
      </c>
      <c r="B150" s="23" t="s">
        <v>210</v>
      </c>
      <c r="C150" s="23" t="s">
        <v>990</v>
      </c>
      <c r="D150" s="23" t="s">
        <v>1233</v>
      </c>
      <c r="E150" s="23" t="s">
        <v>1234</v>
      </c>
      <c r="F150" s="25">
        <v>62</v>
      </c>
      <c r="G150" s="25">
        <v>32</v>
      </c>
      <c r="H150" s="24">
        <v>0.5161290322580645</v>
      </c>
      <c r="I150" s="24">
        <v>1</v>
      </c>
      <c r="J150" s="24">
        <v>1</v>
      </c>
      <c r="K150" s="24">
        <v>0</v>
      </c>
      <c r="L150" s="23" t="s">
        <v>991</v>
      </c>
      <c r="M150" s="25">
        <v>140464</v>
      </c>
      <c r="N150" s="25">
        <v>10</v>
      </c>
    </row>
    <row r="151" spans="1:14">
      <c r="A151" s="23" t="s">
        <v>204</v>
      </c>
      <c r="B151" s="23" t="s">
        <v>210</v>
      </c>
      <c r="C151" s="23" t="s">
        <v>990</v>
      </c>
      <c r="D151" s="23" t="s">
        <v>1235</v>
      </c>
      <c r="E151" s="23" t="s">
        <v>1236</v>
      </c>
      <c r="F151" s="25">
        <v>62</v>
      </c>
      <c r="G151" s="25">
        <v>27</v>
      </c>
      <c r="H151" s="24">
        <v>0.43548387096774194</v>
      </c>
      <c r="I151" s="24">
        <v>1</v>
      </c>
      <c r="J151" s="24">
        <v>1</v>
      </c>
      <c r="K151" s="24">
        <v>0</v>
      </c>
      <c r="L151" s="23" t="s">
        <v>991</v>
      </c>
      <c r="M151" s="25">
        <v>905</v>
      </c>
      <c r="N151" s="25">
        <v>11</v>
      </c>
    </row>
    <row r="152" spans="1:14">
      <c r="A152" s="23" t="s">
        <v>204</v>
      </c>
      <c r="B152" s="23" t="s">
        <v>210</v>
      </c>
      <c r="C152" s="23" t="s">
        <v>994</v>
      </c>
      <c r="D152" s="23" t="s">
        <v>1237</v>
      </c>
      <c r="E152" s="23" t="s">
        <v>1238</v>
      </c>
      <c r="F152" s="25">
        <v>62</v>
      </c>
      <c r="G152" s="25">
        <v>21</v>
      </c>
      <c r="H152" s="24">
        <v>0.33870967741935482</v>
      </c>
      <c r="I152" s="24">
        <v>1</v>
      </c>
      <c r="J152" s="24">
        <v>0</v>
      </c>
      <c r="K152" s="24">
        <v>1</v>
      </c>
      <c r="L152" s="23" t="s">
        <v>995</v>
      </c>
      <c r="M152" s="25">
        <v>1440</v>
      </c>
      <c r="N152" s="25">
        <v>12</v>
      </c>
    </row>
    <row r="153" spans="1:14">
      <c r="A153" s="23" t="s">
        <v>204</v>
      </c>
      <c r="B153" s="23" t="s">
        <v>210</v>
      </c>
      <c r="C153" s="23" t="s">
        <v>994</v>
      </c>
      <c r="D153" s="23" t="s">
        <v>1239</v>
      </c>
      <c r="E153" s="23" t="s">
        <v>1240</v>
      </c>
      <c r="F153" s="25">
        <v>62</v>
      </c>
      <c r="G153" s="25">
        <v>16</v>
      </c>
      <c r="H153" s="24">
        <v>0.25806451612903225</v>
      </c>
      <c r="I153" s="24">
        <v>0.55905511811023623</v>
      </c>
      <c r="J153" s="24">
        <v>0</v>
      </c>
      <c r="K153" s="24">
        <v>1</v>
      </c>
      <c r="L153" s="23" t="s">
        <v>995</v>
      </c>
      <c r="M153" s="25">
        <v>71</v>
      </c>
      <c r="N153" s="25">
        <v>13</v>
      </c>
    </row>
    <row r="154" spans="1:14">
      <c r="A154" s="23" t="s">
        <v>204</v>
      </c>
      <c r="B154" s="23" t="s">
        <v>210</v>
      </c>
      <c r="C154" s="23" t="s">
        <v>990</v>
      </c>
      <c r="D154" s="23" t="s">
        <v>1241</v>
      </c>
      <c r="E154" s="23" t="s">
        <v>1242</v>
      </c>
      <c r="F154" s="25">
        <v>62</v>
      </c>
      <c r="G154" s="25">
        <v>13</v>
      </c>
      <c r="H154" s="24">
        <v>0.20967741935483872</v>
      </c>
      <c r="I154" s="24">
        <v>1</v>
      </c>
      <c r="J154" s="24">
        <v>1</v>
      </c>
      <c r="K154" s="24">
        <v>0</v>
      </c>
      <c r="L154" s="23" t="s">
        <v>991</v>
      </c>
      <c r="M154" s="25">
        <v>57884</v>
      </c>
      <c r="N154" s="25">
        <v>14</v>
      </c>
    </row>
    <row r="155" spans="1:14">
      <c r="A155" s="23" t="s">
        <v>204</v>
      </c>
      <c r="B155" s="23" t="s">
        <v>210</v>
      </c>
      <c r="C155" s="23" t="s">
        <v>990</v>
      </c>
      <c r="D155" s="23" t="s">
        <v>1243</v>
      </c>
      <c r="E155" s="23" t="s">
        <v>1244</v>
      </c>
      <c r="F155" s="25">
        <v>62</v>
      </c>
      <c r="G155" s="25">
        <v>13</v>
      </c>
      <c r="H155" s="24">
        <v>0.20967741935483872</v>
      </c>
      <c r="I155" s="24">
        <v>0.79575596816976124</v>
      </c>
      <c r="J155" s="24">
        <v>1</v>
      </c>
      <c r="K155" s="24">
        <v>0</v>
      </c>
      <c r="L155" s="23" t="s">
        <v>991</v>
      </c>
      <c r="M155" s="25">
        <v>2100</v>
      </c>
      <c r="N155" s="25">
        <v>15</v>
      </c>
    </row>
    <row r="156" spans="1:14">
      <c r="A156" s="23" t="s">
        <v>204</v>
      </c>
      <c r="B156" s="23" t="s">
        <v>205</v>
      </c>
      <c r="C156" s="23" t="s">
        <v>994</v>
      </c>
      <c r="D156" s="23" t="s">
        <v>824</v>
      </c>
      <c r="E156" s="23" t="s">
        <v>825</v>
      </c>
      <c r="F156" s="25">
        <v>27</v>
      </c>
      <c r="G156" s="25">
        <v>27</v>
      </c>
      <c r="H156" s="24">
        <v>1</v>
      </c>
      <c r="I156" s="24">
        <v>1</v>
      </c>
      <c r="J156" s="24">
        <v>0</v>
      </c>
      <c r="K156" s="24">
        <v>1</v>
      </c>
      <c r="L156" s="23" t="s">
        <v>995</v>
      </c>
      <c r="M156" s="25">
        <v>1508</v>
      </c>
      <c r="N156" s="25">
        <v>1</v>
      </c>
    </row>
    <row r="157" spans="1:14">
      <c r="A157" s="23" t="s">
        <v>204</v>
      </c>
      <c r="B157" s="23" t="s">
        <v>205</v>
      </c>
      <c r="C157" s="23" t="s">
        <v>994</v>
      </c>
      <c r="D157" s="23" t="s">
        <v>1245</v>
      </c>
      <c r="E157" s="23" t="s">
        <v>1246</v>
      </c>
      <c r="F157" s="25">
        <v>27</v>
      </c>
      <c r="G157" s="25">
        <v>23</v>
      </c>
      <c r="H157" s="24">
        <v>0.85185185185185186</v>
      </c>
      <c r="I157" s="24">
        <v>0.99584199584199584</v>
      </c>
      <c r="J157" s="24">
        <v>0</v>
      </c>
      <c r="K157" s="24">
        <v>0.91304347826086951</v>
      </c>
      <c r="L157" s="23" t="s">
        <v>995</v>
      </c>
      <c r="M157" s="25">
        <v>479</v>
      </c>
      <c r="N157" s="25">
        <v>2</v>
      </c>
    </row>
    <row r="158" spans="1:14">
      <c r="A158" s="23" t="s">
        <v>204</v>
      </c>
      <c r="B158" s="23" t="s">
        <v>205</v>
      </c>
      <c r="C158" s="23" t="s">
        <v>994</v>
      </c>
      <c r="D158" s="23" t="s">
        <v>1247</v>
      </c>
      <c r="E158" s="23" t="s">
        <v>1248</v>
      </c>
      <c r="F158" s="25">
        <v>27</v>
      </c>
      <c r="G158" s="25">
        <v>16</v>
      </c>
      <c r="H158" s="24">
        <v>0.59259259259259256</v>
      </c>
      <c r="I158" s="24">
        <v>1</v>
      </c>
      <c r="J158" s="24">
        <v>0</v>
      </c>
      <c r="K158" s="24">
        <v>1</v>
      </c>
      <c r="L158" s="23" t="s">
        <v>995</v>
      </c>
      <c r="M158" s="25">
        <v>760</v>
      </c>
      <c r="N158" s="25">
        <v>3</v>
      </c>
    </row>
    <row r="159" spans="1:14">
      <c r="A159" s="23" t="s">
        <v>204</v>
      </c>
      <c r="B159" s="23" t="s">
        <v>205</v>
      </c>
      <c r="C159" s="23" t="s">
        <v>994</v>
      </c>
      <c r="D159" s="23" t="s">
        <v>1249</v>
      </c>
      <c r="E159" s="23" t="s">
        <v>1250</v>
      </c>
      <c r="F159" s="25">
        <v>27</v>
      </c>
      <c r="G159" s="25">
        <v>15</v>
      </c>
      <c r="H159" s="24">
        <v>0.55555555555555558</v>
      </c>
      <c r="I159" s="24">
        <v>1</v>
      </c>
      <c r="J159" s="24">
        <v>0</v>
      </c>
      <c r="K159" s="24">
        <v>0.8666666666666667</v>
      </c>
      <c r="L159" s="23" t="s">
        <v>995</v>
      </c>
      <c r="M159" s="25">
        <v>138</v>
      </c>
      <c r="N159" s="25">
        <v>4</v>
      </c>
    </row>
    <row r="160" spans="1:14">
      <c r="A160" s="23" t="s">
        <v>204</v>
      </c>
      <c r="B160" s="23" t="s">
        <v>205</v>
      </c>
      <c r="C160" s="23" t="s">
        <v>994</v>
      </c>
      <c r="D160" s="23" t="s">
        <v>1251</v>
      </c>
      <c r="E160" s="23" t="s">
        <v>1252</v>
      </c>
      <c r="F160" s="25">
        <v>27</v>
      </c>
      <c r="G160" s="25">
        <v>14</v>
      </c>
      <c r="H160" s="24">
        <v>0.51851851851851849</v>
      </c>
      <c r="I160" s="24">
        <v>0.97222222222222221</v>
      </c>
      <c r="J160" s="24">
        <v>0</v>
      </c>
      <c r="K160" s="24">
        <v>1</v>
      </c>
      <c r="L160" s="23" t="s">
        <v>995</v>
      </c>
      <c r="M160" s="25">
        <v>70</v>
      </c>
      <c r="N160" s="25">
        <v>5</v>
      </c>
    </row>
    <row r="161" spans="1:14">
      <c r="A161" s="23" t="s">
        <v>194</v>
      </c>
      <c r="B161" s="23" t="s">
        <v>201</v>
      </c>
      <c r="C161" s="23" t="s">
        <v>994</v>
      </c>
      <c r="D161" s="23" t="s">
        <v>817</v>
      </c>
      <c r="E161" s="23" t="s">
        <v>818</v>
      </c>
      <c r="F161" s="25">
        <v>16</v>
      </c>
      <c r="G161" s="25">
        <v>13</v>
      </c>
      <c r="H161" s="24">
        <v>0.8125</v>
      </c>
      <c r="I161" s="24">
        <v>1</v>
      </c>
      <c r="J161" s="24">
        <v>0</v>
      </c>
      <c r="K161" s="24">
        <v>1</v>
      </c>
      <c r="L161" s="23" t="s">
        <v>995</v>
      </c>
      <c r="M161" s="25">
        <v>2411</v>
      </c>
      <c r="N161" s="25">
        <v>1</v>
      </c>
    </row>
    <row r="162" spans="1:14">
      <c r="A162" s="23" t="s">
        <v>194</v>
      </c>
      <c r="B162" s="23" t="s">
        <v>201</v>
      </c>
      <c r="C162" s="23" t="s">
        <v>994</v>
      </c>
      <c r="D162" s="23" t="s">
        <v>1253</v>
      </c>
      <c r="E162" s="23" t="s">
        <v>1254</v>
      </c>
      <c r="F162" s="25">
        <v>16</v>
      </c>
      <c r="G162" s="25">
        <v>12</v>
      </c>
      <c r="H162" s="24">
        <v>0.75</v>
      </c>
      <c r="I162" s="24">
        <v>1</v>
      </c>
      <c r="J162" s="24">
        <v>0</v>
      </c>
      <c r="K162" s="24">
        <v>1</v>
      </c>
      <c r="L162" s="23" t="s">
        <v>995</v>
      </c>
      <c r="M162" s="25">
        <v>798</v>
      </c>
      <c r="N162" s="25">
        <v>2</v>
      </c>
    </row>
    <row r="163" spans="1:14">
      <c r="A163" s="23" t="s">
        <v>194</v>
      </c>
      <c r="B163" s="23" t="s">
        <v>201</v>
      </c>
      <c r="C163" s="23" t="s">
        <v>990</v>
      </c>
      <c r="D163" s="23" t="s">
        <v>1255</v>
      </c>
      <c r="E163" s="23" t="s">
        <v>1256</v>
      </c>
      <c r="F163" s="25">
        <v>16</v>
      </c>
      <c r="G163" s="25">
        <v>10</v>
      </c>
      <c r="H163" s="24">
        <v>0.625</v>
      </c>
      <c r="I163" s="24">
        <v>1</v>
      </c>
      <c r="J163" s="24">
        <v>1</v>
      </c>
      <c r="K163" s="24">
        <v>0</v>
      </c>
      <c r="L163" s="23" t="s">
        <v>991</v>
      </c>
      <c r="M163" s="25">
        <v>7767</v>
      </c>
      <c r="N163" s="25">
        <v>3</v>
      </c>
    </row>
    <row r="164" spans="1:14">
      <c r="A164" s="23" t="s">
        <v>194</v>
      </c>
      <c r="B164" s="23" t="s">
        <v>201</v>
      </c>
      <c r="C164" s="23" t="s">
        <v>994</v>
      </c>
      <c r="D164" s="23" t="s">
        <v>1257</v>
      </c>
      <c r="E164" s="23" t="s">
        <v>1258</v>
      </c>
      <c r="F164" s="25">
        <v>16</v>
      </c>
      <c r="G164" s="25">
        <v>8</v>
      </c>
      <c r="H164" s="24">
        <v>0.5</v>
      </c>
      <c r="I164" s="24">
        <v>1</v>
      </c>
      <c r="J164" s="24">
        <v>0</v>
      </c>
      <c r="K164" s="24">
        <v>0.875</v>
      </c>
      <c r="L164" s="23" t="s">
        <v>995</v>
      </c>
      <c r="M164" s="25">
        <v>32</v>
      </c>
      <c r="N164" s="25">
        <v>4</v>
      </c>
    </row>
    <row r="165" spans="1:14">
      <c r="A165" s="23" t="s">
        <v>194</v>
      </c>
      <c r="B165" s="23" t="s">
        <v>201</v>
      </c>
      <c r="C165" s="23" t="s">
        <v>994</v>
      </c>
      <c r="D165" s="23" t="s">
        <v>1259</v>
      </c>
      <c r="E165" s="23" t="s">
        <v>1260</v>
      </c>
      <c r="F165" s="25">
        <v>16</v>
      </c>
      <c r="G165" s="25">
        <v>8</v>
      </c>
      <c r="H165" s="24">
        <v>0.5</v>
      </c>
      <c r="I165" s="24">
        <v>0.90163934426229508</v>
      </c>
      <c r="J165" s="24">
        <v>0</v>
      </c>
      <c r="K165" s="24">
        <v>0.75</v>
      </c>
      <c r="L165" s="23" t="s">
        <v>995</v>
      </c>
      <c r="M165" s="25">
        <v>110</v>
      </c>
      <c r="N165" s="25">
        <v>5</v>
      </c>
    </row>
    <row r="166" spans="1:14">
      <c r="A166" s="23" t="s">
        <v>194</v>
      </c>
      <c r="B166" s="23" t="s">
        <v>201</v>
      </c>
      <c r="C166" s="23" t="s">
        <v>994</v>
      </c>
      <c r="D166" s="23" t="s">
        <v>1261</v>
      </c>
      <c r="E166" s="23" t="s">
        <v>1262</v>
      </c>
      <c r="F166" s="25">
        <v>16</v>
      </c>
      <c r="G166" s="25">
        <v>5</v>
      </c>
      <c r="H166" s="24">
        <v>0.3125</v>
      </c>
      <c r="I166" s="24">
        <v>1</v>
      </c>
      <c r="J166" s="24">
        <v>0</v>
      </c>
      <c r="K166" s="24">
        <v>0.6</v>
      </c>
      <c r="L166" s="23" t="s">
        <v>1010</v>
      </c>
      <c r="M166" s="25">
        <v>48</v>
      </c>
      <c r="N166" s="25">
        <v>6</v>
      </c>
    </row>
    <row r="167" spans="1:14">
      <c r="A167" s="23" t="s">
        <v>194</v>
      </c>
      <c r="B167" s="23" t="s">
        <v>201</v>
      </c>
      <c r="C167" s="23" t="s">
        <v>990</v>
      </c>
      <c r="D167" s="23" t="s">
        <v>1263</v>
      </c>
      <c r="E167" s="23" t="s">
        <v>1264</v>
      </c>
      <c r="F167" s="25">
        <v>16</v>
      </c>
      <c r="G167" s="25">
        <v>3</v>
      </c>
      <c r="H167" s="24">
        <v>0.1875</v>
      </c>
      <c r="I167" s="24">
        <v>1</v>
      </c>
      <c r="J167" s="24">
        <v>0.72727272727272729</v>
      </c>
      <c r="K167" s="24">
        <v>0</v>
      </c>
      <c r="L167" s="23" t="s">
        <v>991</v>
      </c>
      <c r="M167" s="25">
        <v>497</v>
      </c>
      <c r="N167" s="25">
        <v>7</v>
      </c>
    </row>
    <row r="168" spans="1:14">
      <c r="A168" s="23" t="s">
        <v>194</v>
      </c>
      <c r="B168" s="23" t="s">
        <v>195</v>
      </c>
      <c r="C168" s="23" t="s">
        <v>994</v>
      </c>
      <c r="D168" s="23" t="s">
        <v>1265</v>
      </c>
      <c r="E168" s="23" t="s">
        <v>1266</v>
      </c>
      <c r="F168" s="25">
        <v>78</v>
      </c>
      <c r="G168" s="25">
        <v>71</v>
      </c>
      <c r="H168" s="24">
        <v>0.91025641025641024</v>
      </c>
      <c r="I168" s="24">
        <v>0.99992955762186531</v>
      </c>
      <c r="J168" s="24">
        <v>0.8666666666666667</v>
      </c>
      <c r="K168" s="24">
        <v>1</v>
      </c>
      <c r="L168" s="23" t="s">
        <v>995</v>
      </c>
      <c r="M168" s="25">
        <v>56780</v>
      </c>
      <c r="N168" s="25">
        <v>1</v>
      </c>
    </row>
    <row r="169" spans="1:14">
      <c r="A169" s="23" t="s">
        <v>194</v>
      </c>
      <c r="B169" s="23" t="s">
        <v>195</v>
      </c>
      <c r="C169" s="23" t="s">
        <v>994</v>
      </c>
      <c r="D169" s="23" t="s">
        <v>1267</v>
      </c>
      <c r="E169" s="23" t="s">
        <v>1268</v>
      </c>
      <c r="F169" s="25">
        <v>78</v>
      </c>
      <c r="G169" s="25">
        <v>70</v>
      </c>
      <c r="H169" s="24">
        <v>0.89743589743589747</v>
      </c>
      <c r="I169" s="24">
        <v>1</v>
      </c>
      <c r="J169" s="24">
        <v>0</v>
      </c>
      <c r="K169" s="24">
        <v>0.98571428571428577</v>
      </c>
      <c r="L169" s="23" t="s">
        <v>995</v>
      </c>
      <c r="M169" s="25">
        <v>3656</v>
      </c>
      <c r="N169" s="25">
        <v>2</v>
      </c>
    </row>
    <row r="170" spans="1:14">
      <c r="A170" s="23" t="s">
        <v>194</v>
      </c>
      <c r="B170" s="23" t="s">
        <v>195</v>
      </c>
      <c r="C170" s="23" t="s">
        <v>994</v>
      </c>
      <c r="D170" s="23" t="s">
        <v>812</v>
      </c>
      <c r="E170" s="23" t="s">
        <v>814</v>
      </c>
      <c r="F170" s="25">
        <v>78</v>
      </c>
      <c r="G170" s="25">
        <v>68</v>
      </c>
      <c r="H170" s="24">
        <v>0.87179487179487181</v>
      </c>
      <c r="I170" s="24">
        <v>1</v>
      </c>
      <c r="J170" s="24">
        <v>0</v>
      </c>
      <c r="K170" s="24">
        <v>1</v>
      </c>
      <c r="L170" s="23" t="s">
        <v>995</v>
      </c>
      <c r="M170" s="25">
        <v>4410</v>
      </c>
      <c r="N170" s="25">
        <v>3</v>
      </c>
    </row>
    <row r="171" spans="1:14">
      <c r="A171" s="23" t="s">
        <v>194</v>
      </c>
      <c r="B171" s="23" t="s">
        <v>195</v>
      </c>
      <c r="C171" s="23" t="s">
        <v>994</v>
      </c>
      <c r="D171" s="23" t="s">
        <v>1269</v>
      </c>
      <c r="E171" s="23" t="s">
        <v>1270</v>
      </c>
      <c r="F171" s="25">
        <v>78</v>
      </c>
      <c r="G171" s="25">
        <v>67</v>
      </c>
      <c r="H171" s="24">
        <v>0.85897435897435892</v>
      </c>
      <c r="I171" s="24">
        <v>1</v>
      </c>
      <c r="J171" s="24">
        <v>0</v>
      </c>
      <c r="K171" s="24">
        <v>1</v>
      </c>
      <c r="L171" s="23" t="s">
        <v>995</v>
      </c>
      <c r="M171" s="25">
        <v>1771</v>
      </c>
      <c r="N171" s="25">
        <v>4</v>
      </c>
    </row>
    <row r="172" spans="1:14">
      <c r="A172" s="23" t="s">
        <v>194</v>
      </c>
      <c r="B172" s="23" t="s">
        <v>195</v>
      </c>
      <c r="C172" s="23" t="s">
        <v>994</v>
      </c>
      <c r="D172" s="23" t="s">
        <v>1271</v>
      </c>
      <c r="E172" s="23" t="s">
        <v>1272</v>
      </c>
      <c r="F172" s="25">
        <v>78</v>
      </c>
      <c r="G172" s="25">
        <v>56</v>
      </c>
      <c r="H172" s="24">
        <v>0.71794871794871795</v>
      </c>
      <c r="I172" s="24">
        <v>1</v>
      </c>
      <c r="J172" s="24">
        <v>0</v>
      </c>
      <c r="K172" s="24">
        <v>1</v>
      </c>
      <c r="L172" s="23" t="s">
        <v>995</v>
      </c>
      <c r="M172" s="25">
        <v>1208</v>
      </c>
      <c r="N172" s="25">
        <v>5</v>
      </c>
    </row>
    <row r="173" spans="1:14">
      <c r="A173" s="23" t="s">
        <v>194</v>
      </c>
      <c r="B173" s="23" t="s">
        <v>195</v>
      </c>
      <c r="C173" s="23" t="s">
        <v>994</v>
      </c>
      <c r="D173" s="23" t="s">
        <v>1273</v>
      </c>
      <c r="E173" s="23" t="s">
        <v>1274</v>
      </c>
      <c r="F173" s="25">
        <v>78</v>
      </c>
      <c r="G173" s="25">
        <v>28</v>
      </c>
      <c r="H173" s="24">
        <v>0.35897435897435898</v>
      </c>
      <c r="I173" s="24">
        <v>0.80916391119508735</v>
      </c>
      <c r="J173" s="24">
        <v>0</v>
      </c>
      <c r="K173" s="24">
        <v>1</v>
      </c>
      <c r="L173" s="23" t="s">
        <v>995</v>
      </c>
      <c r="M173" s="25">
        <v>3426</v>
      </c>
      <c r="N173" s="25">
        <v>6</v>
      </c>
    </row>
    <row r="174" spans="1:14">
      <c r="A174" s="23" t="s">
        <v>194</v>
      </c>
      <c r="B174" s="23" t="s">
        <v>195</v>
      </c>
      <c r="C174" s="23" t="s">
        <v>994</v>
      </c>
      <c r="D174" s="23" t="s">
        <v>1275</v>
      </c>
      <c r="E174" s="23" t="s">
        <v>1276</v>
      </c>
      <c r="F174" s="25">
        <v>78</v>
      </c>
      <c r="G174" s="25">
        <v>26</v>
      </c>
      <c r="H174" s="24">
        <v>0.33333333333333331</v>
      </c>
      <c r="I174" s="24">
        <v>1</v>
      </c>
      <c r="J174" s="24">
        <v>0</v>
      </c>
      <c r="K174" s="24">
        <v>1</v>
      </c>
      <c r="L174" s="23" t="s">
        <v>995</v>
      </c>
      <c r="M174" s="25">
        <v>300</v>
      </c>
      <c r="N174" s="25">
        <v>7</v>
      </c>
    </row>
    <row r="175" spans="1:14">
      <c r="A175" s="23" t="s">
        <v>194</v>
      </c>
      <c r="B175" s="23" t="s">
        <v>195</v>
      </c>
      <c r="C175" s="23" t="s">
        <v>994</v>
      </c>
      <c r="D175" s="23" t="s">
        <v>1277</v>
      </c>
      <c r="E175" s="23" t="s">
        <v>1278</v>
      </c>
      <c r="F175" s="25">
        <v>78</v>
      </c>
      <c r="G175" s="25">
        <v>25</v>
      </c>
      <c r="H175" s="24">
        <v>0.32051282051282054</v>
      </c>
      <c r="I175" s="24">
        <v>1</v>
      </c>
      <c r="J175" s="24">
        <v>0</v>
      </c>
      <c r="K175" s="24">
        <v>1</v>
      </c>
      <c r="L175" s="23" t="s">
        <v>995</v>
      </c>
      <c r="M175" s="25">
        <v>3713</v>
      </c>
      <c r="N175" s="25">
        <v>8</v>
      </c>
    </row>
    <row r="176" spans="1:14">
      <c r="A176" s="23" t="s">
        <v>194</v>
      </c>
      <c r="B176" s="23" t="s">
        <v>198</v>
      </c>
      <c r="C176" s="23" t="s">
        <v>994</v>
      </c>
      <c r="D176" s="23" t="s">
        <v>815</v>
      </c>
      <c r="E176" s="23" t="s">
        <v>816</v>
      </c>
      <c r="F176" s="25">
        <v>154</v>
      </c>
      <c r="G176" s="25">
        <v>154</v>
      </c>
      <c r="H176" s="24">
        <v>1</v>
      </c>
      <c r="I176" s="24">
        <v>1</v>
      </c>
      <c r="J176" s="24">
        <v>0</v>
      </c>
      <c r="K176" s="24">
        <v>1</v>
      </c>
      <c r="L176" s="23" t="s">
        <v>995</v>
      </c>
      <c r="M176" s="25">
        <v>15369</v>
      </c>
      <c r="N176" s="25">
        <v>1</v>
      </c>
    </row>
    <row r="177" spans="1:14">
      <c r="A177" s="23" t="s">
        <v>194</v>
      </c>
      <c r="B177" s="23" t="s">
        <v>198</v>
      </c>
      <c r="C177" s="23" t="s">
        <v>994</v>
      </c>
      <c r="D177" s="23" t="s">
        <v>1279</v>
      </c>
      <c r="E177" s="23" t="s">
        <v>1280</v>
      </c>
      <c r="F177" s="25">
        <v>154</v>
      </c>
      <c r="G177" s="25">
        <v>148</v>
      </c>
      <c r="H177" s="24">
        <v>0.96103896103896103</v>
      </c>
      <c r="I177" s="24">
        <v>1</v>
      </c>
      <c r="J177" s="24">
        <v>0</v>
      </c>
      <c r="K177" s="24">
        <v>1</v>
      </c>
      <c r="L177" s="23" t="s">
        <v>995</v>
      </c>
      <c r="M177" s="25">
        <v>15622</v>
      </c>
      <c r="N177" s="25">
        <v>2</v>
      </c>
    </row>
    <row r="178" spans="1:14">
      <c r="A178" s="23" t="s">
        <v>194</v>
      </c>
      <c r="B178" s="23" t="s">
        <v>198</v>
      </c>
      <c r="C178" s="23" t="s">
        <v>994</v>
      </c>
      <c r="D178" s="23" t="s">
        <v>1281</v>
      </c>
      <c r="E178" s="23" t="s">
        <v>1282</v>
      </c>
      <c r="F178" s="25">
        <v>154</v>
      </c>
      <c r="G178" s="25">
        <v>123</v>
      </c>
      <c r="H178" s="24">
        <v>0.79870129870129869</v>
      </c>
      <c r="I178" s="24">
        <v>1</v>
      </c>
      <c r="J178" s="24">
        <v>0</v>
      </c>
      <c r="K178" s="24">
        <v>0.91056910569105687</v>
      </c>
      <c r="L178" s="23" t="s">
        <v>995</v>
      </c>
      <c r="M178" s="25">
        <v>2875</v>
      </c>
      <c r="N178" s="25">
        <v>3</v>
      </c>
    </row>
    <row r="179" spans="1:14">
      <c r="A179" s="23" t="s">
        <v>194</v>
      </c>
      <c r="B179" s="23" t="s">
        <v>198</v>
      </c>
      <c r="C179" s="23" t="s">
        <v>994</v>
      </c>
      <c r="D179" s="23" t="s">
        <v>1283</v>
      </c>
      <c r="E179" s="23" t="s">
        <v>1284</v>
      </c>
      <c r="F179" s="25">
        <v>154</v>
      </c>
      <c r="G179" s="25">
        <v>91</v>
      </c>
      <c r="H179" s="24">
        <v>0.59090909090909094</v>
      </c>
      <c r="I179" s="24">
        <v>0.79048697621744057</v>
      </c>
      <c r="J179" s="24">
        <v>0</v>
      </c>
      <c r="K179" s="24">
        <v>0.98901098901098905</v>
      </c>
      <c r="L179" s="23" t="s">
        <v>995</v>
      </c>
      <c r="M179" s="25">
        <v>698</v>
      </c>
      <c r="N179" s="25">
        <v>4</v>
      </c>
    </row>
    <row r="180" spans="1:14">
      <c r="A180" s="23" t="s">
        <v>194</v>
      </c>
      <c r="B180" s="23" t="s">
        <v>198</v>
      </c>
      <c r="C180" s="23" t="s">
        <v>994</v>
      </c>
      <c r="D180" s="23" t="s">
        <v>1285</v>
      </c>
      <c r="E180" s="23" t="s">
        <v>1286</v>
      </c>
      <c r="F180" s="25">
        <v>154</v>
      </c>
      <c r="G180" s="25">
        <v>81</v>
      </c>
      <c r="H180" s="24">
        <v>0.52597402597402598</v>
      </c>
      <c r="I180" s="24">
        <v>0.52791452812401807</v>
      </c>
      <c r="J180" s="24">
        <v>0</v>
      </c>
      <c r="K180" s="24">
        <v>1</v>
      </c>
      <c r="L180" s="23" t="s">
        <v>995</v>
      </c>
      <c r="M180" s="25">
        <v>5040</v>
      </c>
      <c r="N180" s="25">
        <v>5</v>
      </c>
    </row>
    <row r="181" spans="1:14">
      <c r="A181" s="23" t="s">
        <v>194</v>
      </c>
      <c r="B181" s="23" t="s">
        <v>198</v>
      </c>
      <c r="C181" s="23" t="s">
        <v>994</v>
      </c>
      <c r="D181" s="23" t="s">
        <v>1287</v>
      </c>
      <c r="E181" s="23" t="s">
        <v>1288</v>
      </c>
      <c r="F181" s="25">
        <v>154</v>
      </c>
      <c r="G181" s="25">
        <v>40</v>
      </c>
      <c r="H181" s="24">
        <v>0.25974025974025972</v>
      </c>
      <c r="I181" s="24">
        <v>1</v>
      </c>
      <c r="J181" s="24">
        <v>0</v>
      </c>
      <c r="K181" s="24">
        <v>0.67500000000000004</v>
      </c>
      <c r="L181" s="23" t="s">
        <v>1010</v>
      </c>
      <c r="M181" s="25">
        <v>4982</v>
      </c>
      <c r="N181" s="25">
        <v>6</v>
      </c>
    </row>
    <row r="182" spans="1:14">
      <c r="A182" s="23" t="s">
        <v>194</v>
      </c>
      <c r="B182" s="23" t="s">
        <v>198</v>
      </c>
      <c r="C182" s="23" t="s">
        <v>994</v>
      </c>
      <c r="D182" s="23" t="s">
        <v>1289</v>
      </c>
      <c r="E182" s="23" t="s">
        <v>1290</v>
      </c>
      <c r="F182" s="25">
        <v>154</v>
      </c>
      <c r="G182" s="25">
        <v>35</v>
      </c>
      <c r="H182" s="24">
        <v>0.22727272727272727</v>
      </c>
      <c r="I182" s="24">
        <v>0.71264367816091956</v>
      </c>
      <c r="J182" s="24">
        <v>0</v>
      </c>
      <c r="K182" s="24">
        <v>0.68571428571428572</v>
      </c>
      <c r="L182" s="23" t="s">
        <v>1010</v>
      </c>
      <c r="M182" s="25">
        <v>124</v>
      </c>
      <c r="N182" s="25">
        <v>7</v>
      </c>
    </row>
    <row r="183" spans="1:14">
      <c r="A183" s="23" t="s">
        <v>194</v>
      </c>
      <c r="B183" s="23" t="s">
        <v>198</v>
      </c>
      <c r="C183" s="23" t="s">
        <v>990</v>
      </c>
      <c r="D183" s="23" t="s">
        <v>810</v>
      </c>
      <c r="E183" s="23" t="s">
        <v>811</v>
      </c>
      <c r="F183" s="25">
        <v>154</v>
      </c>
      <c r="G183" s="25">
        <v>32</v>
      </c>
      <c r="H183" s="24">
        <v>0.20779220779220781</v>
      </c>
      <c r="I183" s="24">
        <v>0.76578225068618477</v>
      </c>
      <c r="J183" s="24">
        <v>1</v>
      </c>
      <c r="K183" s="24">
        <v>0</v>
      </c>
      <c r="L183" s="23" t="s">
        <v>991</v>
      </c>
      <c r="M183" s="25">
        <v>837</v>
      </c>
      <c r="N183" s="25">
        <v>8</v>
      </c>
    </row>
    <row r="184" spans="1:14">
      <c r="A184" s="23" t="s">
        <v>194</v>
      </c>
      <c r="B184" s="23" t="s">
        <v>198</v>
      </c>
      <c r="C184" s="23" t="s">
        <v>990</v>
      </c>
      <c r="D184" s="23" t="s">
        <v>1291</v>
      </c>
      <c r="E184" s="23" t="s">
        <v>1292</v>
      </c>
      <c r="F184" s="25">
        <v>154</v>
      </c>
      <c r="G184" s="25">
        <v>28</v>
      </c>
      <c r="H184" s="24">
        <v>0.18181818181818182</v>
      </c>
      <c r="I184" s="24">
        <v>0.79439252336448596</v>
      </c>
      <c r="J184" s="24">
        <v>0.92500000000000004</v>
      </c>
      <c r="K184" s="24">
        <v>0</v>
      </c>
      <c r="L184" s="23" t="s">
        <v>991</v>
      </c>
      <c r="M184" s="25">
        <v>595</v>
      </c>
      <c r="N184" s="25">
        <v>9</v>
      </c>
    </row>
    <row r="185" spans="1:14">
      <c r="A185" s="23" t="s">
        <v>312</v>
      </c>
      <c r="B185" s="23" t="s">
        <v>313</v>
      </c>
      <c r="C185" s="23" t="s">
        <v>994</v>
      </c>
      <c r="D185" s="23" t="s">
        <v>950</v>
      </c>
      <c r="E185" s="23" t="s">
        <v>951</v>
      </c>
      <c r="F185" s="25">
        <v>148</v>
      </c>
      <c r="G185" s="25">
        <v>148</v>
      </c>
      <c r="H185" s="24">
        <v>1</v>
      </c>
      <c r="I185" s="24">
        <v>0.9724602712372078</v>
      </c>
      <c r="J185" s="24">
        <v>0</v>
      </c>
      <c r="K185" s="24">
        <v>1</v>
      </c>
      <c r="L185" s="23" t="s">
        <v>995</v>
      </c>
      <c r="M185" s="25">
        <v>11688</v>
      </c>
      <c r="N185" s="25">
        <v>1</v>
      </c>
    </row>
    <row r="186" spans="1:14">
      <c r="A186" s="23" t="s">
        <v>312</v>
      </c>
      <c r="B186" s="23" t="s">
        <v>313</v>
      </c>
      <c r="C186" s="23" t="s">
        <v>994</v>
      </c>
      <c r="D186" s="23" t="s">
        <v>1293</v>
      </c>
      <c r="E186" s="23" t="s">
        <v>1294</v>
      </c>
      <c r="F186" s="25">
        <v>148</v>
      </c>
      <c r="G186" s="25">
        <v>126</v>
      </c>
      <c r="H186" s="24">
        <v>0.85135135135135132</v>
      </c>
      <c r="I186" s="24">
        <v>0.88677576293675364</v>
      </c>
      <c r="J186" s="24">
        <v>0</v>
      </c>
      <c r="K186" s="24">
        <v>1</v>
      </c>
      <c r="L186" s="23" t="s">
        <v>995</v>
      </c>
      <c r="M186" s="25">
        <v>2005</v>
      </c>
      <c r="N186" s="25">
        <v>2</v>
      </c>
    </row>
    <row r="187" spans="1:14">
      <c r="A187" s="23" t="s">
        <v>312</v>
      </c>
      <c r="B187" s="23" t="s">
        <v>313</v>
      </c>
      <c r="C187" s="23" t="s">
        <v>994</v>
      </c>
      <c r="D187" s="23" t="s">
        <v>1295</v>
      </c>
      <c r="E187" s="23" t="s">
        <v>1296</v>
      </c>
      <c r="F187" s="25">
        <v>148</v>
      </c>
      <c r="G187" s="25">
        <v>108</v>
      </c>
      <c r="H187" s="24">
        <v>0.72972972972972971</v>
      </c>
      <c r="I187" s="24">
        <v>0.80830388692579502</v>
      </c>
      <c r="J187" s="24">
        <v>0</v>
      </c>
      <c r="K187" s="24">
        <v>1</v>
      </c>
      <c r="L187" s="23" t="s">
        <v>995</v>
      </c>
      <c r="M187" s="25">
        <v>1830</v>
      </c>
      <c r="N187" s="25">
        <v>3</v>
      </c>
    </row>
    <row r="188" spans="1:14">
      <c r="A188" s="23" t="s">
        <v>312</v>
      </c>
      <c r="B188" s="23" t="s">
        <v>313</v>
      </c>
      <c r="C188" s="23" t="s">
        <v>994</v>
      </c>
      <c r="D188" s="23" t="s">
        <v>1297</v>
      </c>
      <c r="E188" s="23" t="s">
        <v>1298</v>
      </c>
      <c r="F188" s="25">
        <v>148</v>
      </c>
      <c r="G188" s="25">
        <v>101</v>
      </c>
      <c r="H188" s="24">
        <v>0.68243243243243246</v>
      </c>
      <c r="I188" s="24">
        <v>1</v>
      </c>
      <c r="J188" s="24">
        <v>0</v>
      </c>
      <c r="K188" s="24">
        <v>0.85148514851485146</v>
      </c>
      <c r="L188" s="23" t="s">
        <v>995</v>
      </c>
      <c r="M188" s="25">
        <v>1386</v>
      </c>
      <c r="N188" s="25">
        <v>4</v>
      </c>
    </row>
    <row r="189" spans="1:14">
      <c r="A189" s="23" t="s">
        <v>312</v>
      </c>
      <c r="B189" s="23" t="s">
        <v>313</v>
      </c>
      <c r="C189" s="23" t="s">
        <v>990</v>
      </c>
      <c r="D189" s="23" t="s">
        <v>1299</v>
      </c>
      <c r="E189" s="23" t="s">
        <v>1300</v>
      </c>
      <c r="F189" s="25">
        <v>148</v>
      </c>
      <c r="G189" s="25">
        <v>98</v>
      </c>
      <c r="H189" s="24">
        <v>0.66216216216216217</v>
      </c>
      <c r="I189" s="24">
        <v>0.75419580419580423</v>
      </c>
      <c r="J189" s="24">
        <v>0.95742753623188404</v>
      </c>
      <c r="K189" s="24">
        <v>0</v>
      </c>
      <c r="L189" s="23" t="s">
        <v>991</v>
      </c>
      <c r="M189" s="25">
        <v>2157</v>
      </c>
      <c r="N189" s="25">
        <v>5</v>
      </c>
    </row>
    <row r="190" spans="1:14">
      <c r="A190" s="23" t="s">
        <v>312</v>
      </c>
      <c r="B190" s="23" t="s">
        <v>313</v>
      </c>
      <c r="C190" s="23" t="s">
        <v>990</v>
      </c>
      <c r="D190" s="23" t="s">
        <v>948</v>
      </c>
      <c r="E190" s="23" t="s">
        <v>949</v>
      </c>
      <c r="F190" s="25">
        <v>148</v>
      </c>
      <c r="G190" s="25">
        <v>96</v>
      </c>
      <c r="H190" s="24">
        <v>0.64864864864864868</v>
      </c>
      <c r="I190" s="24">
        <v>0.92986546520054192</v>
      </c>
      <c r="J190" s="24">
        <v>0.90833333333333333</v>
      </c>
      <c r="K190" s="24">
        <v>0</v>
      </c>
      <c r="L190" s="23" t="s">
        <v>991</v>
      </c>
      <c r="M190" s="25">
        <v>29513</v>
      </c>
      <c r="N190" s="25">
        <v>6</v>
      </c>
    </row>
    <row r="191" spans="1:14">
      <c r="A191" s="23" t="s">
        <v>312</v>
      </c>
      <c r="B191" s="23" t="s">
        <v>313</v>
      </c>
      <c r="C191" s="23" t="s">
        <v>994</v>
      </c>
      <c r="D191" s="23" t="s">
        <v>1301</v>
      </c>
      <c r="E191" s="23" t="s">
        <v>1302</v>
      </c>
      <c r="F191" s="25">
        <v>148</v>
      </c>
      <c r="G191" s="25">
        <v>76</v>
      </c>
      <c r="H191" s="24">
        <v>0.51351351351351349</v>
      </c>
      <c r="I191" s="24">
        <v>0.73701476216511752</v>
      </c>
      <c r="J191" s="24">
        <v>0</v>
      </c>
      <c r="K191" s="24">
        <v>1</v>
      </c>
      <c r="L191" s="23" t="s">
        <v>995</v>
      </c>
      <c r="M191" s="25">
        <v>1348</v>
      </c>
      <c r="N191" s="25">
        <v>7</v>
      </c>
    </row>
    <row r="192" spans="1:14">
      <c r="A192" s="23" t="s">
        <v>312</v>
      </c>
      <c r="B192" s="23" t="s">
        <v>313</v>
      </c>
      <c r="C192" s="23" t="s">
        <v>990</v>
      </c>
      <c r="D192" s="23" t="s">
        <v>1303</v>
      </c>
      <c r="E192" s="23" t="s">
        <v>1304</v>
      </c>
      <c r="F192" s="25">
        <v>148</v>
      </c>
      <c r="G192" s="25">
        <v>44</v>
      </c>
      <c r="H192" s="24">
        <v>0.29729729729729731</v>
      </c>
      <c r="I192" s="24">
        <v>0.63495575221238942</v>
      </c>
      <c r="J192" s="24">
        <v>0.35076923076923078</v>
      </c>
      <c r="K192" s="24">
        <v>0</v>
      </c>
      <c r="L192" s="23" t="s">
        <v>1010</v>
      </c>
      <c r="M192" s="25">
        <v>574</v>
      </c>
      <c r="N192" s="25">
        <v>8</v>
      </c>
    </row>
    <row r="193" spans="1:14">
      <c r="A193" s="23" t="s">
        <v>312</v>
      </c>
      <c r="B193" s="23" t="s">
        <v>313</v>
      </c>
      <c r="C193" s="23" t="s">
        <v>994</v>
      </c>
      <c r="D193" s="23" t="s">
        <v>1305</v>
      </c>
      <c r="E193" s="23" t="s">
        <v>1306</v>
      </c>
      <c r="F193" s="25">
        <v>148</v>
      </c>
      <c r="G193" s="25">
        <v>42</v>
      </c>
      <c r="H193" s="24">
        <v>0.28378378378378377</v>
      </c>
      <c r="I193" s="24">
        <v>0.67808219178082196</v>
      </c>
      <c r="J193" s="24">
        <v>0</v>
      </c>
      <c r="K193" s="24">
        <v>0.97619047619047616</v>
      </c>
      <c r="L193" s="23" t="s">
        <v>995</v>
      </c>
      <c r="M193" s="25">
        <v>99</v>
      </c>
      <c r="N193" s="25">
        <v>9</v>
      </c>
    </row>
    <row r="194" spans="1:14">
      <c r="A194" s="23" t="s">
        <v>312</v>
      </c>
      <c r="B194" s="23" t="s">
        <v>313</v>
      </c>
      <c r="C194" s="23" t="s">
        <v>990</v>
      </c>
      <c r="D194" s="23" t="s">
        <v>1307</v>
      </c>
      <c r="E194" s="23" t="s">
        <v>1308</v>
      </c>
      <c r="F194" s="25">
        <v>148</v>
      </c>
      <c r="G194" s="25">
        <v>36</v>
      </c>
      <c r="H194" s="24">
        <v>0.24324324324324326</v>
      </c>
      <c r="I194" s="24">
        <v>0.93783783783783781</v>
      </c>
      <c r="J194" s="24">
        <v>0.91666666666666663</v>
      </c>
      <c r="K194" s="24">
        <v>0</v>
      </c>
      <c r="L194" s="23" t="s">
        <v>991</v>
      </c>
      <c r="M194" s="25">
        <v>694</v>
      </c>
      <c r="N194" s="25">
        <v>10</v>
      </c>
    </row>
    <row r="195" spans="1:14">
      <c r="A195" s="23" t="s">
        <v>312</v>
      </c>
      <c r="B195" s="23" t="s">
        <v>313</v>
      </c>
      <c r="C195" s="23" t="s">
        <v>994</v>
      </c>
      <c r="D195" s="23" t="s">
        <v>1309</v>
      </c>
      <c r="E195" s="23" t="s">
        <v>1310</v>
      </c>
      <c r="F195" s="25">
        <v>148</v>
      </c>
      <c r="G195" s="25">
        <v>15</v>
      </c>
      <c r="H195" s="24">
        <v>0.10135135135135136</v>
      </c>
      <c r="I195" s="24">
        <v>1</v>
      </c>
      <c r="J195" s="24">
        <v>0</v>
      </c>
      <c r="K195" s="24">
        <v>0.93333333333333335</v>
      </c>
      <c r="L195" s="23" t="s">
        <v>995</v>
      </c>
      <c r="M195" s="25">
        <v>3060</v>
      </c>
      <c r="N195" s="25">
        <v>11</v>
      </c>
    </row>
    <row r="196" spans="1:14">
      <c r="A196" s="23" t="s">
        <v>312</v>
      </c>
      <c r="B196" s="23" t="s">
        <v>316</v>
      </c>
      <c r="C196" s="23" t="s">
        <v>994</v>
      </c>
      <c r="D196" s="23" t="s">
        <v>954</v>
      </c>
      <c r="E196" s="23" t="s">
        <v>955</v>
      </c>
      <c r="F196" s="25">
        <v>3</v>
      </c>
      <c r="G196" s="25">
        <v>3</v>
      </c>
      <c r="H196" s="24">
        <v>1</v>
      </c>
      <c r="I196" s="24">
        <v>1</v>
      </c>
      <c r="J196" s="24">
        <v>4.1666666666666664E-2</v>
      </c>
      <c r="K196" s="24">
        <v>1</v>
      </c>
      <c r="L196" s="23" t="s">
        <v>995</v>
      </c>
      <c r="M196" s="25">
        <v>889</v>
      </c>
      <c r="N196" s="25">
        <v>1</v>
      </c>
    </row>
    <row r="197" spans="1:14">
      <c r="A197" s="23" t="s">
        <v>312</v>
      </c>
      <c r="B197" s="23" t="s">
        <v>316</v>
      </c>
      <c r="C197" s="23" t="s">
        <v>994</v>
      </c>
      <c r="D197" s="23" t="s">
        <v>1311</v>
      </c>
      <c r="E197" s="23" t="s">
        <v>1312</v>
      </c>
      <c r="F197" s="25">
        <v>3</v>
      </c>
      <c r="G197" s="25">
        <v>3</v>
      </c>
      <c r="H197" s="24">
        <v>1</v>
      </c>
      <c r="I197" s="24">
        <v>1</v>
      </c>
      <c r="J197" s="24">
        <v>4.1666666666666664E-2</v>
      </c>
      <c r="K197" s="24">
        <v>1</v>
      </c>
      <c r="L197" s="23" t="s">
        <v>995</v>
      </c>
      <c r="M197" s="25">
        <v>324</v>
      </c>
      <c r="N197" s="25">
        <v>2</v>
      </c>
    </row>
    <row r="198" spans="1:14">
      <c r="A198" s="23" t="s">
        <v>312</v>
      </c>
      <c r="B198" s="23" t="s">
        <v>316</v>
      </c>
      <c r="C198" s="23" t="s">
        <v>994</v>
      </c>
      <c r="D198" s="23" t="s">
        <v>1313</v>
      </c>
      <c r="E198" s="23" t="s">
        <v>1314</v>
      </c>
      <c r="F198" s="25">
        <v>3</v>
      </c>
      <c r="G198" s="25">
        <v>3</v>
      </c>
      <c r="H198" s="24">
        <v>1</v>
      </c>
      <c r="I198" s="24">
        <v>1</v>
      </c>
      <c r="J198" s="24">
        <v>0</v>
      </c>
      <c r="K198" s="24">
        <v>1</v>
      </c>
      <c r="L198" s="23" t="s">
        <v>995</v>
      </c>
      <c r="M198" s="25">
        <v>261</v>
      </c>
      <c r="N198" s="25">
        <v>3</v>
      </c>
    </row>
    <row r="199" spans="1:14">
      <c r="A199" s="23" t="s">
        <v>312</v>
      </c>
      <c r="B199" s="23" t="s">
        <v>316</v>
      </c>
      <c r="C199" s="23" t="s">
        <v>994</v>
      </c>
      <c r="D199" s="23" t="s">
        <v>1315</v>
      </c>
      <c r="E199" s="23" t="s">
        <v>1316</v>
      </c>
      <c r="F199" s="25">
        <v>3</v>
      </c>
      <c r="G199" s="25">
        <v>3</v>
      </c>
      <c r="H199" s="24">
        <v>1</v>
      </c>
      <c r="I199" s="24">
        <v>1</v>
      </c>
      <c r="J199" s="24">
        <v>0</v>
      </c>
      <c r="K199" s="24">
        <v>1</v>
      </c>
      <c r="L199" s="23" t="s">
        <v>995</v>
      </c>
      <c r="M199" s="25">
        <v>249</v>
      </c>
      <c r="N199" s="25">
        <v>4</v>
      </c>
    </row>
    <row r="200" spans="1:14">
      <c r="A200" s="23" t="s">
        <v>312</v>
      </c>
      <c r="B200" s="23" t="s">
        <v>316</v>
      </c>
      <c r="C200" s="23" t="s">
        <v>994</v>
      </c>
      <c r="D200" s="23" t="s">
        <v>1317</v>
      </c>
      <c r="E200" s="23" t="s">
        <v>1318</v>
      </c>
      <c r="F200" s="25">
        <v>3</v>
      </c>
      <c r="G200" s="25">
        <v>3</v>
      </c>
      <c r="H200" s="24">
        <v>1</v>
      </c>
      <c r="I200" s="24">
        <v>1</v>
      </c>
      <c r="J200" s="24">
        <v>4.1666666666666664E-2</v>
      </c>
      <c r="K200" s="24">
        <v>1</v>
      </c>
      <c r="L200" s="23" t="s">
        <v>995</v>
      </c>
      <c r="M200" s="25">
        <v>108</v>
      </c>
      <c r="N200" s="25">
        <v>5</v>
      </c>
    </row>
    <row r="201" spans="1:14">
      <c r="A201" s="23" t="s">
        <v>312</v>
      </c>
      <c r="B201" s="23" t="s">
        <v>316</v>
      </c>
      <c r="C201" s="23" t="s">
        <v>994</v>
      </c>
      <c r="D201" s="23" t="s">
        <v>1319</v>
      </c>
      <c r="E201" s="23" t="s">
        <v>1320</v>
      </c>
      <c r="F201" s="25">
        <v>3</v>
      </c>
      <c r="G201" s="25">
        <v>3</v>
      </c>
      <c r="H201" s="24">
        <v>1</v>
      </c>
      <c r="I201" s="24">
        <v>1</v>
      </c>
      <c r="J201" s="24">
        <v>4.1666666666666664E-2</v>
      </c>
      <c r="K201" s="24">
        <v>1</v>
      </c>
      <c r="L201" s="23" t="s">
        <v>995</v>
      </c>
      <c r="M201" s="25">
        <v>53</v>
      </c>
      <c r="N201" s="25">
        <v>6</v>
      </c>
    </row>
    <row r="202" spans="1:14">
      <c r="A202" s="23" t="s">
        <v>312</v>
      </c>
      <c r="B202" s="23" t="s">
        <v>316</v>
      </c>
      <c r="C202" s="23" t="s">
        <v>994</v>
      </c>
      <c r="D202" s="23" t="s">
        <v>1321</v>
      </c>
      <c r="E202" s="23" t="s">
        <v>1322</v>
      </c>
      <c r="F202" s="25">
        <v>3</v>
      </c>
      <c r="G202" s="25">
        <v>2</v>
      </c>
      <c r="H202" s="24">
        <v>0.66666666666666663</v>
      </c>
      <c r="I202" s="24">
        <v>1</v>
      </c>
      <c r="J202" s="24">
        <v>0</v>
      </c>
      <c r="K202" s="24">
        <v>1</v>
      </c>
      <c r="L202" s="23" t="s">
        <v>995</v>
      </c>
      <c r="M202" s="25">
        <v>107</v>
      </c>
      <c r="N202" s="25">
        <v>7</v>
      </c>
    </row>
    <row r="203" spans="1:14">
      <c r="A203" s="23" t="s">
        <v>312</v>
      </c>
      <c r="B203" s="23" t="s">
        <v>319</v>
      </c>
      <c r="C203" s="23" t="s">
        <v>994</v>
      </c>
      <c r="D203" s="23" t="s">
        <v>956</v>
      </c>
      <c r="E203" s="23" t="s">
        <v>957</v>
      </c>
      <c r="F203" s="25">
        <v>56</v>
      </c>
      <c r="G203" s="25">
        <v>56</v>
      </c>
      <c r="H203" s="24">
        <v>1</v>
      </c>
      <c r="I203" s="24">
        <v>1</v>
      </c>
      <c r="J203" s="24">
        <v>0</v>
      </c>
      <c r="K203" s="24">
        <v>1</v>
      </c>
      <c r="L203" s="23" t="s">
        <v>995</v>
      </c>
      <c r="M203" s="25">
        <v>2078</v>
      </c>
      <c r="N203" s="25">
        <v>1</v>
      </c>
    </row>
    <row r="204" spans="1:14">
      <c r="A204" s="23" t="s">
        <v>312</v>
      </c>
      <c r="B204" s="23" t="s">
        <v>319</v>
      </c>
      <c r="C204" s="23" t="s">
        <v>994</v>
      </c>
      <c r="D204" s="23" t="s">
        <v>1323</v>
      </c>
      <c r="E204" s="23" t="s">
        <v>1324</v>
      </c>
      <c r="F204" s="25">
        <v>56</v>
      </c>
      <c r="G204" s="25">
        <v>56</v>
      </c>
      <c r="H204" s="24">
        <v>1</v>
      </c>
      <c r="I204" s="24">
        <v>1</v>
      </c>
      <c r="J204" s="24">
        <v>0</v>
      </c>
      <c r="K204" s="24">
        <v>0.9821428571428571</v>
      </c>
      <c r="L204" s="23" t="s">
        <v>995</v>
      </c>
      <c r="M204" s="25">
        <v>2208</v>
      </c>
      <c r="N204" s="25">
        <v>2</v>
      </c>
    </row>
    <row r="205" spans="1:14">
      <c r="A205" s="23" t="s">
        <v>312</v>
      </c>
      <c r="B205" s="23" t="s">
        <v>319</v>
      </c>
      <c r="C205" s="23" t="s">
        <v>994</v>
      </c>
      <c r="D205" s="23" t="s">
        <v>1325</v>
      </c>
      <c r="E205" s="23" t="s">
        <v>1326</v>
      </c>
      <c r="F205" s="25">
        <v>56</v>
      </c>
      <c r="G205" s="25">
        <v>22</v>
      </c>
      <c r="H205" s="24">
        <v>0.39285714285714285</v>
      </c>
      <c r="I205" s="24">
        <v>1</v>
      </c>
      <c r="J205" s="24">
        <v>0</v>
      </c>
      <c r="K205" s="24">
        <v>0.86363636363636365</v>
      </c>
      <c r="L205" s="23" t="s">
        <v>995</v>
      </c>
      <c r="M205" s="25">
        <v>1446</v>
      </c>
      <c r="N205" s="25">
        <v>3</v>
      </c>
    </row>
    <row r="206" spans="1:14">
      <c r="A206" s="23" t="s">
        <v>312</v>
      </c>
      <c r="B206" s="23" t="s">
        <v>319</v>
      </c>
      <c r="C206" s="23" t="s">
        <v>994</v>
      </c>
      <c r="D206" s="23" t="s">
        <v>1327</v>
      </c>
      <c r="E206" s="23" t="s">
        <v>1328</v>
      </c>
      <c r="F206" s="25">
        <v>56</v>
      </c>
      <c r="G206" s="25">
        <v>20</v>
      </c>
      <c r="H206" s="24">
        <v>0.35714285714285715</v>
      </c>
      <c r="I206" s="24">
        <v>1</v>
      </c>
      <c r="J206" s="24">
        <v>0</v>
      </c>
      <c r="K206" s="24">
        <v>1</v>
      </c>
      <c r="L206" s="23" t="s">
        <v>995</v>
      </c>
      <c r="M206" s="25">
        <v>3710</v>
      </c>
      <c r="N206" s="25">
        <v>4</v>
      </c>
    </row>
    <row r="207" spans="1:14">
      <c r="A207" s="23" t="s">
        <v>312</v>
      </c>
      <c r="B207" s="23" t="s">
        <v>319</v>
      </c>
      <c r="C207" s="23" t="s">
        <v>994</v>
      </c>
      <c r="D207" s="23" t="s">
        <v>1329</v>
      </c>
      <c r="E207" s="23" t="s">
        <v>1330</v>
      </c>
      <c r="F207" s="25">
        <v>56</v>
      </c>
      <c r="G207" s="25">
        <v>16</v>
      </c>
      <c r="H207" s="24">
        <v>0.2857142857142857</v>
      </c>
      <c r="I207" s="24">
        <v>1</v>
      </c>
      <c r="J207" s="24">
        <v>0</v>
      </c>
      <c r="K207" s="24">
        <v>1</v>
      </c>
      <c r="L207" s="23" t="s">
        <v>995</v>
      </c>
      <c r="M207" s="25">
        <v>1035</v>
      </c>
      <c r="N207" s="25">
        <v>5</v>
      </c>
    </row>
    <row r="208" spans="1:14">
      <c r="A208" s="23" t="s">
        <v>312</v>
      </c>
      <c r="B208" s="23" t="s">
        <v>319</v>
      </c>
      <c r="C208" s="23" t="s">
        <v>994</v>
      </c>
      <c r="D208" s="23" t="s">
        <v>1331</v>
      </c>
      <c r="E208" s="23" t="s">
        <v>1332</v>
      </c>
      <c r="F208" s="25">
        <v>56</v>
      </c>
      <c r="G208" s="25">
        <v>11</v>
      </c>
      <c r="H208" s="24">
        <v>0.19642857142857142</v>
      </c>
      <c r="I208" s="24">
        <v>1</v>
      </c>
      <c r="J208" s="24">
        <v>0</v>
      </c>
      <c r="K208" s="24">
        <v>1</v>
      </c>
      <c r="L208" s="23" t="s">
        <v>995</v>
      </c>
      <c r="M208" s="25">
        <v>381</v>
      </c>
      <c r="N208" s="25">
        <v>6</v>
      </c>
    </row>
    <row r="209" spans="1:14">
      <c r="A209" s="23" t="s">
        <v>244</v>
      </c>
      <c r="B209" s="23" t="s">
        <v>251</v>
      </c>
      <c r="C209" s="23" t="s">
        <v>994</v>
      </c>
      <c r="D209" s="23" t="s">
        <v>873</v>
      </c>
      <c r="E209" s="23" t="s">
        <v>874</v>
      </c>
      <c r="F209" s="25">
        <v>26</v>
      </c>
      <c r="G209" s="25">
        <v>23</v>
      </c>
      <c r="H209" s="24">
        <v>0.88461538461538458</v>
      </c>
      <c r="I209" s="24">
        <v>1</v>
      </c>
      <c r="J209" s="24">
        <v>0</v>
      </c>
      <c r="K209" s="24">
        <v>1</v>
      </c>
      <c r="L209" s="23" t="s">
        <v>995</v>
      </c>
      <c r="M209" s="25">
        <v>308</v>
      </c>
      <c r="N209" s="25">
        <v>1</v>
      </c>
    </row>
    <row r="210" spans="1:14">
      <c r="A210" s="23" t="s">
        <v>244</v>
      </c>
      <c r="B210" s="23" t="s">
        <v>251</v>
      </c>
      <c r="C210" s="23" t="s">
        <v>994</v>
      </c>
      <c r="D210" s="23" t="s">
        <v>1333</v>
      </c>
      <c r="E210" s="23" t="s">
        <v>1334</v>
      </c>
      <c r="F210" s="25">
        <v>26</v>
      </c>
      <c r="G210" s="25">
        <v>23</v>
      </c>
      <c r="H210" s="24">
        <v>0.88461538461538458</v>
      </c>
      <c r="I210" s="24">
        <v>1</v>
      </c>
      <c r="J210" s="24">
        <v>0</v>
      </c>
      <c r="K210" s="24">
        <v>1</v>
      </c>
      <c r="L210" s="23" t="s">
        <v>995</v>
      </c>
      <c r="M210" s="25">
        <v>261</v>
      </c>
      <c r="N210" s="25">
        <v>2</v>
      </c>
    </row>
    <row r="211" spans="1:14">
      <c r="A211" s="23" t="s">
        <v>244</v>
      </c>
      <c r="B211" s="23" t="s">
        <v>251</v>
      </c>
      <c r="C211" s="23" t="s">
        <v>994</v>
      </c>
      <c r="D211" s="23" t="s">
        <v>1335</v>
      </c>
      <c r="E211" s="23" t="s">
        <v>1336</v>
      </c>
      <c r="F211" s="25">
        <v>26</v>
      </c>
      <c r="G211" s="25">
        <v>17</v>
      </c>
      <c r="H211" s="24">
        <v>0.65384615384615385</v>
      </c>
      <c r="I211" s="24">
        <v>1</v>
      </c>
      <c r="J211" s="24">
        <v>0</v>
      </c>
      <c r="K211" s="24">
        <v>1</v>
      </c>
      <c r="L211" s="23" t="s">
        <v>995</v>
      </c>
      <c r="M211" s="25">
        <v>258</v>
      </c>
      <c r="N211" s="25">
        <v>3</v>
      </c>
    </row>
    <row r="212" spans="1:14">
      <c r="A212" s="23" t="s">
        <v>244</v>
      </c>
      <c r="B212" s="23" t="s">
        <v>254</v>
      </c>
      <c r="C212" s="23" t="s">
        <v>990</v>
      </c>
      <c r="D212" s="23" t="s">
        <v>1337</v>
      </c>
      <c r="E212" s="23" t="s">
        <v>1338</v>
      </c>
      <c r="F212" s="25">
        <v>174</v>
      </c>
      <c r="G212" s="25">
        <v>157</v>
      </c>
      <c r="H212" s="24">
        <v>0.9022988505747126</v>
      </c>
      <c r="I212" s="24">
        <v>1</v>
      </c>
      <c r="J212" s="24">
        <v>0.2</v>
      </c>
      <c r="K212" s="24">
        <v>0</v>
      </c>
      <c r="L212" s="23" t="s">
        <v>1010</v>
      </c>
      <c r="M212" s="25">
        <v>17402</v>
      </c>
      <c r="N212" s="25">
        <v>1</v>
      </c>
    </row>
    <row r="213" spans="1:14">
      <c r="A213" s="23" t="s">
        <v>244</v>
      </c>
      <c r="B213" s="23" t="s">
        <v>254</v>
      </c>
      <c r="C213" s="23" t="s">
        <v>990</v>
      </c>
      <c r="D213" s="23" t="s">
        <v>875</v>
      </c>
      <c r="E213" s="23" t="s">
        <v>876</v>
      </c>
      <c r="F213" s="25">
        <v>174</v>
      </c>
      <c r="G213" s="25">
        <v>147</v>
      </c>
      <c r="H213" s="24">
        <v>0.84482758620689657</v>
      </c>
      <c r="I213" s="24">
        <v>1</v>
      </c>
      <c r="J213" s="24">
        <v>0.96153846153846156</v>
      </c>
      <c r="K213" s="24">
        <v>1.3605442176870748E-2</v>
      </c>
      <c r="L213" s="23" t="s">
        <v>991</v>
      </c>
      <c r="M213" s="25">
        <v>23638</v>
      </c>
      <c r="N213" s="25">
        <v>2</v>
      </c>
    </row>
    <row r="214" spans="1:14">
      <c r="A214" s="23" t="s">
        <v>244</v>
      </c>
      <c r="B214" s="23" t="s">
        <v>254</v>
      </c>
      <c r="C214" s="23" t="s">
        <v>990</v>
      </c>
      <c r="D214" s="23" t="s">
        <v>1339</v>
      </c>
      <c r="E214" s="23" t="s">
        <v>1340</v>
      </c>
      <c r="F214" s="25">
        <v>174</v>
      </c>
      <c r="G214" s="25">
        <v>147</v>
      </c>
      <c r="H214" s="24">
        <v>0.84482758620689657</v>
      </c>
      <c r="I214" s="24">
        <v>0.99575180226570548</v>
      </c>
      <c r="J214" s="24">
        <v>0.69565217391304346</v>
      </c>
      <c r="K214" s="24">
        <v>0</v>
      </c>
      <c r="L214" s="23" t="s">
        <v>1010</v>
      </c>
      <c r="M214" s="25">
        <v>7735</v>
      </c>
      <c r="N214" s="25">
        <v>3</v>
      </c>
    </row>
    <row r="215" spans="1:14">
      <c r="A215" s="23" t="s">
        <v>244</v>
      </c>
      <c r="B215" s="23" t="s">
        <v>254</v>
      </c>
      <c r="C215" s="23" t="s">
        <v>990</v>
      </c>
      <c r="D215" s="23" t="s">
        <v>1341</v>
      </c>
      <c r="E215" s="23" t="s">
        <v>1342</v>
      </c>
      <c r="F215" s="25">
        <v>174</v>
      </c>
      <c r="G215" s="25">
        <v>147</v>
      </c>
      <c r="H215" s="24">
        <v>0.84482758620689657</v>
      </c>
      <c r="I215" s="24">
        <v>0.99575180226570548</v>
      </c>
      <c r="J215" s="24">
        <v>0.69565217391304346</v>
      </c>
      <c r="K215" s="24">
        <v>0</v>
      </c>
      <c r="L215" s="23" t="s">
        <v>1010</v>
      </c>
      <c r="M215" s="25">
        <v>7735</v>
      </c>
      <c r="N215" s="25">
        <v>4</v>
      </c>
    </row>
    <row r="216" spans="1:14">
      <c r="A216" s="23" t="s">
        <v>244</v>
      </c>
      <c r="B216" s="23" t="s">
        <v>254</v>
      </c>
      <c r="C216" s="23" t="s">
        <v>994</v>
      </c>
      <c r="D216" s="23" t="s">
        <v>877</v>
      </c>
      <c r="E216" s="23" t="s">
        <v>878</v>
      </c>
      <c r="F216" s="25">
        <v>174</v>
      </c>
      <c r="G216" s="25">
        <v>146</v>
      </c>
      <c r="H216" s="24">
        <v>0.83908045977011492</v>
      </c>
      <c r="I216" s="24">
        <v>1</v>
      </c>
      <c r="J216" s="24">
        <v>0</v>
      </c>
      <c r="K216" s="24">
        <v>1</v>
      </c>
      <c r="L216" s="23" t="s">
        <v>995</v>
      </c>
      <c r="M216" s="25">
        <v>16096</v>
      </c>
      <c r="N216" s="25">
        <v>5</v>
      </c>
    </row>
    <row r="217" spans="1:14">
      <c r="A217" s="23" t="s">
        <v>244</v>
      </c>
      <c r="B217" s="23" t="s">
        <v>254</v>
      </c>
      <c r="C217" s="23" t="s">
        <v>990</v>
      </c>
      <c r="D217" s="23" t="s">
        <v>1343</v>
      </c>
      <c r="E217" s="23" t="s">
        <v>1344</v>
      </c>
      <c r="F217" s="25">
        <v>174</v>
      </c>
      <c r="G217" s="25">
        <v>144</v>
      </c>
      <c r="H217" s="24">
        <v>0.82758620689655171</v>
      </c>
      <c r="I217" s="24">
        <v>1</v>
      </c>
      <c r="J217" s="24">
        <v>0.75</v>
      </c>
      <c r="K217" s="24">
        <v>0</v>
      </c>
      <c r="L217" s="23" t="s">
        <v>991</v>
      </c>
      <c r="M217" s="25">
        <v>44374</v>
      </c>
      <c r="N217" s="25">
        <v>6</v>
      </c>
    </row>
    <row r="218" spans="1:14">
      <c r="A218" s="23" t="s">
        <v>244</v>
      </c>
      <c r="B218" s="23" t="s">
        <v>254</v>
      </c>
      <c r="C218" s="23" t="s">
        <v>994</v>
      </c>
      <c r="D218" s="23" t="s">
        <v>1345</v>
      </c>
      <c r="E218" s="23" t="s">
        <v>1346</v>
      </c>
      <c r="F218" s="25">
        <v>174</v>
      </c>
      <c r="G218" s="25">
        <v>142</v>
      </c>
      <c r="H218" s="24">
        <v>0.81609195402298851</v>
      </c>
      <c r="I218" s="24">
        <v>0.81038182956272919</v>
      </c>
      <c r="J218" s="24">
        <v>0</v>
      </c>
      <c r="K218" s="24">
        <v>1</v>
      </c>
      <c r="L218" s="23" t="s">
        <v>995</v>
      </c>
      <c r="M218" s="25">
        <v>18125</v>
      </c>
      <c r="N218" s="25">
        <v>7</v>
      </c>
    </row>
    <row r="219" spans="1:14">
      <c r="A219" s="23" t="s">
        <v>244</v>
      </c>
      <c r="B219" s="23" t="s">
        <v>254</v>
      </c>
      <c r="C219" s="23" t="s">
        <v>994</v>
      </c>
      <c r="D219" s="23" t="s">
        <v>1347</v>
      </c>
      <c r="E219" s="23" t="s">
        <v>1348</v>
      </c>
      <c r="F219" s="25">
        <v>174</v>
      </c>
      <c r="G219" s="25">
        <v>140</v>
      </c>
      <c r="H219" s="24">
        <v>0.8045977011494253</v>
      </c>
      <c r="I219" s="24">
        <v>0.64622110353050277</v>
      </c>
      <c r="J219" s="24">
        <v>0</v>
      </c>
      <c r="K219" s="24">
        <v>0.97142857142857142</v>
      </c>
      <c r="L219" s="23" t="s">
        <v>995</v>
      </c>
      <c r="M219" s="25">
        <v>9756</v>
      </c>
      <c r="N219" s="25">
        <v>8</v>
      </c>
    </row>
    <row r="220" spans="1:14">
      <c r="A220" s="23" t="s">
        <v>244</v>
      </c>
      <c r="B220" s="23" t="s">
        <v>254</v>
      </c>
      <c r="C220" s="23" t="s">
        <v>994</v>
      </c>
      <c r="D220" s="23" t="s">
        <v>865</v>
      </c>
      <c r="E220" s="23" t="s">
        <v>1349</v>
      </c>
      <c r="F220" s="25">
        <v>174</v>
      </c>
      <c r="G220" s="25">
        <v>139</v>
      </c>
      <c r="H220" s="24">
        <v>0.79885057471264365</v>
      </c>
      <c r="I220" s="24">
        <v>0.70929139242670314</v>
      </c>
      <c r="J220" s="24">
        <v>0</v>
      </c>
      <c r="K220" s="24">
        <v>1</v>
      </c>
      <c r="L220" s="23" t="s">
        <v>995</v>
      </c>
      <c r="M220" s="25">
        <v>8298</v>
      </c>
      <c r="N220" s="25">
        <v>9</v>
      </c>
    </row>
    <row r="221" spans="1:14">
      <c r="A221" s="23" t="s">
        <v>244</v>
      </c>
      <c r="B221" s="23" t="s">
        <v>254</v>
      </c>
      <c r="C221" s="23" t="s">
        <v>990</v>
      </c>
      <c r="D221" s="23" t="s">
        <v>865</v>
      </c>
      <c r="E221" s="23" t="s">
        <v>866</v>
      </c>
      <c r="F221" s="25">
        <v>174</v>
      </c>
      <c r="G221" s="25">
        <v>139</v>
      </c>
      <c r="H221" s="24">
        <v>0.79885057471264365</v>
      </c>
      <c r="I221" s="24">
        <v>0.70964504138206752</v>
      </c>
      <c r="J221" s="24">
        <v>0.91304347826086951</v>
      </c>
      <c r="K221" s="24">
        <v>0</v>
      </c>
      <c r="L221" s="23" t="s">
        <v>991</v>
      </c>
      <c r="M221" s="25">
        <v>83428</v>
      </c>
      <c r="N221" s="25">
        <v>10</v>
      </c>
    </row>
    <row r="222" spans="1:14">
      <c r="A222" s="23" t="s">
        <v>244</v>
      </c>
      <c r="B222" s="23" t="s">
        <v>254</v>
      </c>
      <c r="C222" s="23" t="s">
        <v>990</v>
      </c>
      <c r="D222" s="23" t="s">
        <v>1350</v>
      </c>
      <c r="E222" s="23" t="s">
        <v>1351</v>
      </c>
      <c r="F222" s="25">
        <v>174</v>
      </c>
      <c r="G222" s="25">
        <v>135</v>
      </c>
      <c r="H222" s="24">
        <v>0.77586206896551724</v>
      </c>
      <c r="I222" s="24">
        <v>1</v>
      </c>
      <c r="J222" s="24">
        <v>1</v>
      </c>
      <c r="K222" s="24">
        <v>0</v>
      </c>
      <c r="L222" s="23" t="s">
        <v>991</v>
      </c>
      <c r="M222" s="25">
        <v>210260</v>
      </c>
      <c r="N222" s="25">
        <v>11</v>
      </c>
    </row>
    <row r="223" spans="1:14">
      <c r="A223" s="23" t="s">
        <v>244</v>
      </c>
      <c r="B223" s="23" t="s">
        <v>254</v>
      </c>
      <c r="C223" s="23" t="s">
        <v>990</v>
      </c>
      <c r="D223" s="23" t="s">
        <v>1352</v>
      </c>
      <c r="E223" s="23" t="s">
        <v>1353</v>
      </c>
      <c r="F223" s="25">
        <v>174</v>
      </c>
      <c r="G223" s="25">
        <v>117</v>
      </c>
      <c r="H223" s="24">
        <v>0.67241379310344829</v>
      </c>
      <c r="I223" s="24">
        <v>0.69708535739070088</v>
      </c>
      <c r="J223" s="24">
        <v>0.95833333333333337</v>
      </c>
      <c r="K223" s="24">
        <v>0</v>
      </c>
      <c r="L223" s="23" t="s">
        <v>991</v>
      </c>
      <c r="M223" s="25">
        <v>2009</v>
      </c>
      <c r="N223" s="25">
        <v>12</v>
      </c>
    </row>
    <row r="224" spans="1:14">
      <c r="A224" s="23" t="s">
        <v>244</v>
      </c>
      <c r="B224" s="23" t="s">
        <v>254</v>
      </c>
      <c r="C224" s="23" t="s">
        <v>990</v>
      </c>
      <c r="D224" s="23" t="s">
        <v>1354</v>
      </c>
      <c r="E224" s="23" t="s">
        <v>1355</v>
      </c>
      <c r="F224" s="25">
        <v>174</v>
      </c>
      <c r="G224" s="25">
        <v>110</v>
      </c>
      <c r="H224" s="24">
        <v>0.63218390804597702</v>
      </c>
      <c r="I224" s="24">
        <v>1</v>
      </c>
      <c r="J224" s="24">
        <v>1</v>
      </c>
      <c r="K224" s="24">
        <v>0</v>
      </c>
      <c r="L224" s="23" t="s">
        <v>991</v>
      </c>
      <c r="M224" s="25">
        <v>537260</v>
      </c>
      <c r="N224" s="25">
        <v>13</v>
      </c>
    </row>
    <row r="225" spans="1:14">
      <c r="A225" s="23" t="s">
        <v>244</v>
      </c>
      <c r="B225" s="23" t="s">
        <v>254</v>
      </c>
      <c r="C225" s="23" t="s">
        <v>990</v>
      </c>
      <c r="D225" s="23" t="s">
        <v>1356</v>
      </c>
      <c r="E225" s="23" t="s">
        <v>1357</v>
      </c>
      <c r="F225" s="25">
        <v>174</v>
      </c>
      <c r="G225" s="25">
        <v>98</v>
      </c>
      <c r="H225" s="24">
        <v>0.56321839080459768</v>
      </c>
      <c r="I225" s="24">
        <v>0.94402420574886536</v>
      </c>
      <c r="J225" s="24">
        <v>0.29285714285714282</v>
      </c>
      <c r="K225" s="24">
        <v>0</v>
      </c>
      <c r="L225" s="23" t="s">
        <v>1010</v>
      </c>
      <c r="M225" s="25">
        <v>6240</v>
      </c>
      <c r="N225" s="25">
        <v>14</v>
      </c>
    </row>
    <row r="226" spans="1:14">
      <c r="A226" s="23" t="s">
        <v>244</v>
      </c>
      <c r="B226" s="23" t="s">
        <v>254</v>
      </c>
      <c r="C226" s="23" t="s">
        <v>990</v>
      </c>
      <c r="D226" s="23" t="s">
        <v>867</v>
      </c>
      <c r="E226" s="23" t="s">
        <v>868</v>
      </c>
      <c r="F226" s="25">
        <v>174</v>
      </c>
      <c r="G226" s="25">
        <v>97</v>
      </c>
      <c r="H226" s="24">
        <v>0.55747126436781613</v>
      </c>
      <c r="I226" s="24">
        <v>0.55790816326530612</v>
      </c>
      <c r="J226" s="24">
        <v>0.73913043478260865</v>
      </c>
      <c r="K226" s="24">
        <v>0</v>
      </c>
      <c r="L226" s="23" t="s">
        <v>991</v>
      </c>
      <c r="M226" s="25">
        <v>6561</v>
      </c>
      <c r="N226" s="25">
        <v>15</v>
      </c>
    </row>
    <row r="227" spans="1:14">
      <c r="A227" s="23" t="s">
        <v>244</v>
      </c>
      <c r="B227" s="23" t="s">
        <v>254</v>
      </c>
      <c r="C227" s="23" t="s">
        <v>994</v>
      </c>
      <c r="D227" s="23" t="s">
        <v>1358</v>
      </c>
      <c r="E227" s="23" t="s">
        <v>1359</v>
      </c>
      <c r="F227" s="25">
        <v>174</v>
      </c>
      <c r="G227" s="25">
        <v>96</v>
      </c>
      <c r="H227" s="24">
        <v>0.55172413793103448</v>
      </c>
      <c r="I227" s="24">
        <v>1</v>
      </c>
      <c r="J227" s="24">
        <v>0</v>
      </c>
      <c r="K227" s="24">
        <v>1</v>
      </c>
      <c r="L227" s="23" t="s">
        <v>995</v>
      </c>
      <c r="M227" s="25">
        <v>12297</v>
      </c>
      <c r="N227" s="25">
        <v>16</v>
      </c>
    </row>
    <row r="228" spans="1:14">
      <c r="A228" s="23" t="s">
        <v>244</v>
      </c>
      <c r="B228" s="23" t="s">
        <v>254</v>
      </c>
      <c r="C228" s="23" t="s">
        <v>990</v>
      </c>
      <c r="D228" s="23" t="s">
        <v>1360</v>
      </c>
      <c r="E228" s="23" t="s">
        <v>1361</v>
      </c>
      <c r="F228" s="25">
        <v>174</v>
      </c>
      <c r="G228" s="25">
        <v>93</v>
      </c>
      <c r="H228" s="24">
        <v>0.53448275862068961</v>
      </c>
      <c r="I228" s="24">
        <v>0.99825537018863808</v>
      </c>
      <c r="J228" s="24">
        <v>1</v>
      </c>
      <c r="K228" s="24">
        <v>0</v>
      </c>
      <c r="L228" s="23" t="s">
        <v>991</v>
      </c>
      <c r="M228" s="25">
        <v>45775</v>
      </c>
      <c r="N228" s="25">
        <v>17</v>
      </c>
    </row>
    <row r="229" spans="1:14">
      <c r="A229" s="23" t="s">
        <v>244</v>
      </c>
      <c r="B229" s="23" t="s">
        <v>254</v>
      </c>
      <c r="C229" s="23" t="s">
        <v>990</v>
      </c>
      <c r="D229" s="23" t="s">
        <v>1362</v>
      </c>
      <c r="E229" s="23" t="s">
        <v>1363</v>
      </c>
      <c r="F229" s="25">
        <v>174</v>
      </c>
      <c r="G229" s="25">
        <v>92</v>
      </c>
      <c r="H229" s="24">
        <v>0.52873563218390807</v>
      </c>
      <c r="I229" s="24">
        <v>0.66340721425467186</v>
      </c>
      <c r="J229" s="24">
        <v>1</v>
      </c>
      <c r="K229" s="24">
        <v>0</v>
      </c>
      <c r="L229" s="23" t="s">
        <v>991</v>
      </c>
      <c r="M229" s="25">
        <v>3053</v>
      </c>
      <c r="N229" s="25">
        <v>18</v>
      </c>
    </row>
    <row r="230" spans="1:14">
      <c r="A230" s="23" t="s">
        <v>244</v>
      </c>
      <c r="B230" s="23" t="s">
        <v>254</v>
      </c>
      <c r="C230" s="23" t="s">
        <v>990</v>
      </c>
      <c r="D230" s="23" t="s">
        <v>1364</v>
      </c>
      <c r="E230" s="23" t="s">
        <v>1365</v>
      </c>
      <c r="F230" s="25">
        <v>174</v>
      </c>
      <c r="G230" s="25">
        <v>81</v>
      </c>
      <c r="H230" s="24">
        <v>0.46551724137931033</v>
      </c>
      <c r="I230" s="24">
        <v>0.57147685028725925</v>
      </c>
      <c r="J230" s="24">
        <v>1</v>
      </c>
      <c r="K230" s="24">
        <v>0</v>
      </c>
      <c r="L230" s="23" t="s">
        <v>991</v>
      </c>
      <c r="M230" s="25">
        <v>1691</v>
      </c>
      <c r="N230" s="25">
        <v>19</v>
      </c>
    </row>
    <row r="231" spans="1:14">
      <c r="A231" s="23" t="s">
        <v>244</v>
      </c>
      <c r="B231" s="23" t="s">
        <v>254</v>
      </c>
      <c r="C231" s="23" t="s">
        <v>990</v>
      </c>
      <c r="D231" s="23" t="s">
        <v>1366</v>
      </c>
      <c r="E231" s="23" t="s">
        <v>1367</v>
      </c>
      <c r="F231" s="25">
        <v>174</v>
      </c>
      <c r="G231" s="25">
        <v>52</v>
      </c>
      <c r="H231" s="24">
        <v>0.2988505747126437</v>
      </c>
      <c r="I231" s="24">
        <v>1</v>
      </c>
      <c r="J231" s="24">
        <v>1</v>
      </c>
      <c r="K231" s="24">
        <v>0</v>
      </c>
      <c r="L231" s="23" t="s">
        <v>991</v>
      </c>
      <c r="M231" s="25">
        <v>2617</v>
      </c>
      <c r="N231" s="25">
        <v>20</v>
      </c>
    </row>
    <row r="232" spans="1:14">
      <c r="A232" s="23" t="s">
        <v>244</v>
      </c>
      <c r="B232" s="23" t="s">
        <v>254</v>
      </c>
      <c r="C232" s="23" t="s">
        <v>990</v>
      </c>
      <c r="D232" s="23" t="s">
        <v>1368</v>
      </c>
      <c r="E232" s="23" t="s">
        <v>1369</v>
      </c>
      <c r="F232" s="25">
        <v>174</v>
      </c>
      <c r="G232" s="25">
        <v>33</v>
      </c>
      <c r="H232" s="24">
        <v>0.18965517241379309</v>
      </c>
      <c r="I232" s="24">
        <v>1</v>
      </c>
      <c r="J232" s="24">
        <v>0.36666666666666664</v>
      </c>
      <c r="K232" s="24">
        <v>0</v>
      </c>
      <c r="L232" s="23" t="s">
        <v>1010</v>
      </c>
      <c r="M232" s="25">
        <v>2262</v>
      </c>
      <c r="N232" s="25">
        <v>21</v>
      </c>
    </row>
    <row r="233" spans="1:14">
      <c r="A233" s="23" t="s">
        <v>244</v>
      </c>
      <c r="B233" s="23" t="s">
        <v>254</v>
      </c>
      <c r="C233" s="23" t="s">
        <v>994</v>
      </c>
      <c r="D233" s="23" t="s">
        <v>1370</v>
      </c>
      <c r="E233" s="23" t="s">
        <v>1371</v>
      </c>
      <c r="F233" s="25">
        <v>174</v>
      </c>
      <c r="G233" s="25">
        <v>28</v>
      </c>
      <c r="H233" s="24">
        <v>0.16091954022988506</v>
      </c>
      <c r="I233" s="24">
        <v>0.80929095354523228</v>
      </c>
      <c r="J233" s="24">
        <v>0</v>
      </c>
      <c r="K233" s="24">
        <v>0.9285714285714286</v>
      </c>
      <c r="L233" s="23" t="s">
        <v>995</v>
      </c>
      <c r="M233" s="25">
        <v>331</v>
      </c>
      <c r="N233" s="25">
        <v>22</v>
      </c>
    </row>
    <row r="234" spans="1:14">
      <c r="A234" s="23" t="s">
        <v>244</v>
      </c>
      <c r="B234" s="23" t="s">
        <v>254</v>
      </c>
      <c r="C234" s="23" t="s">
        <v>990</v>
      </c>
      <c r="D234" s="23" t="s">
        <v>1372</v>
      </c>
      <c r="E234" s="23" t="s">
        <v>1373</v>
      </c>
      <c r="F234" s="25">
        <v>174</v>
      </c>
      <c r="G234" s="25">
        <v>23</v>
      </c>
      <c r="H234" s="24">
        <v>0.13218390804597702</v>
      </c>
      <c r="I234" s="24">
        <v>0.95348837209302328</v>
      </c>
      <c r="J234" s="24">
        <v>0.625</v>
      </c>
      <c r="K234" s="24">
        <v>0</v>
      </c>
      <c r="L234" s="23" t="s">
        <v>1010</v>
      </c>
      <c r="M234" s="25">
        <v>1558</v>
      </c>
      <c r="N234" s="25">
        <v>23</v>
      </c>
    </row>
    <row r="235" spans="1:14">
      <c r="A235" s="23" t="s">
        <v>244</v>
      </c>
      <c r="B235" s="23" t="s">
        <v>248</v>
      </c>
      <c r="C235" s="23" t="s">
        <v>994</v>
      </c>
      <c r="D235" s="23" t="s">
        <v>871</v>
      </c>
      <c r="E235" s="23" t="s">
        <v>872</v>
      </c>
      <c r="F235" s="25">
        <v>42</v>
      </c>
      <c r="G235" s="25">
        <v>42</v>
      </c>
      <c r="H235" s="24">
        <v>1</v>
      </c>
      <c r="I235" s="24">
        <v>1</v>
      </c>
      <c r="J235" s="24">
        <v>0</v>
      </c>
      <c r="K235" s="24">
        <v>1</v>
      </c>
      <c r="L235" s="23" t="s">
        <v>995</v>
      </c>
      <c r="M235" s="25">
        <v>3730</v>
      </c>
      <c r="N235" s="25">
        <v>1</v>
      </c>
    </row>
    <row r="236" spans="1:14">
      <c r="A236" s="23" t="s">
        <v>244</v>
      </c>
      <c r="B236" s="23" t="s">
        <v>248</v>
      </c>
      <c r="C236" s="23" t="s">
        <v>994</v>
      </c>
      <c r="D236" s="23" t="s">
        <v>1374</v>
      </c>
      <c r="E236" s="23" t="s">
        <v>1375</v>
      </c>
      <c r="F236" s="25">
        <v>42</v>
      </c>
      <c r="G236" s="25">
        <v>42</v>
      </c>
      <c r="H236" s="24">
        <v>1</v>
      </c>
      <c r="I236" s="24">
        <v>1</v>
      </c>
      <c r="J236" s="24">
        <v>0</v>
      </c>
      <c r="K236" s="24">
        <v>1</v>
      </c>
      <c r="L236" s="23" t="s">
        <v>995</v>
      </c>
      <c r="M236" s="25">
        <v>3371</v>
      </c>
      <c r="N236" s="25">
        <v>2</v>
      </c>
    </row>
    <row r="237" spans="1:14">
      <c r="A237" s="23" t="s">
        <v>244</v>
      </c>
      <c r="B237" s="23" t="s">
        <v>248</v>
      </c>
      <c r="C237" s="23" t="s">
        <v>994</v>
      </c>
      <c r="D237" s="23" t="s">
        <v>1376</v>
      </c>
      <c r="E237" s="23" t="s">
        <v>1377</v>
      </c>
      <c r="F237" s="25">
        <v>42</v>
      </c>
      <c r="G237" s="25">
        <v>35</v>
      </c>
      <c r="H237" s="24">
        <v>0.83333333333333337</v>
      </c>
      <c r="I237" s="24">
        <v>0.98731501057082449</v>
      </c>
      <c r="J237" s="24">
        <v>0</v>
      </c>
      <c r="K237" s="24">
        <v>0.94285714285714284</v>
      </c>
      <c r="L237" s="23" t="s">
        <v>995</v>
      </c>
      <c r="M237" s="25">
        <v>934</v>
      </c>
      <c r="N237" s="25">
        <v>3</v>
      </c>
    </row>
    <row r="238" spans="1:14">
      <c r="A238" s="23" t="s">
        <v>244</v>
      </c>
      <c r="B238" s="23" t="s">
        <v>245</v>
      </c>
      <c r="C238" s="23" t="s">
        <v>994</v>
      </c>
      <c r="D238" s="23" t="s">
        <v>869</v>
      </c>
      <c r="E238" s="23" t="s">
        <v>870</v>
      </c>
      <c r="F238" s="25">
        <v>77</v>
      </c>
      <c r="G238" s="25">
        <v>77</v>
      </c>
      <c r="H238" s="24">
        <v>1</v>
      </c>
      <c r="I238" s="24">
        <v>1</v>
      </c>
      <c r="J238" s="24">
        <v>0</v>
      </c>
      <c r="K238" s="24">
        <v>1</v>
      </c>
      <c r="L238" s="23" t="s">
        <v>995</v>
      </c>
      <c r="M238" s="25">
        <v>8769</v>
      </c>
      <c r="N238" s="25">
        <v>1</v>
      </c>
    </row>
    <row r="239" spans="1:14">
      <c r="A239" s="23" t="s">
        <v>244</v>
      </c>
      <c r="B239" s="23" t="s">
        <v>245</v>
      </c>
      <c r="C239" s="23" t="s">
        <v>994</v>
      </c>
      <c r="D239" s="23" t="s">
        <v>1378</v>
      </c>
      <c r="E239" s="23" t="s">
        <v>1379</v>
      </c>
      <c r="F239" s="25">
        <v>77</v>
      </c>
      <c r="G239" s="25">
        <v>74</v>
      </c>
      <c r="H239" s="24">
        <v>0.96103896103896103</v>
      </c>
      <c r="I239" s="24">
        <v>1</v>
      </c>
      <c r="J239" s="24">
        <v>0</v>
      </c>
      <c r="K239" s="24">
        <v>1</v>
      </c>
      <c r="L239" s="23" t="s">
        <v>995</v>
      </c>
      <c r="M239" s="25">
        <v>2726</v>
      </c>
      <c r="N239" s="25">
        <v>2</v>
      </c>
    </row>
    <row r="240" spans="1:14">
      <c r="A240" s="23" t="s">
        <v>244</v>
      </c>
      <c r="B240" s="23" t="s">
        <v>245</v>
      </c>
      <c r="C240" s="23" t="s">
        <v>994</v>
      </c>
      <c r="D240" s="23" t="s">
        <v>1380</v>
      </c>
      <c r="E240" s="23" t="s">
        <v>1381</v>
      </c>
      <c r="F240" s="25">
        <v>77</v>
      </c>
      <c r="G240" s="25">
        <v>74</v>
      </c>
      <c r="H240" s="24">
        <v>0.96103896103896103</v>
      </c>
      <c r="I240" s="24">
        <v>0.63213714949876509</v>
      </c>
      <c r="J240" s="24">
        <v>0</v>
      </c>
      <c r="K240" s="24">
        <v>0.97297297297297303</v>
      </c>
      <c r="L240" s="23" t="s">
        <v>995</v>
      </c>
      <c r="M240" s="25">
        <v>4351</v>
      </c>
      <c r="N240" s="25">
        <v>3</v>
      </c>
    </row>
    <row r="241" spans="1:14">
      <c r="A241" s="23" t="s">
        <v>244</v>
      </c>
      <c r="B241" s="23" t="s">
        <v>245</v>
      </c>
      <c r="C241" s="23" t="s">
        <v>994</v>
      </c>
      <c r="D241" s="23" t="s">
        <v>1382</v>
      </c>
      <c r="E241" s="23" t="s">
        <v>1383</v>
      </c>
      <c r="F241" s="25">
        <v>77</v>
      </c>
      <c r="G241" s="25">
        <v>71</v>
      </c>
      <c r="H241" s="24">
        <v>0.92207792207792205</v>
      </c>
      <c r="I241" s="24">
        <v>1</v>
      </c>
      <c r="J241" s="24">
        <v>0</v>
      </c>
      <c r="K241" s="24">
        <v>0.971830985915493</v>
      </c>
      <c r="L241" s="23" t="s">
        <v>995</v>
      </c>
      <c r="M241" s="25">
        <v>14712</v>
      </c>
      <c r="N241" s="25">
        <v>4</v>
      </c>
    </row>
    <row r="242" spans="1:14">
      <c r="A242" s="23" t="s">
        <v>244</v>
      </c>
      <c r="B242" s="23" t="s">
        <v>245</v>
      </c>
      <c r="C242" s="23" t="s">
        <v>994</v>
      </c>
      <c r="D242" s="23" t="s">
        <v>1384</v>
      </c>
      <c r="E242" s="23" t="s">
        <v>1385</v>
      </c>
      <c r="F242" s="25">
        <v>77</v>
      </c>
      <c r="G242" s="25">
        <v>62</v>
      </c>
      <c r="H242" s="24">
        <v>0.80519480519480524</v>
      </c>
      <c r="I242" s="24">
        <v>0.728428093645485</v>
      </c>
      <c r="J242" s="24">
        <v>0</v>
      </c>
      <c r="K242" s="24">
        <v>0.83870967741935487</v>
      </c>
      <c r="L242" s="23" t="s">
        <v>995</v>
      </c>
      <c r="M242" s="25">
        <v>2178</v>
      </c>
      <c r="N242" s="25">
        <v>5</v>
      </c>
    </row>
    <row r="243" spans="1:14">
      <c r="A243" s="23" t="s">
        <v>244</v>
      </c>
      <c r="B243" s="23" t="s">
        <v>245</v>
      </c>
      <c r="C243" s="23" t="s">
        <v>994</v>
      </c>
      <c r="D243" s="23" t="s">
        <v>1386</v>
      </c>
      <c r="E243" s="23" t="s">
        <v>1387</v>
      </c>
      <c r="F243" s="25">
        <v>77</v>
      </c>
      <c r="G243" s="25">
        <v>47</v>
      </c>
      <c r="H243" s="24">
        <v>0.61038961038961037</v>
      </c>
      <c r="I243" s="24">
        <v>1</v>
      </c>
      <c r="J243" s="24">
        <v>0</v>
      </c>
      <c r="K243" s="24">
        <v>1</v>
      </c>
      <c r="L243" s="23" t="s">
        <v>995</v>
      </c>
      <c r="M243" s="25">
        <v>3420</v>
      </c>
      <c r="N243" s="25">
        <v>6</v>
      </c>
    </row>
    <row r="244" spans="1:14">
      <c r="A244" s="23" t="s">
        <v>244</v>
      </c>
      <c r="B244" s="23" t="s">
        <v>245</v>
      </c>
      <c r="C244" s="23" t="s">
        <v>990</v>
      </c>
      <c r="D244" s="23" t="s">
        <v>1388</v>
      </c>
      <c r="E244" s="23" t="s">
        <v>1389</v>
      </c>
      <c r="F244" s="25">
        <v>77</v>
      </c>
      <c r="G244" s="25">
        <v>23</v>
      </c>
      <c r="H244" s="24">
        <v>0.29870129870129869</v>
      </c>
      <c r="I244" s="24">
        <v>1</v>
      </c>
      <c r="J244" s="24">
        <v>1</v>
      </c>
      <c r="K244" s="24">
        <v>0</v>
      </c>
      <c r="L244" s="23" t="s">
        <v>991</v>
      </c>
      <c r="M244" s="25">
        <v>1206</v>
      </c>
      <c r="N244" s="25">
        <v>7</v>
      </c>
    </row>
    <row r="245" spans="1:14">
      <c r="A245" s="23" t="s">
        <v>244</v>
      </c>
      <c r="B245" s="23" t="s">
        <v>245</v>
      </c>
      <c r="C245" s="23" t="s">
        <v>994</v>
      </c>
      <c r="D245" s="23" t="s">
        <v>1390</v>
      </c>
      <c r="E245" s="23" t="s">
        <v>1391</v>
      </c>
      <c r="F245" s="25">
        <v>77</v>
      </c>
      <c r="G245" s="25">
        <v>22</v>
      </c>
      <c r="H245" s="24">
        <v>0.2857142857142857</v>
      </c>
      <c r="I245" s="24">
        <v>1</v>
      </c>
      <c r="J245" s="24">
        <v>0</v>
      </c>
      <c r="K245" s="24">
        <v>1</v>
      </c>
      <c r="L245" s="23" t="s">
        <v>995</v>
      </c>
      <c r="M245" s="25">
        <v>749</v>
      </c>
      <c r="N245" s="25">
        <v>8</v>
      </c>
    </row>
    <row r="246" spans="1:14">
      <c r="A246" s="23" t="s">
        <v>244</v>
      </c>
      <c r="B246" s="23" t="s">
        <v>245</v>
      </c>
      <c r="C246" s="23" t="s">
        <v>994</v>
      </c>
      <c r="D246" s="23" t="s">
        <v>1392</v>
      </c>
      <c r="E246" s="23" t="s">
        <v>1393</v>
      </c>
      <c r="F246" s="25">
        <v>77</v>
      </c>
      <c r="G246" s="25">
        <v>19</v>
      </c>
      <c r="H246" s="24">
        <v>0.24675324675324675</v>
      </c>
      <c r="I246" s="24">
        <v>1</v>
      </c>
      <c r="J246" s="24">
        <v>0</v>
      </c>
      <c r="K246" s="24">
        <v>1</v>
      </c>
      <c r="L246" s="23" t="s">
        <v>995</v>
      </c>
      <c r="M246" s="25">
        <v>1664</v>
      </c>
      <c r="N246" s="25">
        <v>9</v>
      </c>
    </row>
    <row r="247" spans="1:14">
      <c r="A247" s="23" t="s">
        <v>244</v>
      </c>
      <c r="B247" s="23" t="s">
        <v>245</v>
      </c>
      <c r="C247" s="23" t="s">
        <v>994</v>
      </c>
      <c r="D247" s="23" t="s">
        <v>1394</v>
      </c>
      <c r="E247" s="23" t="s">
        <v>1395</v>
      </c>
      <c r="F247" s="25">
        <v>77</v>
      </c>
      <c r="G247" s="25">
        <v>17</v>
      </c>
      <c r="H247" s="24">
        <v>0.22077922077922077</v>
      </c>
      <c r="I247" s="24">
        <v>1</v>
      </c>
      <c r="J247" s="24">
        <v>0</v>
      </c>
      <c r="K247" s="24">
        <v>1</v>
      </c>
      <c r="L247" s="23" t="s">
        <v>995</v>
      </c>
      <c r="M247" s="25">
        <v>635</v>
      </c>
      <c r="N247" s="25">
        <v>10</v>
      </c>
    </row>
    <row r="248" spans="1:14">
      <c r="A248" s="23" t="s">
        <v>244</v>
      </c>
      <c r="B248" s="23" t="s">
        <v>245</v>
      </c>
      <c r="C248" s="23" t="s">
        <v>994</v>
      </c>
      <c r="D248" s="23" t="s">
        <v>1396</v>
      </c>
      <c r="E248" s="23" t="s">
        <v>1397</v>
      </c>
      <c r="F248" s="25">
        <v>77</v>
      </c>
      <c r="G248" s="25">
        <v>11</v>
      </c>
      <c r="H248" s="24">
        <v>0.14285714285714285</v>
      </c>
      <c r="I248" s="24">
        <v>1</v>
      </c>
      <c r="J248" s="24">
        <v>0</v>
      </c>
      <c r="K248" s="24">
        <v>1</v>
      </c>
      <c r="L248" s="23" t="s">
        <v>995</v>
      </c>
      <c r="M248" s="25">
        <v>97</v>
      </c>
      <c r="N248" s="25">
        <v>11</v>
      </c>
    </row>
    <row r="249" spans="1:14">
      <c r="A249" s="23" t="s">
        <v>244</v>
      </c>
      <c r="B249" s="23" t="s">
        <v>245</v>
      </c>
      <c r="C249" s="23" t="s">
        <v>994</v>
      </c>
      <c r="D249" s="23" t="s">
        <v>1398</v>
      </c>
      <c r="E249" s="23" t="s">
        <v>1399</v>
      </c>
      <c r="F249" s="25">
        <v>77</v>
      </c>
      <c r="G249" s="25">
        <v>10</v>
      </c>
      <c r="H249" s="24">
        <v>0.12987012987012986</v>
      </c>
      <c r="I249" s="24">
        <v>0.54545454545454541</v>
      </c>
      <c r="J249" s="24">
        <v>0</v>
      </c>
      <c r="K249" s="24">
        <v>1</v>
      </c>
      <c r="L249" s="23" t="s">
        <v>995</v>
      </c>
      <c r="M249" s="25">
        <v>120</v>
      </c>
      <c r="N249" s="25">
        <v>12</v>
      </c>
    </row>
    <row r="250" spans="1:14">
      <c r="A250" s="23" t="s">
        <v>267</v>
      </c>
      <c r="B250" s="23" t="s">
        <v>270</v>
      </c>
      <c r="C250" s="23" t="s">
        <v>994</v>
      </c>
      <c r="D250" s="23" t="s">
        <v>901</v>
      </c>
      <c r="E250" s="23" t="s">
        <v>902</v>
      </c>
      <c r="F250" s="25">
        <v>61</v>
      </c>
      <c r="G250" s="25">
        <v>51</v>
      </c>
      <c r="H250" s="24">
        <v>0.83606557377049184</v>
      </c>
      <c r="I250" s="24">
        <v>0.99826212889210719</v>
      </c>
      <c r="J250" s="24">
        <v>0</v>
      </c>
      <c r="K250" s="24">
        <v>0.88235294117647056</v>
      </c>
      <c r="L250" s="23" t="s">
        <v>995</v>
      </c>
      <c r="M250" s="25">
        <v>6893</v>
      </c>
      <c r="N250" s="25">
        <v>1</v>
      </c>
    </row>
    <row r="251" spans="1:14">
      <c r="A251" s="23" t="s">
        <v>267</v>
      </c>
      <c r="B251" s="23" t="s">
        <v>270</v>
      </c>
      <c r="C251" s="23" t="s">
        <v>994</v>
      </c>
      <c r="D251" s="23" t="s">
        <v>1400</v>
      </c>
      <c r="E251" s="23" t="s">
        <v>1401</v>
      </c>
      <c r="F251" s="25">
        <v>61</v>
      </c>
      <c r="G251" s="25">
        <v>32</v>
      </c>
      <c r="H251" s="24">
        <v>0.52459016393442626</v>
      </c>
      <c r="I251" s="24">
        <v>1</v>
      </c>
      <c r="J251" s="24">
        <v>0</v>
      </c>
      <c r="K251" s="24">
        <v>1</v>
      </c>
      <c r="L251" s="23" t="s">
        <v>995</v>
      </c>
      <c r="M251" s="25">
        <v>4844</v>
      </c>
      <c r="N251" s="25">
        <v>2</v>
      </c>
    </row>
    <row r="252" spans="1:14">
      <c r="A252" s="23" t="s">
        <v>267</v>
      </c>
      <c r="B252" s="23" t="s">
        <v>268</v>
      </c>
      <c r="C252" s="23" t="s">
        <v>990</v>
      </c>
      <c r="D252" s="23" t="s">
        <v>897</v>
      </c>
      <c r="E252" s="23" t="s">
        <v>898</v>
      </c>
      <c r="F252" s="25">
        <v>128</v>
      </c>
      <c r="G252" s="25">
        <v>122</v>
      </c>
      <c r="H252" s="24">
        <v>0.953125</v>
      </c>
      <c r="I252" s="24">
        <v>0.9850768251563593</v>
      </c>
      <c r="J252" s="24">
        <v>1</v>
      </c>
      <c r="K252" s="24">
        <v>0</v>
      </c>
      <c r="L252" s="23" t="s">
        <v>991</v>
      </c>
      <c r="M252" s="25">
        <v>187270</v>
      </c>
      <c r="N252" s="25">
        <v>1</v>
      </c>
    </row>
    <row r="253" spans="1:14">
      <c r="A253" s="23" t="s">
        <v>267</v>
      </c>
      <c r="B253" s="23" t="s">
        <v>268</v>
      </c>
      <c r="C253" s="23" t="s">
        <v>990</v>
      </c>
      <c r="D253" s="23" t="s">
        <v>1402</v>
      </c>
      <c r="E253" s="23" t="s">
        <v>1403</v>
      </c>
      <c r="F253" s="25">
        <v>128</v>
      </c>
      <c r="G253" s="25">
        <v>122</v>
      </c>
      <c r="H253" s="24">
        <v>0.953125</v>
      </c>
      <c r="I253" s="24">
        <v>0.98290598290598286</v>
      </c>
      <c r="J253" s="24">
        <v>0.33333333333333331</v>
      </c>
      <c r="K253" s="24">
        <v>0</v>
      </c>
      <c r="L253" s="23" t="s">
        <v>1010</v>
      </c>
      <c r="M253" s="25">
        <v>7015</v>
      </c>
      <c r="N253" s="25">
        <v>2</v>
      </c>
    </row>
    <row r="254" spans="1:14">
      <c r="A254" s="23" t="s">
        <v>267</v>
      </c>
      <c r="B254" s="23" t="s">
        <v>268</v>
      </c>
      <c r="C254" s="23" t="s">
        <v>990</v>
      </c>
      <c r="D254" s="23" t="s">
        <v>1404</v>
      </c>
      <c r="E254" s="23" t="s">
        <v>1405</v>
      </c>
      <c r="F254" s="25">
        <v>128</v>
      </c>
      <c r="G254" s="25">
        <v>120</v>
      </c>
      <c r="H254" s="24">
        <v>0.9375</v>
      </c>
      <c r="I254" s="24">
        <v>0.97527148816916653</v>
      </c>
      <c r="J254" s="24">
        <v>0.95346320346320346</v>
      </c>
      <c r="K254" s="24">
        <v>0</v>
      </c>
      <c r="L254" s="23" t="s">
        <v>991</v>
      </c>
      <c r="M254" s="25">
        <v>61249</v>
      </c>
      <c r="N254" s="25">
        <v>3</v>
      </c>
    </row>
    <row r="255" spans="1:14">
      <c r="A255" s="23" t="s">
        <v>267</v>
      </c>
      <c r="B255" s="23" t="s">
        <v>268</v>
      </c>
      <c r="C255" s="23" t="s">
        <v>990</v>
      </c>
      <c r="D255" s="23" t="s">
        <v>1406</v>
      </c>
      <c r="E255" s="23" t="s">
        <v>1407</v>
      </c>
      <c r="F255" s="25">
        <v>128</v>
      </c>
      <c r="G255" s="25">
        <v>120</v>
      </c>
      <c r="H255" s="24">
        <v>0.9375</v>
      </c>
      <c r="I255" s="24">
        <v>0.97446910045335244</v>
      </c>
      <c r="J255" s="24">
        <v>0.52116402116402116</v>
      </c>
      <c r="K255" s="24">
        <v>0</v>
      </c>
      <c r="L255" s="23" t="s">
        <v>1010</v>
      </c>
      <c r="M255" s="25">
        <v>8168</v>
      </c>
      <c r="N255" s="25">
        <v>4</v>
      </c>
    </row>
    <row r="256" spans="1:14">
      <c r="A256" s="23" t="s">
        <v>267</v>
      </c>
      <c r="B256" s="23" t="s">
        <v>268</v>
      </c>
      <c r="C256" s="23" t="s">
        <v>990</v>
      </c>
      <c r="D256" s="23" t="s">
        <v>1408</v>
      </c>
      <c r="E256" s="23" t="s">
        <v>1409</v>
      </c>
      <c r="F256" s="25">
        <v>128</v>
      </c>
      <c r="G256" s="25">
        <v>68</v>
      </c>
      <c r="H256" s="24">
        <v>0.53125</v>
      </c>
      <c r="I256" s="24">
        <v>1</v>
      </c>
      <c r="J256" s="24">
        <v>0.36749999999999999</v>
      </c>
      <c r="K256" s="24">
        <v>0</v>
      </c>
      <c r="L256" s="23" t="s">
        <v>1010</v>
      </c>
      <c r="M256" s="25">
        <v>8303</v>
      </c>
      <c r="N256" s="25">
        <v>5</v>
      </c>
    </row>
    <row r="257" spans="1:14">
      <c r="A257" s="23" t="s">
        <v>267</v>
      </c>
      <c r="B257" s="23" t="s">
        <v>268</v>
      </c>
      <c r="C257" s="23" t="s">
        <v>990</v>
      </c>
      <c r="D257" s="23" t="s">
        <v>1410</v>
      </c>
      <c r="E257" s="23" t="s">
        <v>1411</v>
      </c>
      <c r="F257" s="25">
        <v>128</v>
      </c>
      <c r="G257" s="25">
        <v>44</v>
      </c>
      <c r="H257" s="24">
        <v>0.34375</v>
      </c>
      <c r="I257" s="24">
        <v>0.70853371282755917</v>
      </c>
      <c r="J257" s="24">
        <v>0.61405835543766574</v>
      </c>
      <c r="K257" s="24">
        <v>0</v>
      </c>
      <c r="L257" s="23" t="s">
        <v>1010</v>
      </c>
      <c r="M257" s="25">
        <v>28877</v>
      </c>
      <c r="N257" s="25">
        <v>6</v>
      </c>
    </row>
    <row r="258" spans="1:14">
      <c r="A258" s="23" t="s">
        <v>267</v>
      </c>
      <c r="B258" s="23" t="s">
        <v>268</v>
      </c>
      <c r="C258" s="23" t="s">
        <v>990</v>
      </c>
      <c r="D258" s="23" t="s">
        <v>1412</v>
      </c>
      <c r="E258" s="23" t="s">
        <v>1413</v>
      </c>
      <c r="F258" s="25">
        <v>128</v>
      </c>
      <c r="G258" s="25">
        <v>17</v>
      </c>
      <c r="H258" s="24">
        <v>0.1328125</v>
      </c>
      <c r="I258" s="24">
        <v>1</v>
      </c>
      <c r="J258" s="24">
        <v>1</v>
      </c>
      <c r="K258" s="24">
        <v>0</v>
      </c>
      <c r="L258" s="23" t="s">
        <v>991</v>
      </c>
      <c r="M258" s="25">
        <v>9970</v>
      </c>
      <c r="N258" s="25">
        <v>7</v>
      </c>
    </row>
    <row r="259" spans="1:14">
      <c r="A259" s="23" t="s">
        <v>267</v>
      </c>
      <c r="B259" s="23" t="s">
        <v>268</v>
      </c>
      <c r="C259" s="23" t="s">
        <v>990</v>
      </c>
      <c r="D259" s="23" t="s">
        <v>1414</v>
      </c>
      <c r="E259" s="23" t="s">
        <v>1415</v>
      </c>
      <c r="F259" s="25">
        <v>128</v>
      </c>
      <c r="G259" s="25">
        <v>13</v>
      </c>
      <c r="H259" s="24">
        <v>0.1015625</v>
      </c>
      <c r="I259" s="24">
        <v>0.76205787781350487</v>
      </c>
      <c r="J259" s="24">
        <v>0.52</v>
      </c>
      <c r="K259" s="24">
        <v>0</v>
      </c>
      <c r="L259" s="23" t="s">
        <v>1010</v>
      </c>
      <c r="M259" s="25">
        <v>474</v>
      </c>
      <c r="N259" s="25">
        <v>8</v>
      </c>
    </row>
    <row r="260" spans="1:14">
      <c r="A260" s="23" t="s">
        <v>267</v>
      </c>
      <c r="B260" s="23" t="s">
        <v>273</v>
      </c>
      <c r="C260" s="23" t="s">
        <v>994</v>
      </c>
      <c r="D260" s="23" t="s">
        <v>903</v>
      </c>
      <c r="E260" s="23" t="s">
        <v>904</v>
      </c>
      <c r="F260" s="25">
        <v>61</v>
      </c>
      <c r="G260" s="25">
        <v>61</v>
      </c>
      <c r="H260" s="24">
        <v>1</v>
      </c>
      <c r="I260" s="24">
        <v>1</v>
      </c>
      <c r="J260" s="24">
        <v>0</v>
      </c>
      <c r="K260" s="24">
        <v>1</v>
      </c>
      <c r="L260" s="23" t="s">
        <v>995</v>
      </c>
      <c r="M260" s="25">
        <v>10664</v>
      </c>
      <c r="N260" s="25">
        <v>1</v>
      </c>
    </row>
    <row r="261" spans="1:14">
      <c r="A261" s="23" t="s">
        <v>267</v>
      </c>
      <c r="B261" s="23" t="s">
        <v>273</v>
      </c>
      <c r="C261" s="23" t="s">
        <v>994</v>
      </c>
      <c r="D261" s="23" t="s">
        <v>1416</v>
      </c>
      <c r="E261" s="23" t="s">
        <v>1417</v>
      </c>
      <c r="F261" s="25">
        <v>61</v>
      </c>
      <c r="G261" s="25">
        <v>61</v>
      </c>
      <c r="H261" s="24">
        <v>1</v>
      </c>
      <c r="I261" s="24">
        <v>1</v>
      </c>
      <c r="J261" s="24">
        <v>0</v>
      </c>
      <c r="K261" s="24">
        <v>1</v>
      </c>
      <c r="L261" s="23" t="s">
        <v>995</v>
      </c>
      <c r="M261" s="25">
        <v>5096</v>
      </c>
      <c r="N261" s="25">
        <v>2</v>
      </c>
    </row>
    <row r="262" spans="1:14">
      <c r="A262" s="23" t="s">
        <v>267</v>
      </c>
      <c r="B262" s="23" t="s">
        <v>273</v>
      </c>
      <c r="C262" s="23" t="s">
        <v>994</v>
      </c>
      <c r="D262" s="23" t="s">
        <v>899</v>
      </c>
      <c r="E262" s="23" t="s">
        <v>900</v>
      </c>
      <c r="F262" s="25">
        <v>61</v>
      </c>
      <c r="G262" s="25">
        <v>61</v>
      </c>
      <c r="H262" s="24">
        <v>1</v>
      </c>
      <c r="I262" s="24">
        <v>0.56485777688117811</v>
      </c>
      <c r="J262" s="24">
        <v>0</v>
      </c>
      <c r="K262" s="24">
        <v>1</v>
      </c>
      <c r="L262" s="23" t="s">
        <v>995</v>
      </c>
      <c r="M262" s="25">
        <v>2800</v>
      </c>
      <c r="N262" s="25">
        <v>3</v>
      </c>
    </row>
    <row r="263" spans="1:14">
      <c r="A263" s="23" t="s">
        <v>267</v>
      </c>
      <c r="B263" s="23" t="s">
        <v>273</v>
      </c>
      <c r="C263" s="23" t="s">
        <v>994</v>
      </c>
      <c r="D263" s="23" t="s">
        <v>1418</v>
      </c>
      <c r="E263" s="23" t="s">
        <v>1419</v>
      </c>
      <c r="F263" s="25">
        <v>61</v>
      </c>
      <c r="G263" s="25">
        <v>61</v>
      </c>
      <c r="H263" s="24">
        <v>1</v>
      </c>
      <c r="I263" s="24">
        <v>1</v>
      </c>
      <c r="J263" s="24">
        <v>0</v>
      </c>
      <c r="K263" s="24">
        <v>1</v>
      </c>
      <c r="L263" s="23" t="s">
        <v>995</v>
      </c>
      <c r="M263" s="25">
        <v>2535</v>
      </c>
      <c r="N263" s="25">
        <v>4</v>
      </c>
    </row>
    <row r="264" spans="1:14">
      <c r="A264" s="23" t="s">
        <v>267</v>
      </c>
      <c r="B264" s="23" t="s">
        <v>273</v>
      </c>
      <c r="C264" s="23" t="s">
        <v>994</v>
      </c>
      <c r="D264" s="23" t="s">
        <v>1420</v>
      </c>
      <c r="E264" s="23" t="s">
        <v>1421</v>
      </c>
      <c r="F264" s="25">
        <v>61</v>
      </c>
      <c r="G264" s="25">
        <v>61</v>
      </c>
      <c r="H264" s="24">
        <v>1</v>
      </c>
      <c r="I264" s="24">
        <v>1</v>
      </c>
      <c r="J264" s="24">
        <v>0</v>
      </c>
      <c r="K264" s="24">
        <v>1</v>
      </c>
      <c r="L264" s="23" t="s">
        <v>995</v>
      </c>
      <c r="M264" s="25">
        <v>2381</v>
      </c>
      <c r="N264" s="25">
        <v>5</v>
      </c>
    </row>
    <row r="265" spans="1:14">
      <c r="A265" s="23" t="s">
        <v>267</v>
      </c>
      <c r="B265" s="23" t="s">
        <v>273</v>
      </c>
      <c r="C265" s="23" t="s">
        <v>994</v>
      </c>
      <c r="D265" s="23" t="s">
        <v>1422</v>
      </c>
      <c r="E265" s="23" t="s">
        <v>1423</v>
      </c>
      <c r="F265" s="25">
        <v>61</v>
      </c>
      <c r="G265" s="25">
        <v>26</v>
      </c>
      <c r="H265" s="24">
        <v>0.42622950819672129</v>
      </c>
      <c r="I265" s="24">
        <v>1</v>
      </c>
      <c r="J265" s="24">
        <v>0</v>
      </c>
      <c r="K265" s="24">
        <v>1</v>
      </c>
      <c r="L265" s="23" t="s">
        <v>995</v>
      </c>
      <c r="M265" s="25">
        <v>115</v>
      </c>
      <c r="N265" s="25">
        <v>6</v>
      </c>
    </row>
    <row r="266" spans="1:14">
      <c r="A266" s="23" t="s">
        <v>267</v>
      </c>
      <c r="B266" s="23" t="s">
        <v>273</v>
      </c>
      <c r="C266" s="23" t="s">
        <v>994</v>
      </c>
      <c r="D266" s="23" t="s">
        <v>1424</v>
      </c>
      <c r="E266" s="23" t="s">
        <v>1425</v>
      </c>
      <c r="F266" s="25">
        <v>61</v>
      </c>
      <c r="G266" s="25">
        <v>14</v>
      </c>
      <c r="H266" s="24">
        <v>0.22950819672131148</v>
      </c>
      <c r="I266" s="24">
        <v>1</v>
      </c>
      <c r="J266" s="24">
        <v>0</v>
      </c>
      <c r="K266" s="24">
        <v>1</v>
      </c>
      <c r="L266" s="23" t="s">
        <v>995</v>
      </c>
      <c r="M266" s="25">
        <v>3807</v>
      </c>
      <c r="N266" s="25">
        <v>7</v>
      </c>
    </row>
    <row r="267" spans="1:14">
      <c r="A267" s="23" t="s">
        <v>276</v>
      </c>
      <c r="B267" s="23" t="s">
        <v>280</v>
      </c>
      <c r="C267" s="23" t="s">
        <v>994</v>
      </c>
      <c r="D267" s="23" t="s">
        <v>1426</v>
      </c>
      <c r="E267" s="23" t="s">
        <v>1427</v>
      </c>
      <c r="F267" s="25">
        <v>145</v>
      </c>
      <c r="G267" s="25">
        <v>139</v>
      </c>
      <c r="H267" s="24">
        <v>0.95862068965517244</v>
      </c>
      <c r="I267" s="24">
        <v>0.84502184410209247</v>
      </c>
      <c r="J267" s="24">
        <v>0</v>
      </c>
      <c r="K267" s="24">
        <v>0.9928057553956835</v>
      </c>
      <c r="L267" s="23" t="s">
        <v>995</v>
      </c>
      <c r="M267" s="25">
        <v>3675</v>
      </c>
      <c r="N267" s="25">
        <v>1</v>
      </c>
    </row>
    <row r="268" spans="1:14">
      <c r="A268" s="23" t="s">
        <v>276</v>
      </c>
      <c r="B268" s="23" t="s">
        <v>280</v>
      </c>
      <c r="C268" s="23" t="s">
        <v>990</v>
      </c>
      <c r="D268" s="23" t="s">
        <v>907</v>
      </c>
      <c r="E268" s="23" t="s">
        <v>908</v>
      </c>
      <c r="F268" s="25">
        <v>145</v>
      </c>
      <c r="G268" s="25">
        <v>137</v>
      </c>
      <c r="H268" s="24">
        <v>0.94482758620689655</v>
      </c>
      <c r="I268" s="24">
        <v>0.95078569362768728</v>
      </c>
      <c r="J268" s="24">
        <v>1</v>
      </c>
      <c r="K268" s="24">
        <v>0</v>
      </c>
      <c r="L268" s="23" t="s">
        <v>991</v>
      </c>
      <c r="M268" s="25">
        <v>19725</v>
      </c>
      <c r="N268" s="25">
        <v>2</v>
      </c>
    </row>
    <row r="269" spans="1:14">
      <c r="A269" s="23" t="s">
        <v>276</v>
      </c>
      <c r="B269" s="23" t="s">
        <v>280</v>
      </c>
      <c r="C269" s="23" t="s">
        <v>994</v>
      </c>
      <c r="D269" s="23" t="s">
        <v>1428</v>
      </c>
      <c r="E269" s="23" t="s">
        <v>1429</v>
      </c>
      <c r="F269" s="25">
        <v>145</v>
      </c>
      <c r="G269" s="25">
        <v>111</v>
      </c>
      <c r="H269" s="24">
        <v>0.76551724137931032</v>
      </c>
      <c r="I269" s="24">
        <v>0.89743589743589747</v>
      </c>
      <c r="J269" s="24">
        <v>0</v>
      </c>
      <c r="K269" s="24">
        <v>0.88288288288288286</v>
      </c>
      <c r="L269" s="23" t="s">
        <v>995</v>
      </c>
      <c r="M269" s="25">
        <v>280</v>
      </c>
      <c r="N269" s="25">
        <v>3</v>
      </c>
    </row>
    <row r="270" spans="1:14">
      <c r="A270" s="23" t="s">
        <v>276</v>
      </c>
      <c r="B270" s="23" t="s">
        <v>280</v>
      </c>
      <c r="C270" s="23" t="s">
        <v>994</v>
      </c>
      <c r="D270" s="23" t="s">
        <v>1430</v>
      </c>
      <c r="E270" s="23" t="s">
        <v>1431</v>
      </c>
      <c r="F270" s="25">
        <v>145</v>
      </c>
      <c r="G270" s="25">
        <v>108</v>
      </c>
      <c r="H270" s="24">
        <v>0.7448275862068966</v>
      </c>
      <c r="I270" s="24">
        <v>0.64672116889893894</v>
      </c>
      <c r="J270" s="24">
        <v>0</v>
      </c>
      <c r="K270" s="24">
        <v>1</v>
      </c>
      <c r="L270" s="23" t="s">
        <v>995</v>
      </c>
      <c r="M270" s="25">
        <v>3718</v>
      </c>
      <c r="N270" s="25">
        <v>4</v>
      </c>
    </row>
    <row r="271" spans="1:14">
      <c r="A271" s="23" t="s">
        <v>276</v>
      </c>
      <c r="B271" s="23" t="s">
        <v>280</v>
      </c>
      <c r="C271" s="23" t="s">
        <v>994</v>
      </c>
      <c r="D271" s="23" t="s">
        <v>913</v>
      </c>
      <c r="E271" s="23" t="s">
        <v>914</v>
      </c>
      <c r="F271" s="25">
        <v>145</v>
      </c>
      <c r="G271" s="25">
        <v>106</v>
      </c>
      <c r="H271" s="24">
        <v>0.73103448275862071</v>
      </c>
      <c r="I271" s="24">
        <v>1</v>
      </c>
      <c r="J271" s="24">
        <v>0</v>
      </c>
      <c r="K271" s="24">
        <v>1</v>
      </c>
      <c r="L271" s="23" t="s">
        <v>995</v>
      </c>
      <c r="M271" s="25">
        <v>16216</v>
      </c>
      <c r="N271" s="25">
        <v>5</v>
      </c>
    </row>
    <row r="272" spans="1:14">
      <c r="A272" s="23" t="s">
        <v>276</v>
      </c>
      <c r="B272" s="23" t="s">
        <v>280</v>
      </c>
      <c r="C272" s="23" t="s">
        <v>994</v>
      </c>
      <c r="D272" s="23" t="s">
        <v>1432</v>
      </c>
      <c r="E272" s="23" t="s">
        <v>1433</v>
      </c>
      <c r="F272" s="25">
        <v>145</v>
      </c>
      <c r="G272" s="25">
        <v>105</v>
      </c>
      <c r="H272" s="24">
        <v>0.72413793103448276</v>
      </c>
      <c r="I272" s="24">
        <v>1</v>
      </c>
      <c r="J272" s="24">
        <v>0</v>
      </c>
      <c r="K272" s="24">
        <v>1</v>
      </c>
      <c r="L272" s="23" t="s">
        <v>995</v>
      </c>
      <c r="M272" s="25">
        <v>2792</v>
      </c>
      <c r="N272" s="25">
        <v>6</v>
      </c>
    </row>
    <row r="273" spans="1:14">
      <c r="A273" s="23" t="s">
        <v>276</v>
      </c>
      <c r="B273" s="23" t="s">
        <v>280</v>
      </c>
      <c r="C273" s="23" t="s">
        <v>990</v>
      </c>
      <c r="D273" s="23" t="s">
        <v>1434</v>
      </c>
      <c r="E273" s="23" t="s">
        <v>1435</v>
      </c>
      <c r="F273" s="25">
        <v>145</v>
      </c>
      <c r="G273" s="25">
        <v>104</v>
      </c>
      <c r="H273" s="24">
        <v>0.71724137931034482</v>
      </c>
      <c r="I273" s="24">
        <v>0.96687116564417175</v>
      </c>
      <c r="J273" s="24">
        <v>0.96</v>
      </c>
      <c r="K273" s="24">
        <v>0</v>
      </c>
      <c r="L273" s="23" t="s">
        <v>991</v>
      </c>
      <c r="M273" s="25">
        <v>2364</v>
      </c>
      <c r="N273" s="25">
        <v>7</v>
      </c>
    </row>
    <row r="274" spans="1:14">
      <c r="A274" s="23" t="s">
        <v>276</v>
      </c>
      <c r="B274" s="23" t="s">
        <v>280</v>
      </c>
      <c r="C274" s="23" t="s">
        <v>994</v>
      </c>
      <c r="D274" s="23" t="s">
        <v>1436</v>
      </c>
      <c r="E274" s="23" t="s">
        <v>1437</v>
      </c>
      <c r="F274" s="25">
        <v>145</v>
      </c>
      <c r="G274" s="25">
        <v>88</v>
      </c>
      <c r="H274" s="24">
        <v>0.60689655172413792</v>
      </c>
      <c r="I274" s="24">
        <v>1</v>
      </c>
      <c r="J274" s="24">
        <v>0</v>
      </c>
      <c r="K274" s="24">
        <v>1</v>
      </c>
      <c r="L274" s="23" t="s">
        <v>995</v>
      </c>
      <c r="M274" s="25">
        <v>37429</v>
      </c>
      <c r="N274" s="25">
        <v>8</v>
      </c>
    </row>
    <row r="275" spans="1:14">
      <c r="A275" s="23" t="s">
        <v>276</v>
      </c>
      <c r="B275" s="23" t="s">
        <v>280</v>
      </c>
      <c r="C275" s="23" t="s">
        <v>990</v>
      </c>
      <c r="D275" s="23" t="s">
        <v>905</v>
      </c>
      <c r="E275" s="23" t="s">
        <v>906</v>
      </c>
      <c r="F275" s="25">
        <v>145</v>
      </c>
      <c r="G275" s="25">
        <v>86</v>
      </c>
      <c r="H275" s="24">
        <v>0.59310344827586203</v>
      </c>
      <c r="I275" s="24">
        <v>0.94300911854103342</v>
      </c>
      <c r="J275" s="24">
        <v>0.9555335968379447</v>
      </c>
      <c r="K275" s="24">
        <v>0</v>
      </c>
      <c r="L275" s="23" t="s">
        <v>991</v>
      </c>
      <c r="M275" s="25">
        <v>2482</v>
      </c>
      <c r="N275" s="25">
        <v>9</v>
      </c>
    </row>
    <row r="276" spans="1:14">
      <c r="A276" s="23" t="s">
        <v>276</v>
      </c>
      <c r="B276" s="23" t="s">
        <v>280</v>
      </c>
      <c r="C276" s="23" t="s">
        <v>990</v>
      </c>
      <c r="D276" s="23" t="s">
        <v>909</v>
      </c>
      <c r="E276" s="23" t="s">
        <v>910</v>
      </c>
      <c r="F276" s="25">
        <v>145</v>
      </c>
      <c r="G276" s="25">
        <v>70</v>
      </c>
      <c r="H276" s="24">
        <v>0.48275862068965519</v>
      </c>
      <c r="I276" s="24">
        <v>0.91746987951807224</v>
      </c>
      <c r="J276" s="24">
        <v>0.95238095238095233</v>
      </c>
      <c r="K276" s="24">
        <v>0</v>
      </c>
      <c r="L276" s="23" t="s">
        <v>991</v>
      </c>
      <c r="M276" s="25">
        <v>1523</v>
      </c>
      <c r="N276" s="25">
        <v>10</v>
      </c>
    </row>
    <row r="277" spans="1:14">
      <c r="A277" s="23" t="s">
        <v>276</v>
      </c>
      <c r="B277" s="23" t="s">
        <v>280</v>
      </c>
      <c r="C277" s="23" t="s">
        <v>994</v>
      </c>
      <c r="D277" s="23" t="s">
        <v>1438</v>
      </c>
      <c r="E277" s="23" t="s">
        <v>1439</v>
      </c>
      <c r="F277" s="25">
        <v>145</v>
      </c>
      <c r="G277" s="25">
        <v>51</v>
      </c>
      <c r="H277" s="24">
        <v>0.35172413793103446</v>
      </c>
      <c r="I277" s="24">
        <v>1</v>
      </c>
      <c r="J277" s="24">
        <v>0</v>
      </c>
      <c r="K277" s="24">
        <v>0.90196078431372551</v>
      </c>
      <c r="L277" s="23" t="s">
        <v>995</v>
      </c>
      <c r="M277" s="25">
        <v>9296</v>
      </c>
      <c r="N277" s="25">
        <v>11</v>
      </c>
    </row>
    <row r="278" spans="1:14">
      <c r="A278" s="23" t="s">
        <v>276</v>
      </c>
      <c r="B278" s="23" t="s">
        <v>280</v>
      </c>
      <c r="C278" s="23" t="s">
        <v>994</v>
      </c>
      <c r="D278" s="23" t="s">
        <v>1440</v>
      </c>
      <c r="E278" s="23" t="s">
        <v>1441</v>
      </c>
      <c r="F278" s="25">
        <v>145</v>
      </c>
      <c r="G278" s="25">
        <v>42</v>
      </c>
      <c r="H278" s="24">
        <v>0.28965517241379313</v>
      </c>
      <c r="I278" s="24">
        <v>0.97846153846153849</v>
      </c>
      <c r="J278" s="24">
        <v>0</v>
      </c>
      <c r="K278" s="24">
        <v>1</v>
      </c>
      <c r="L278" s="23" t="s">
        <v>995</v>
      </c>
      <c r="M278" s="25">
        <v>318</v>
      </c>
      <c r="N278" s="25">
        <v>12</v>
      </c>
    </row>
    <row r="279" spans="1:14">
      <c r="A279" s="23" t="s">
        <v>276</v>
      </c>
      <c r="B279" s="23" t="s">
        <v>280</v>
      </c>
      <c r="C279" s="23" t="s">
        <v>994</v>
      </c>
      <c r="D279" s="23" t="s">
        <v>1442</v>
      </c>
      <c r="E279" s="23" t="s">
        <v>1443</v>
      </c>
      <c r="F279" s="25">
        <v>145</v>
      </c>
      <c r="G279" s="25">
        <v>27</v>
      </c>
      <c r="H279" s="24">
        <v>0.18620689655172415</v>
      </c>
      <c r="I279" s="24">
        <v>0.97848911651728554</v>
      </c>
      <c r="J279" s="24">
        <v>0</v>
      </c>
      <c r="K279" s="24">
        <v>1</v>
      </c>
      <c r="L279" s="23" t="s">
        <v>995</v>
      </c>
      <c r="M279" s="25">
        <v>3821</v>
      </c>
      <c r="N279" s="25">
        <v>13</v>
      </c>
    </row>
    <row r="280" spans="1:14">
      <c r="A280" s="23" t="s">
        <v>276</v>
      </c>
      <c r="B280" s="23" t="s">
        <v>277</v>
      </c>
      <c r="C280" s="23" t="s">
        <v>994</v>
      </c>
      <c r="D280" s="23" t="s">
        <v>911</v>
      </c>
      <c r="E280" s="23" t="s">
        <v>912</v>
      </c>
      <c r="F280" s="25">
        <v>9</v>
      </c>
      <c r="G280" s="25">
        <v>9</v>
      </c>
      <c r="H280" s="24">
        <v>1</v>
      </c>
      <c r="I280" s="24">
        <v>1</v>
      </c>
      <c r="J280" s="24">
        <v>0</v>
      </c>
      <c r="K280" s="24">
        <v>1</v>
      </c>
      <c r="L280" s="23" t="s">
        <v>995</v>
      </c>
      <c r="M280" s="25">
        <v>1863</v>
      </c>
      <c r="N280" s="25">
        <v>1</v>
      </c>
    </row>
    <row r="281" spans="1:14">
      <c r="A281" s="23" t="s">
        <v>276</v>
      </c>
      <c r="B281" s="23" t="s">
        <v>277</v>
      </c>
      <c r="C281" s="23" t="s">
        <v>994</v>
      </c>
      <c r="D281" s="23" t="s">
        <v>1444</v>
      </c>
      <c r="E281" s="23" t="s">
        <v>1445</v>
      </c>
      <c r="F281" s="25">
        <v>9</v>
      </c>
      <c r="G281" s="25">
        <v>8</v>
      </c>
      <c r="H281" s="24">
        <v>0.88888888888888884</v>
      </c>
      <c r="I281" s="24">
        <v>1</v>
      </c>
      <c r="J281" s="24">
        <v>0</v>
      </c>
      <c r="K281" s="24">
        <v>1</v>
      </c>
      <c r="L281" s="23" t="s">
        <v>995</v>
      </c>
      <c r="M281" s="25">
        <v>3054</v>
      </c>
      <c r="N281" s="25">
        <v>2</v>
      </c>
    </row>
    <row r="282" spans="1:14">
      <c r="A282" s="23" t="s">
        <v>276</v>
      </c>
      <c r="B282" s="23" t="s">
        <v>277</v>
      </c>
      <c r="C282" s="23" t="s">
        <v>994</v>
      </c>
      <c r="D282" s="23" t="s">
        <v>1446</v>
      </c>
      <c r="E282" s="23" t="s">
        <v>1447</v>
      </c>
      <c r="F282" s="25">
        <v>9</v>
      </c>
      <c r="G282" s="25">
        <v>6</v>
      </c>
      <c r="H282" s="24">
        <v>0.66666666666666663</v>
      </c>
      <c r="I282" s="24">
        <v>1</v>
      </c>
      <c r="J282" s="24">
        <v>0</v>
      </c>
      <c r="K282" s="24">
        <v>1</v>
      </c>
      <c r="L282" s="23" t="s">
        <v>995</v>
      </c>
      <c r="M282" s="25">
        <v>406</v>
      </c>
      <c r="N282" s="25">
        <v>3</v>
      </c>
    </row>
    <row r="283" spans="1:14">
      <c r="A283" s="23" t="s">
        <v>276</v>
      </c>
      <c r="B283" s="23" t="s">
        <v>277</v>
      </c>
      <c r="C283" s="23" t="s">
        <v>994</v>
      </c>
      <c r="D283" s="23" t="s">
        <v>1448</v>
      </c>
      <c r="E283" s="23" t="s">
        <v>1449</v>
      </c>
      <c r="F283" s="25">
        <v>9</v>
      </c>
      <c r="G283" s="25">
        <v>4</v>
      </c>
      <c r="H283" s="24">
        <v>0.44444444444444442</v>
      </c>
      <c r="I283" s="24">
        <v>0.94164037854889593</v>
      </c>
      <c r="J283" s="24">
        <v>0</v>
      </c>
      <c r="K283" s="24">
        <v>1</v>
      </c>
      <c r="L283" s="23" t="s">
        <v>995</v>
      </c>
      <c r="M283" s="25">
        <v>597</v>
      </c>
      <c r="N283" s="25">
        <v>4</v>
      </c>
    </row>
    <row r="284" spans="1:14">
      <c r="A284" s="23" t="s">
        <v>276</v>
      </c>
      <c r="B284" s="23" t="s">
        <v>277</v>
      </c>
      <c r="C284" s="23" t="s">
        <v>994</v>
      </c>
      <c r="D284" s="23" t="s">
        <v>1450</v>
      </c>
      <c r="E284" s="23" t="s">
        <v>1451</v>
      </c>
      <c r="F284" s="25">
        <v>9</v>
      </c>
      <c r="G284" s="25">
        <v>1</v>
      </c>
      <c r="H284" s="24">
        <v>0.1111111111111111</v>
      </c>
      <c r="I284" s="24">
        <v>1</v>
      </c>
      <c r="J284" s="24">
        <v>0</v>
      </c>
      <c r="K284" s="24">
        <v>1</v>
      </c>
      <c r="L284" s="23" t="s">
        <v>995</v>
      </c>
      <c r="M284" s="25">
        <v>16</v>
      </c>
      <c r="N284" s="25">
        <v>5</v>
      </c>
    </row>
    <row r="285" spans="1:14">
      <c r="A285" s="23" t="s">
        <v>276</v>
      </c>
      <c r="B285" s="23" t="s">
        <v>277</v>
      </c>
      <c r="C285" s="23" t="s">
        <v>994</v>
      </c>
      <c r="D285" s="23" t="s">
        <v>1452</v>
      </c>
      <c r="E285" s="23" t="s">
        <v>1453</v>
      </c>
      <c r="F285" s="25">
        <v>9</v>
      </c>
      <c r="G285" s="25">
        <v>1</v>
      </c>
      <c r="H285" s="24">
        <v>0.1111111111111111</v>
      </c>
      <c r="I285" s="24">
        <v>1</v>
      </c>
      <c r="J285" s="24">
        <v>0</v>
      </c>
      <c r="K285" s="24">
        <v>1</v>
      </c>
      <c r="L285" s="23" t="s">
        <v>995</v>
      </c>
      <c r="M285" s="25">
        <v>2</v>
      </c>
      <c r="N285" s="25">
        <v>6</v>
      </c>
    </row>
    <row r="286" spans="1:14">
      <c r="A286" s="23" t="s">
        <v>276</v>
      </c>
      <c r="B286" s="23" t="s">
        <v>282</v>
      </c>
      <c r="C286" s="23" t="s">
        <v>990</v>
      </c>
      <c r="D286" s="23" t="s">
        <v>915</v>
      </c>
      <c r="E286" s="23" t="s">
        <v>916</v>
      </c>
      <c r="F286" s="25">
        <v>1</v>
      </c>
      <c r="G286" s="25">
        <v>1</v>
      </c>
      <c r="H286" s="24">
        <v>1</v>
      </c>
      <c r="I286" s="24">
        <v>1</v>
      </c>
      <c r="J286" s="24">
        <v>1</v>
      </c>
      <c r="K286" s="24">
        <v>0</v>
      </c>
      <c r="L286" s="23" t="s">
        <v>991</v>
      </c>
      <c r="M286" s="25">
        <v>231</v>
      </c>
      <c r="N286" s="25">
        <v>1</v>
      </c>
    </row>
    <row r="287" spans="1:14">
      <c r="A287" s="23" t="s">
        <v>276</v>
      </c>
      <c r="B287" s="23" t="s">
        <v>282</v>
      </c>
      <c r="C287" s="23" t="s">
        <v>994</v>
      </c>
      <c r="D287" s="23" t="s">
        <v>917</v>
      </c>
      <c r="E287" s="23" t="s">
        <v>918</v>
      </c>
      <c r="F287" s="25">
        <v>1</v>
      </c>
      <c r="G287" s="25">
        <v>1</v>
      </c>
      <c r="H287" s="24">
        <v>1</v>
      </c>
      <c r="I287" s="24">
        <v>1</v>
      </c>
      <c r="J287" s="24">
        <v>0</v>
      </c>
      <c r="K287" s="24">
        <v>1</v>
      </c>
      <c r="L287" s="23" t="s">
        <v>995</v>
      </c>
      <c r="M287" s="25">
        <v>28</v>
      </c>
      <c r="N287" s="25">
        <v>2</v>
      </c>
    </row>
    <row r="288" spans="1:14">
      <c r="A288" s="23" t="s">
        <v>276</v>
      </c>
      <c r="B288" s="23" t="s">
        <v>282</v>
      </c>
      <c r="C288" s="23" t="s">
        <v>994</v>
      </c>
      <c r="D288" s="23" t="s">
        <v>1454</v>
      </c>
      <c r="E288" s="23" t="s">
        <v>1455</v>
      </c>
      <c r="F288" s="25">
        <v>1</v>
      </c>
      <c r="G288" s="25">
        <v>1</v>
      </c>
      <c r="H288" s="24">
        <v>1</v>
      </c>
      <c r="I288" s="24">
        <v>1</v>
      </c>
      <c r="J288" s="24">
        <v>0</v>
      </c>
      <c r="K288" s="24">
        <v>1</v>
      </c>
      <c r="L288" s="23" t="s">
        <v>995</v>
      </c>
      <c r="M288" s="25">
        <v>22</v>
      </c>
      <c r="N288" s="25">
        <v>3</v>
      </c>
    </row>
    <row r="289" spans="1:14">
      <c r="A289" s="23" t="s">
        <v>276</v>
      </c>
      <c r="B289" s="23" t="s">
        <v>282</v>
      </c>
      <c r="C289" s="23" t="s">
        <v>990</v>
      </c>
      <c r="D289" s="23" t="s">
        <v>1456</v>
      </c>
      <c r="E289" s="23" t="s">
        <v>1457</v>
      </c>
      <c r="F289" s="25">
        <v>1</v>
      </c>
      <c r="G289" s="25">
        <v>1</v>
      </c>
      <c r="H289" s="24">
        <v>1</v>
      </c>
      <c r="I289" s="24">
        <v>1</v>
      </c>
      <c r="J289" s="24">
        <v>0.4</v>
      </c>
      <c r="K289" s="24">
        <v>0</v>
      </c>
      <c r="L289" s="23" t="s">
        <v>1010</v>
      </c>
      <c r="M289" s="25">
        <v>67</v>
      </c>
      <c r="N289" s="25">
        <v>4</v>
      </c>
    </row>
    <row r="290" spans="1:14">
      <c r="A290" s="23" t="s">
        <v>285</v>
      </c>
      <c r="B290" s="23" t="s">
        <v>292</v>
      </c>
      <c r="C290" s="23" t="s">
        <v>994</v>
      </c>
      <c r="D290" s="23" t="s">
        <v>929</v>
      </c>
      <c r="E290" s="23" t="s">
        <v>930</v>
      </c>
      <c r="F290" s="25">
        <v>46</v>
      </c>
      <c r="G290" s="25">
        <v>46</v>
      </c>
      <c r="H290" s="24">
        <v>1</v>
      </c>
      <c r="I290" s="24">
        <v>1</v>
      </c>
      <c r="J290" s="24">
        <v>0</v>
      </c>
      <c r="K290" s="24">
        <v>1</v>
      </c>
      <c r="L290" s="23" t="s">
        <v>995</v>
      </c>
      <c r="M290" s="25">
        <v>9414</v>
      </c>
      <c r="N290" s="25">
        <v>1</v>
      </c>
    </row>
    <row r="291" spans="1:14">
      <c r="A291" s="23" t="s">
        <v>285</v>
      </c>
      <c r="B291" s="23" t="s">
        <v>292</v>
      </c>
      <c r="C291" s="23" t="s">
        <v>994</v>
      </c>
      <c r="D291" s="23" t="s">
        <v>1458</v>
      </c>
      <c r="E291" s="23" t="s">
        <v>1459</v>
      </c>
      <c r="F291" s="25">
        <v>46</v>
      </c>
      <c r="G291" s="25">
        <v>46</v>
      </c>
      <c r="H291" s="24">
        <v>1</v>
      </c>
      <c r="I291" s="24">
        <v>1</v>
      </c>
      <c r="J291" s="24">
        <v>0</v>
      </c>
      <c r="K291" s="24">
        <v>1</v>
      </c>
      <c r="L291" s="23" t="s">
        <v>995</v>
      </c>
      <c r="M291" s="25">
        <v>2432</v>
      </c>
      <c r="N291" s="25">
        <v>2</v>
      </c>
    </row>
    <row r="292" spans="1:14">
      <c r="A292" s="23" t="s">
        <v>285</v>
      </c>
      <c r="B292" s="23" t="s">
        <v>292</v>
      </c>
      <c r="C292" s="23" t="s">
        <v>990</v>
      </c>
      <c r="D292" s="23" t="s">
        <v>927</v>
      </c>
      <c r="E292" s="23" t="s">
        <v>928</v>
      </c>
      <c r="F292" s="25">
        <v>46</v>
      </c>
      <c r="G292" s="25">
        <v>41</v>
      </c>
      <c r="H292" s="24">
        <v>0.89130434782608692</v>
      </c>
      <c r="I292" s="24">
        <v>0.99684115523465699</v>
      </c>
      <c r="J292" s="24">
        <v>0.4</v>
      </c>
      <c r="K292" s="24">
        <v>0</v>
      </c>
      <c r="L292" s="23" t="s">
        <v>1010</v>
      </c>
      <c r="M292" s="25">
        <v>2209</v>
      </c>
      <c r="N292" s="25">
        <v>3</v>
      </c>
    </row>
    <row r="293" spans="1:14">
      <c r="A293" s="23" t="s">
        <v>285</v>
      </c>
      <c r="B293" s="23" t="s">
        <v>292</v>
      </c>
      <c r="C293" s="23" t="s">
        <v>994</v>
      </c>
      <c r="D293" s="23" t="s">
        <v>1460</v>
      </c>
      <c r="E293" s="23" t="s">
        <v>1461</v>
      </c>
      <c r="F293" s="25">
        <v>46</v>
      </c>
      <c r="G293" s="25">
        <v>37</v>
      </c>
      <c r="H293" s="24">
        <v>0.80434782608695654</v>
      </c>
      <c r="I293" s="24">
        <v>1</v>
      </c>
      <c r="J293" s="24">
        <v>0</v>
      </c>
      <c r="K293" s="24">
        <v>1</v>
      </c>
      <c r="L293" s="23" t="s">
        <v>995</v>
      </c>
      <c r="M293" s="25">
        <v>964</v>
      </c>
      <c r="N293" s="25">
        <v>4</v>
      </c>
    </row>
    <row r="294" spans="1:14">
      <c r="A294" s="23" t="s">
        <v>285</v>
      </c>
      <c r="B294" s="23" t="s">
        <v>292</v>
      </c>
      <c r="C294" s="23" t="s">
        <v>994</v>
      </c>
      <c r="D294" s="23" t="s">
        <v>1462</v>
      </c>
      <c r="E294" s="23" t="s">
        <v>1463</v>
      </c>
      <c r="F294" s="25">
        <v>46</v>
      </c>
      <c r="G294" s="25">
        <v>36</v>
      </c>
      <c r="H294" s="24">
        <v>0.78260869565217395</v>
      </c>
      <c r="I294" s="24">
        <v>1</v>
      </c>
      <c r="J294" s="24">
        <v>0</v>
      </c>
      <c r="K294" s="24">
        <v>1</v>
      </c>
      <c r="L294" s="23" t="s">
        <v>995</v>
      </c>
      <c r="M294" s="25">
        <v>1989</v>
      </c>
      <c r="N294" s="25">
        <v>5</v>
      </c>
    </row>
    <row r="295" spans="1:14">
      <c r="A295" s="23" t="s">
        <v>285</v>
      </c>
      <c r="B295" s="23" t="s">
        <v>292</v>
      </c>
      <c r="C295" s="23" t="s">
        <v>994</v>
      </c>
      <c r="D295" s="23" t="s">
        <v>1464</v>
      </c>
      <c r="E295" s="23" t="s">
        <v>1465</v>
      </c>
      <c r="F295" s="25">
        <v>46</v>
      </c>
      <c r="G295" s="25">
        <v>36</v>
      </c>
      <c r="H295" s="24">
        <v>0.78260869565217395</v>
      </c>
      <c r="I295" s="24">
        <v>0.989778534923339</v>
      </c>
      <c r="J295" s="24">
        <v>0</v>
      </c>
      <c r="K295" s="24">
        <v>0.91666666666666663</v>
      </c>
      <c r="L295" s="23" t="s">
        <v>995</v>
      </c>
      <c r="M295" s="25">
        <v>581</v>
      </c>
      <c r="N295" s="25">
        <v>6</v>
      </c>
    </row>
    <row r="296" spans="1:14">
      <c r="A296" s="23" t="s">
        <v>285</v>
      </c>
      <c r="B296" s="23" t="s">
        <v>292</v>
      </c>
      <c r="C296" s="23" t="s">
        <v>990</v>
      </c>
      <c r="D296" s="23" t="s">
        <v>1466</v>
      </c>
      <c r="E296" s="23" t="s">
        <v>1467</v>
      </c>
      <c r="F296" s="25">
        <v>46</v>
      </c>
      <c r="G296" s="25">
        <v>19</v>
      </c>
      <c r="H296" s="24">
        <v>0.41304347826086957</v>
      </c>
      <c r="I296" s="24">
        <v>0.50707547169811318</v>
      </c>
      <c r="J296" s="24">
        <v>1</v>
      </c>
      <c r="K296" s="24">
        <v>0</v>
      </c>
      <c r="L296" s="23" t="s">
        <v>991</v>
      </c>
      <c r="M296" s="25">
        <v>430</v>
      </c>
      <c r="N296" s="25">
        <v>7</v>
      </c>
    </row>
    <row r="297" spans="1:14">
      <c r="A297" s="23" t="s">
        <v>285</v>
      </c>
      <c r="B297" s="23" t="s">
        <v>289</v>
      </c>
      <c r="C297" s="23" t="s">
        <v>994</v>
      </c>
      <c r="D297" s="23" t="s">
        <v>925</v>
      </c>
      <c r="E297" s="23" t="s">
        <v>926</v>
      </c>
      <c r="F297" s="25">
        <v>116</v>
      </c>
      <c r="G297" s="25">
        <v>116</v>
      </c>
      <c r="H297" s="24">
        <v>1</v>
      </c>
      <c r="I297" s="24">
        <v>1</v>
      </c>
      <c r="J297" s="24">
        <v>0</v>
      </c>
      <c r="K297" s="24">
        <v>0.99137931034482762</v>
      </c>
      <c r="L297" s="23" t="s">
        <v>995</v>
      </c>
      <c r="M297" s="25">
        <v>7568</v>
      </c>
      <c r="N297" s="25">
        <v>1</v>
      </c>
    </row>
    <row r="298" spans="1:14">
      <c r="A298" s="23" t="s">
        <v>285</v>
      </c>
      <c r="B298" s="23" t="s">
        <v>289</v>
      </c>
      <c r="C298" s="23" t="s">
        <v>994</v>
      </c>
      <c r="D298" s="23" t="s">
        <v>1468</v>
      </c>
      <c r="E298" s="23" t="s">
        <v>1469</v>
      </c>
      <c r="F298" s="25">
        <v>116</v>
      </c>
      <c r="G298" s="25">
        <v>86</v>
      </c>
      <c r="H298" s="24">
        <v>0.74137931034482762</v>
      </c>
      <c r="I298" s="24">
        <v>0.76248108925869895</v>
      </c>
      <c r="J298" s="24">
        <v>0</v>
      </c>
      <c r="K298" s="24">
        <v>0.86046511627906974</v>
      </c>
      <c r="L298" s="23" t="s">
        <v>995</v>
      </c>
      <c r="M298" s="25">
        <v>504</v>
      </c>
      <c r="N298" s="25">
        <v>2</v>
      </c>
    </row>
    <row r="299" spans="1:14">
      <c r="A299" s="23" t="s">
        <v>285</v>
      </c>
      <c r="B299" s="23" t="s">
        <v>289</v>
      </c>
      <c r="C299" s="23" t="s">
        <v>994</v>
      </c>
      <c r="D299" s="23" t="s">
        <v>1470</v>
      </c>
      <c r="E299" s="23" t="s">
        <v>1471</v>
      </c>
      <c r="F299" s="25">
        <v>116</v>
      </c>
      <c r="G299" s="25">
        <v>85</v>
      </c>
      <c r="H299" s="24">
        <v>0.73275862068965514</v>
      </c>
      <c r="I299" s="24">
        <v>0.65217391304347827</v>
      </c>
      <c r="J299" s="24">
        <v>0</v>
      </c>
      <c r="K299" s="24">
        <v>1</v>
      </c>
      <c r="L299" s="23" t="s">
        <v>995</v>
      </c>
      <c r="M299" s="25">
        <v>1215</v>
      </c>
      <c r="N299" s="25">
        <v>3</v>
      </c>
    </row>
    <row r="300" spans="1:14">
      <c r="A300" s="23" t="s">
        <v>285</v>
      </c>
      <c r="B300" s="23" t="s">
        <v>289</v>
      </c>
      <c r="C300" s="23" t="s">
        <v>994</v>
      </c>
      <c r="D300" s="23" t="s">
        <v>1472</v>
      </c>
      <c r="E300" s="23" t="s">
        <v>1473</v>
      </c>
      <c r="F300" s="25">
        <v>116</v>
      </c>
      <c r="G300" s="25">
        <v>77</v>
      </c>
      <c r="H300" s="24">
        <v>0.66379310344827591</v>
      </c>
      <c r="I300" s="24">
        <v>0.67366720516962841</v>
      </c>
      <c r="J300" s="24">
        <v>0</v>
      </c>
      <c r="K300" s="24">
        <v>1</v>
      </c>
      <c r="L300" s="23" t="s">
        <v>995</v>
      </c>
      <c r="M300" s="25">
        <v>417</v>
      </c>
      <c r="N300" s="25">
        <v>4</v>
      </c>
    </row>
    <row r="301" spans="1:14">
      <c r="A301" s="23" t="s">
        <v>285</v>
      </c>
      <c r="B301" s="23" t="s">
        <v>289</v>
      </c>
      <c r="C301" s="23" t="s">
        <v>994</v>
      </c>
      <c r="D301" s="23" t="s">
        <v>1474</v>
      </c>
      <c r="E301" s="23" t="s">
        <v>1475</v>
      </c>
      <c r="F301" s="25">
        <v>116</v>
      </c>
      <c r="G301" s="25">
        <v>61</v>
      </c>
      <c r="H301" s="24">
        <v>0.52586206896551724</v>
      </c>
      <c r="I301" s="24">
        <v>0.58586572438162543</v>
      </c>
      <c r="J301" s="24">
        <v>0</v>
      </c>
      <c r="K301" s="24">
        <v>0.98360655737704916</v>
      </c>
      <c r="L301" s="23" t="s">
        <v>995</v>
      </c>
      <c r="M301" s="25">
        <v>2487</v>
      </c>
      <c r="N301" s="25">
        <v>5</v>
      </c>
    </row>
    <row r="302" spans="1:14">
      <c r="A302" s="23" t="s">
        <v>285</v>
      </c>
      <c r="B302" s="23" t="s">
        <v>289</v>
      </c>
      <c r="C302" s="23" t="s">
        <v>994</v>
      </c>
      <c r="D302" s="23" t="s">
        <v>1476</v>
      </c>
      <c r="E302" s="23" t="s">
        <v>1477</v>
      </c>
      <c r="F302" s="25">
        <v>116</v>
      </c>
      <c r="G302" s="25">
        <v>45</v>
      </c>
      <c r="H302" s="24">
        <v>0.38793103448275862</v>
      </c>
      <c r="I302" s="24">
        <v>1</v>
      </c>
      <c r="J302" s="24">
        <v>0</v>
      </c>
      <c r="K302" s="24">
        <v>0.97777777777777775</v>
      </c>
      <c r="L302" s="23" t="s">
        <v>995</v>
      </c>
      <c r="M302" s="25">
        <v>5269</v>
      </c>
      <c r="N302" s="25">
        <v>6</v>
      </c>
    </row>
    <row r="303" spans="1:14">
      <c r="A303" s="23" t="s">
        <v>285</v>
      </c>
      <c r="B303" s="23" t="s">
        <v>289</v>
      </c>
      <c r="C303" s="23" t="s">
        <v>994</v>
      </c>
      <c r="D303" s="23" t="s">
        <v>1478</v>
      </c>
      <c r="E303" s="23" t="s">
        <v>1479</v>
      </c>
      <c r="F303" s="25">
        <v>116</v>
      </c>
      <c r="G303" s="25">
        <v>39</v>
      </c>
      <c r="H303" s="24">
        <v>0.33620689655172414</v>
      </c>
      <c r="I303" s="24">
        <v>1</v>
      </c>
      <c r="J303" s="24">
        <v>0</v>
      </c>
      <c r="K303" s="24">
        <v>1</v>
      </c>
      <c r="L303" s="23" t="s">
        <v>995</v>
      </c>
      <c r="M303" s="25">
        <v>1996</v>
      </c>
      <c r="N303" s="25">
        <v>7</v>
      </c>
    </row>
    <row r="304" spans="1:14">
      <c r="A304" s="23" t="s">
        <v>285</v>
      </c>
      <c r="B304" s="23" t="s">
        <v>289</v>
      </c>
      <c r="C304" s="23" t="s">
        <v>994</v>
      </c>
      <c r="D304" s="23" t="s">
        <v>1480</v>
      </c>
      <c r="E304" s="23" t="s">
        <v>1481</v>
      </c>
      <c r="F304" s="25">
        <v>116</v>
      </c>
      <c r="G304" s="25">
        <v>37</v>
      </c>
      <c r="H304" s="24">
        <v>0.31896551724137934</v>
      </c>
      <c r="I304" s="24">
        <v>1</v>
      </c>
      <c r="J304" s="24">
        <v>0</v>
      </c>
      <c r="K304" s="24">
        <v>1</v>
      </c>
      <c r="L304" s="23" t="s">
        <v>995</v>
      </c>
      <c r="M304" s="25">
        <v>110</v>
      </c>
      <c r="N304" s="25">
        <v>8</v>
      </c>
    </row>
    <row r="305" spans="1:14">
      <c r="A305" s="23" t="s">
        <v>285</v>
      </c>
      <c r="B305" s="23" t="s">
        <v>289</v>
      </c>
      <c r="C305" s="23" t="s">
        <v>994</v>
      </c>
      <c r="D305" s="23" t="s">
        <v>919</v>
      </c>
      <c r="E305" s="23" t="s">
        <v>920</v>
      </c>
      <c r="F305" s="25">
        <v>116</v>
      </c>
      <c r="G305" s="25">
        <v>29</v>
      </c>
      <c r="H305" s="24">
        <v>0.25</v>
      </c>
      <c r="I305" s="24">
        <v>0.5505267843893753</v>
      </c>
      <c r="J305" s="24">
        <v>0</v>
      </c>
      <c r="K305" s="24">
        <v>1</v>
      </c>
      <c r="L305" s="23" t="s">
        <v>995</v>
      </c>
      <c r="M305" s="25">
        <v>3710</v>
      </c>
      <c r="N305" s="25">
        <v>9</v>
      </c>
    </row>
    <row r="306" spans="1:14">
      <c r="A306" s="23" t="s">
        <v>285</v>
      </c>
      <c r="B306" s="23" t="s">
        <v>289</v>
      </c>
      <c r="C306" s="23" t="s">
        <v>990</v>
      </c>
      <c r="D306" s="23" t="s">
        <v>919</v>
      </c>
      <c r="E306" s="23" t="s">
        <v>920</v>
      </c>
      <c r="F306" s="25">
        <v>116</v>
      </c>
      <c r="G306" s="25">
        <v>29</v>
      </c>
      <c r="H306" s="24">
        <v>0.25</v>
      </c>
      <c r="I306" s="24">
        <v>0.52273526188457642</v>
      </c>
      <c r="J306" s="24">
        <v>0.72</v>
      </c>
      <c r="K306" s="24">
        <v>0</v>
      </c>
      <c r="L306" s="23" t="s">
        <v>991</v>
      </c>
      <c r="M306" s="25">
        <v>25280</v>
      </c>
      <c r="N306" s="25">
        <v>10</v>
      </c>
    </row>
    <row r="307" spans="1:14">
      <c r="A307" s="23" t="s">
        <v>285</v>
      </c>
      <c r="B307" s="23" t="s">
        <v>289</v>
      </c>
      <c r="C307" s="23" t="s">
        <v>994</v>
      </c>
      <c r="D307" s="23" t="s">
        <v>923</v>
      </c>
      <c r="E307" s="23" t="s">
        <v>1482</v>
      </c>
      <c r="F307" s="25">
        <v>116</v>
      </c>
      <c r="G307" s="25">
        <v>27</v>
      </c>
      <c r="H307" s="24">
        <v>0.23275862068965517</v>
      </c>
      <c r="I307" s="24">
        <v>1</v>
      </c>
      <c r="J307" s="24">
        <v>0</v>
      </c>
      <c r="K307" s="24">
        <v>1</v>
      </c>
      <c r="L307" s="23" t="s">
        <v>995</v>
      </c>
      <c r="M307" s="25">
        <v>560</v>
      </c>
      <c r="N307" s="25">
        <v>11</v>
      </c>
    </row>
    <row r="308" spans="1:14">
      <c r="A308" s="23" t="s">
        <v>285</v>
      </c>
      <c r="B308" s="23" t="s">
        <v>289</v>
      </c>
      <c r="C308" s="23" t="s">
        <v>990</v>
      </c>
      <c r="D308" s="23" t="s">
        <v>923</v>
      </c>
      <c r="E308" s="23" t="s">
        <v>924</v>
      </c>
      <c r="F308" s="25">
        <v>116</v>
      </c>
      <c r="G308" s="25">
        <v>27</v>
      </c>
      <c r="H308" s="24">
        <v>0.23275862068965517</v>
      </c>
      <c r="I308" s="24">
        <v>1</v>
      </c>
      <c r="J308" s="24">
        <v>0.84</v>
      </c>
      <c r="K308" s="24">
        <v>0</v>
      </c>
      <c r="L308" s="23" t="s">
        <v>991</v>
      </c>
      <c r="M308" s="25">
        <v>4554</v>
      </c>
      <c r="N308" s="25">
        <v>12</v>
      </c>
    </row>
    <row r="309" spans="1:14">
      <c r="A309" s="23" t="s">
        <v>285</v>
      </c>
      <c r="B309" s="23" t="s">
        <v>286</v>
      </c>
      <c r="C309" s="23" t="s">
        <v>994</v>
      </c>
      <c r="D309" s="23" t="s">
        <v>921</v>
      </c>
      <c r="E309" s="23" t="s">
        <v>922</v>
      </c>
      <c r="F309" s="25">
        <v>20</v>
      </c>
      <c r="G309" s="25">
        <v>20</v>
      </c>
      <c r="H309" s="24">
        <v>1</v>
      </c>
      <c r="I309" s="24">
        <v>1</v>
      </c>
      <c r="J309" s="24">
        <v>0</v>
      </c>
      <c r="K309" s="24">
        <v>1</v>
      </c>
      <c r="L309" s="23" t="s">
        <v>995</v>
      </c>
      <c r="M309" s="25">
        <v>1030</v>
      </c>
      <c r="N309" s="25">
        <v>1</v>
      </c>
    </row>
    <row r="310" spans="1:14">
      <c r="A310" s="23" t="s">
        <v>285</v>
      </c>
      <c r="B310" s="23" t="s">
        <v>286</v>
      </c>
      <c r="C310" s="23" t="s">
        <v>994</v>
      </c>
      <c r="D310" s="23" t="s">
        <v>1483</v>
      </c>
      <c r="E310" s="23" t="s">
        <v>1484</v>
      </c>
      <c r="F310" s="25">
        <v>20</v>
      </c>
      <c r="G310" s="25">
        <v>20</v>
      </c>
      <c r="H310" s="24">
        <v>1</v>
      </c>
      <c r="I310" s="24">
        <v>1</v>
      </c>
      <c r="J310" s="24">
        <v>0</v>
      </c>
      <c r="K310" s="24">
        <v>1</v>
      </c>
      <c r="L310" s="23" t="s">
        <v>995</v>
      </c>
      <c r="M310" s="25">
        <v>270</v>
      </c>
      <c r="N310" s="25">
        <v>2</v>
      </c>
    </row>
    <row r="311" spans="1:14">
      <c r="A311" s="23" t="s">
        <v>285</v>
      </c>
      <c r="B311" s="23" t="s">
        <v>286</v>
      </c>
      <c r="C311" s="23" t="s">
        <v>994</v>
      </c>
      <c r="D311" s="23" t="s">
        <v>1485</v>
      </c>
      <c r="E311" s="23" t="s">
        <v>1486</v>
      </c>
      <c r="F311" s="25">
        <v>20</v>
      </c>
      <c r="G311" s="25">
        <v>19</v>
      </c>
      <c r="H311" s="24">
        <v>0.95</v>
      </c>
      <c r="I311" s="24">
        <v>1</v>
      </c>
      <c r="J311" s="24">
        <v>0</v>
      </c>
      <c r="K311" s="24">
        <v>1</v>
      </c>
      <c r="L311" s="23" t="s">
        <v>995</v>
      </c>
      <c r="M311" s="25">
        <v>189</v>
      </c>
      <c r="N311" s="25">
        <v>3</v>
      </c>
    </row>
    <row r="312" spans="1:14">
      <c r="A312" s="23" t="s">
        <v>285</v>
      </c>
      <c r="B312" s="23" t="s">
        <v>286</v>
      </c>
      <c r="C312" s="23" t="s">
        <v>994</v>
      </c>
      <c r="D312" s="23" t="s">
        <v>1487</v>
      </c>
      <c r="E312" s="23" t="s">
        <v>1488</v>
      </c>
      <c r="F312" s="25">
        <v>20</v>
      </c>
      <c r="G312" s="25">
        <v>14</v>
      </c>
      <c r="H312" s="24">
        <v>0.7</v>
      </c>
      <c r="I312" s="24">
        <v>1</v>
      </c>
      <c r="J312" s="24">
        <v>0</v>
      </c>
      <c r="K312" s="24">
        <v>1</v>
      </c>
      <c r="L312" s="23" t="s">
        <v>995</v>
      </c>
      <c r="M312" s="25">
        <v>2601</v>
      </c>
      <c r="N312" s="25">
        <v>4</v>
      </c>
    </row>
    <row r="313" spans="1:14">
      <c r="A313" s="23" t="s">
        <v>285</v>
      </c>
      <c r="B313" s="23" t="s">
        <v>286</v>
      </c>
      <c r="C313" s="23" t="s">
        <v>994</v>
      </c>
      <c r="D313" s="23" t="s">
        <v>1489</v>
      </c>
      <c r="E313" s="23" t="s">
        <v>1490</v>
      </c>
      <c r="F313" s="25">
        <v>20</v>
      </c>
      <c r="G313" s="25">
        <v>7</v>
      </c>
      <c r="H313" s="24">
        <v>0.35</v>
      </c>
      <c r="I313" s="24">
        <v>1</v>
      </c>
      <c r="J313" s="24">
        <v>0</v>
      </c>
      <c r="K313" s="24">
        <v>0.8571428571428571</v>
      </c>
      <c r="L313" s="23" t="s">
        <v>995</v>
      </c>
      <c r="M313" s="25">
        <v>14</v>
      </c>
      <c r="N313" s="25">
        <v>5</v>
      </c>
    </row>
    <row r="314" spans="1:14">
      <c r="A314" s="23" t="s">
        <v>294</v>
      </c>
      <c r="B314" s="23" t="s">
        <v>300</v>
      </c>
      <c r="C314" s="23" t="s">
        <v>994</v>
      </c>
      <c r="D314" s="23" t="s">
        <v>938</v>
      </c>
      <c r="E314" s="23" t="s">
        <v>939</v>
      </c>
      <c r="F314" s="25">
        <v>117</v>
      </c>
      <c r="G314" s="25">
        <v>117</v>
      </c>
      <c r="H314" s="24">
        <v>1</v>
      </c>
      <c r="I314" s="24">
        <v>1</v>
      </c>
      <c r="J314" s="24">
        <v>0</v>
      </c>
      <c r="K314" s="24">
        <v>1</v>
      </c>
      <c r="L314" s="23" t="s">
        <v>995</v>
      </c>
      <c r="M314" s="25">
        <v>6641</v>
      </c>
      <c r="N314" s="25">
        <v>1</v>
      </c>
    </row>
    <row r="315" spans="1:14">
      <c r="A315" s="23" t="s">
        <v>294</v>
      </c>
      <c r="B315" s="23" t="s">
        <v>300</v>
      </c>
      <c r="C315" s="23" t="s">
        <v>994</v>
      </c>
      <c r="D315" s="23" t="s">
        <v>1491</v>
      </c>
      <c r="E315" s="23" t="s">
        <v>1492</v>
      </c>
      <c r="F315" s="25">
        <v>117</v>
      </c>
      <c r="G315" s="25">
        <v>113</v>
      </c>
      <c r="H315" s="24">
        <v>0.96581196581196582</v>
      </c>
      <c r="I315" s="24">
        <v>0.85328165894906383</v>
      </c>
      <c r="J315" s="24">
        <v>0</v>
      </c>
      <c r="K315" s="24">
        <v>1</v>
      </c>
      <c r="L315" s="23" t="s">
        <v>995</v>
      </c>
      <c r="M315" s="25">
        <v>50859</v>
      </c>
      <c r="N315" s="25">
        <v>2</v>
      </c>
    </row>
    <row r="316" spans="1:14">
      <c r="A316" s="23" t="s">
        <v>294</v>
      </c>
      <c r="B316" s="23" t="s">
        <v>300</v>
      </c>
      <c r="C316" s="23" t="s">
        <v>990</v>
      </c>
      <c r="D316" s="23" t="s">
        <v>932</v>
      </c>
      <c r="E316" s="23" t="s">
        <v>933</v>
      </c>
      <c r="F316" s="25">
        <v>117</v>
      </c>
      <c r="G316" s="25">
        <v>104</v>
      </c>
      <c r="H316" s="24">
        <v>0.88888888888888884</v>
      </c>
      <c r="I316" s="24">
        <v>0.73845054770598506</v>
      </c>
      <c r="J316" s="24">
        <v>0.55272727272727273</v>
      </c>
      <c r="K316" s="24">
        <v>0</v>
      </c>
      <c r="L316" s="23" t="s">
        <v>1010</v>
      </c>
      <c r="M316" s="25">
        <v>9303</v>
      </c>
      <c r="N316" s="25">
        <v>3</v>
      </c>
    </row>
    <row r="317" spans="1:14">
      <c r="A317" s="23" t="s">
        <v>294</v>
      </c>
      <c r="B317" s="23" t="s">
        <v>300</v>
      </c>
      <c r="C317" s="23" t="s">
        <v>994</v>
      </c>
      <c r="D317" s="23" t="s">
        <v>1493</v>
      </c>
      <c r="E317" s="23" t="s">
        <v>1494</v>
      </c>
      <c r="F317" s="25">
        <v>117</v>
      </c>
      <c r="G317" s="25">
        <v>68</v>
      </c>
      <c r="H317" s="24">
        <v>0.58119658119658124</v>
      </c>
      <c r="I317" s="24">
        <v>1</v>
      </c>
      <c r="J317" s="24">
        <v>0</v>
      </c>
      <c r="K317" s="24">
        <v>1</v>
      </c>
      <c r="L317" s="23" t="s">
        <v>995</v>
      </c>
      <c r="M317" s="25">
        <v>3587</v>
      </c>
      <c r="N317" s="25">
        <v>4</v>
      </c>
    </row>
    <row r="318" spans="1:14">
      <c r="A318" s="23" t="s">
        <v>294</v>
      </c>
      <c r="B318" s="23" t="s">
        <v>300</v>
      </c>
      <c r="C318" s="23" t="s">
        <v>994</v>
      </c>
      <c r="D318" s="23" t="s">
        <v>1495</v>
      </c>
      <c r="E318" s="23" t="s">
        <v>1496</v>
      </c>
      <c r="F318" s="25">
        <v>117</v>
      </c>
      <c r="G318" s="25">
        <v>34</v>
      </c>
      <c r="H318" s="24">
        <v>0.29059829059829062</v>
      </c>
      <c r="I318" s="24">
        <v>0.5382436260623229</v>
      </c>
      <c r="J318" s="24">
        <v>0</v>
      </c>
      <c r="K318" s="24">
        <v>1</v>
      </c>
      <c r="L318" s="23" t="s">
        <v>995</v>
      </c>
      <c r="M318" s="25">
        <v>760</v>
      </c>
      <c r="N318" s="25">
        <v>5</v>
      </c>
    </row>
    <row r="319" spans="1:14">
      <c r="A319" s="23" t="s">
        <v>294</v>
      </c>
      <c r="B319" s="23" t="s">
        <v>300</v>
      </c>
      <c r="C319" s="23" t="s">
        <v>994</v>
      </c>
      <c r="D319" s="23" t="s">
        <v>1497</v>
      </c>
      <c r="E319" s="23" t="s">
        <v>1498</v>
      </c>
      <c r="F319" s="25">
        <v>117</v>
      </c>
      <c r="G319" s="25">
        <v>34</v>
      </c>
      <c r="H319" s="24">
        <v>0.29059829059829062</v>
      </c>
      <c r="I319" s="24">
        <v>0.52954898911353032</v>
      </c>
      <c r="J319" s="24">
        <v>0</v>
      </c>
      <c r="K319" s="24">
        <v>1</v>
      </c>
      <c r="L319" s="23" t="s">
        <v>995</v>
      </c>
      <c r="M319" s="25">
        <v>681</v>
      </c>
      <c r="N319" s="25">
        <v>6</v>
      </c>
    </row>
    <row r="320" spans="1:14">
      <c r="A320" s="23" t="s">
        <v>294</v>
      </c>
      <c r="B320" s="23" t="s">
        <v>300</v>
      </c>
      <c r="C320" s="23" t="s">
        <v>990</v>
      </c>
      <c r="D320" s="23" t="s">
        <v>1499</v>
      </c>
      <c r="E320" s="23" t="s">
        <v>1500</v>
      </c>
      <c r="F320" s="25">
        <v>117</v>
      </c>
      <c r="G320" s="25">
        <v>34</v>
      </c>
      <c r="H320" s="24">
        <v>0.29059829059829062</v>
      </c>
      <c r="I320" s="24">
        <v>0.50829393380879884</v>
      </c>
      <c r="J320" s="24">
        <v>0.65</v>
      </c>
      <c r="K320" s="24">
        <v>0</v>
      </c>
      <c r="L320" s="23" t="s">
        <v>1010</v>
      </c>
      <c r="M320" s="25">
        <v>6343</v>
      </c>
      <c r="N320" s="25">
        <v>7</v>
      </c>
    </row>
    <row r="321" spans="1:14">
      <c r="A321" s="23" t="s">
        <v>294</v>
      </c>
      <c r="B321" s="23" t="s">
        <v>300</v>
      </c>
      <c r="C321" s="23" t="s">
        <v>990</v>
      </c>
      <c r="D321" s="23" t="s">
        <v>1501</v>
      </c>
      <c r="E321" s="23" t="s">
        <v>1502</v>
      </c>
      <c r="F321" s="25">
        <v>117</v>
      </c>
      <c r="G321" s="25">
        <v>28</v>
      </c>
      <c r="H321" s="24">
        <v>0.23931623931623933</v>
      </c>
      <c r="I321" s="24">
        <v>0.54608523290386524</v>
      </c>
      <c r="J321" s="24">
        <v>0.92307692307692313</v>
      </c>
      <c r="K321" s="24">
        <v>0</v>
      </c>
      <c r="L321" s="23" t="s">
        <v>991</v>
      </c>
      <c r="M321" s="25">
        <v>551</v>
      </c>
      <c r="N321" s="25">
        <v>8</v>
      </c>
    </row>
    <row r="322" spans="1:14">
      <c r="A322" s="23" t="s">
        <v>294</v>
      </c>
      <c r="B322" s="23" t="s">
        <v>295</v>
      </c>
      <c r="C322" s="23" t="s">
        <v>994</v>
      </c>
      <c r="D322" s="23" t="s">
        <v>934</v>
      </c>
      <c r="E322" s="23" t="s">
        <v>935</v>
      </c>
      <c r="F322" s="25">
        <v>59</v>
      </c>
      <c r="G322" s="25">
        <v>59</v>
      </c>
      <c r="H322" s="24">
        <v>1</v>
      </c>
      <c r="I322" s="24">
        <v>1</v>
      </c>
      <c r="J322" s="24">
        <v>0</v>
      </c>
      <c r="K322" s="24">
        <v>1</v>
      </c>
      <c r="L322" s="23" t="s">
        <v>995</v>
      </c>
      <c r="M322" s="25">
        <v>4371</v>
      </c>
      <c r="N322" s="25">
        <v>1</v>
      </c>
    </row>
    <row r="323" spans="1:14">
      <c r="A323" s="23" t="s">
        <v>294</v>
      </c>
      <c r="B323" s="23" t="s">
        <v>295</v>
      </c>
      <c r="C323" s="23" t="s">
        <v>994</v>
      </c>
      <c r="D323" s="23" t="s">
        <v>1503</v>
      </c>
      <c r="E323" s="23" t="s">
        <v>1504</v>
      </c>
      <c r="F323" s="25">
        <v>59</v>
      </c>
      <c r="G323" s="25">
        <v>59</v>
      </c>
      <c r="H323" s="24">
        <v>1</v>
      </c>
      <c r="I323" s="24">
        <v>0.99945681694731126</v>
      </c>
      <c r="J323" s="24">
        <v>0</v>
      </c>
      <c r="K323" s="24">
        <v>1</v>
      </c>
      <c r="L323" s="23" t="s">
        <v>995</v>
      </c>
      <c r="M323" s="25">
        <v>3680</v>
      </c>
      <c r="N323" s="25">
        <v>2</v>
      </c>
    </row>
    <row r="324" spans="1:14">
      <c r="A324" s="23" t="s">
        <v>294</v>
      </c>
      <c r="B324" s="23" t="s">
        <v>295</v>
      </c>
      <c r="C324" s="23" t="s">
        <v>994</v>
      </c>
      <c r="D324" s="23" t="s">
        <v>1505</v>
      </c>
      <c r="E324" s="23" t="s">
        <v>1506</v>
      </c>
      <c r="F324" s="25">
        <v>59</v>
      </c>
      <c r="G324" s="25">
        <v>59</v>
      </c>
      <c r="H324" s="24">
        <v>1</v>
      </c>
      <c r="I324" s="24">
        <v>1</v>
      </c>
      <c r="J324" s="24">
        <v>0</v>
      </c>
      <c r="K324" s="24">
        <v>1</v>
      </c>
      <c r="L324" s="23" t="s">
        <v>995</v>
      </c>
      <c r="M324" s="25">
        <v>1516</v>
      </c>
      <c r="N324" s="25">
        <v>3</v>
      </c>
    </row>
    <row r="325" spans="1:14">
      <c r="A325" s="23" t="s">
        <v>294</v>
      </c>
      <c r="B325" s="23" t="s">
        <v>295</v>
      </c>
      <c r="C325" s="23" t="s">
        <v>994</v>
      </c>
      <c r="D325" s="23" t="s">
        <v>1507</v>
      </c>
      <c r="E325" s="23" t="s">
        <v>1508</v>
      </c>
      <c r="F325" s="25">
        <v>59</v>
      </c>
      <c r="G325" s="25">
        <v>58</v>
      </c>
      <c r="H325" s="24">
        <v>0.98305084745762716</v>
      </c>
      <c r="I325" s="24">
        <v>1</v>
      </c>
      <c r="J325" s="24">
        <v>0</v>
      </c>
      <c r="K325" s="24">
        <v>1</v>
      </c>
      <c r="L325" s="23" t="s">
        <v>995</v>
      </c>
      <c r="M325" s="25">
        <v>902</v>
      </c>
      <c r="N325" s="25">
        <v>4</v>
      </c>
    </row>
    <row r="326" spans="1:14">
      <c r="A326" s="23" t="s">
        <v>294</v>
      </c>
      <c r="B326" s="23" t="s">
        <v>295</v>
      </c>
      <c r="C326" s="23" t="s">
        <v>994</v>
      </c>
      <c r="D326" s="23" t="s">
        <v>1509</v>
      </c>
      <c r="E326" s="23" t="s">
        <v>1510</v>
      </c>
      <c r="F326" s="25">
        <v>59</v>
      </c>
      <c r="G326" s="25">
        <v>53</v>
      </c>
      <c r="H326" s="24">
        <v>0.89830508474576276</v>
      </c>
      <c r="I326" s="24">
        <v>0.99979079497907952</v>
      </c>
      <c r="J326" s="24">
        <v>0</v>
      </c>
      <c r="K326" s="24">
        <v>1</v>
      </c>
      <c r="L326" s="23" t="s">
        <v>995</v>
      </c>
      <c r="M326" s="25">
        <v>19116</v>
      </c>
      <c r="N326" s="25">
        <v>5</v>
      </c>
    </row>
    <row r="327" spans="1:14">
      <c r="A327" s="23" t="s">
        <v>294</v>
      </c>
      <c r="B327" s="23" t="s">
        <v>295</v>
      </c>
      <c r="C327" s="23" t="s">
        <v>994</v>
      </c>
      <c r="D327" s="23" t="s">
        <v>1511</v>
      </c>
      <c r="E327" s="23" t="s">
        <v>1512</v>
      </c>
      <c r="F327" s="25">
        <v>59</v>
      </c>
      <c r="G327" s="25">
        <v>42</v>
      </c>
      <c r="H327" s="24">
        <v>0.71186440677966101</v>
      </c>
      <c r="I327" s="24">
        <v>1</v>
      </c>
      <c r="J327" s="24">
        <v>0</v>
      </c>
      <c r="K327" s="24">
        <v>1</v>
      </c>
      <c r="L327" s="23" t="s">
        <v>995</v>
      </c>
      <c r="M327" s="25">
        <v>1390</v>
      </c>
      <c r="N327" s="25">
        <v>6</v>
      </c>
    </row>
    <row r="328" spans="1:14">
      <c r="A328" s="23" t="s">
        <v>294</v>
      </c>
      <c r="B328" s="23" t="s">
        <v>295</v>
      </c>
      <c r="C328" s="23" t="s">
        <v>994</v>
      </c>
      <c r="D328" s="23" t="s">
        <v>1513</v>
      </c>
      <c r="E328" s="23" t="s">
        <v>1514</v>
      </c>
      <c r="F328" s="25">
        <v>59</v>
      </c>
      <c r="G328" s="25">
        <v>28</v>
      </c>
      <c r="H328" s="24">
        <v>0.47457627118644069</v>
      </c>
      <c r="I328" s="24">
        <v>0.71066666666666667</v>
      </c>
      <c r="J328" s="24">
        <v>0</v>
      </c>
      <c r="K328" s="24">
        <v>0.9285714285714286</v>
      </c>
      <c r="L328" s="23" t="s">
        <v>995</v>
      </c>
      <c r="M328" s="25">
        <v>5863</v>
      </c>
      <c r="N328" s="25">
        <v>7</v>
      </c>
    </row>
    <row r="329" spans="1:14">
      <c r="A329" s="23" t="s">
        <v>294</v>
      </c>
      <c r="B329" s="23" t="s">
        <v>298</v>
      </c>
      <c r="C329" s="23" t="s">
        <v>994</v>
      </c>
      <c r="D329" s="23" t="s">
        <v>936</v>
      </c>
      <c r="E329" s="23" t="s">
        <v>937</v>
      </c>
      <c r="F329" s="25">
        <v>80</v>
      </c>
      <c r="G329" s="25">
        <v>77</v>
      </c>
      <c r="H329" s="24">
        <v>0.96250000000000002</v>
      </c>
      <c r="I329" s="24">
        <v>1</v>
      </c>
      <c r="J329" s="24">
        <v>0</v>
      </c>
      <c r="K329" s="24">
        <v>1</v>
      </c>
      <c r="L329" s="23" t="s">
        <v>995</v>
      </c>
      <c r="M329" s="25">
        <v>2802</v>
      </c>
      <c r="N329" s="25">
        <v>1</v>
      </c>
    </row>
    <row r="330" spans="1:14">
      <c r="A330" s="23" t="s">
        <v>294</v>
      </c>
      <c r="B330" s="23" t="s">
        <v>298</v>
      </c>
      <c r="C330" s="23" t="s">
        <v>994</v>
      </c>
      <c r="D330" s="23" t="s">
        <v>1515</v>
      </c>
      <c r="E330" s="23" t="s">
        <v>1516</v>
      </c>
      <c r="F330" s="25">
        <v>80</v>
      </c>
      <c r="G330" s="25">
        <v>77</v>
      </c>
      <c r="H330" s="24">
        <v>0.96250000000000002</v>
      </c>
      <c r="I330" s="24">
        <v>1</v>
      </c>
      <c r="J330" s="24">
        <v>0</v>
      </c>
      <c r="K330" s="24">
        <v>1</v>
      </c>
      <c r="L330" s="23" t="s">
        <v>995</v>
      </c>
      <c r="M330" s="25">
        <v>1436</v>
      </c>
      <c r="N330" s="25">
        <v>2</v>
      </c>
    </row>
    <row r="331" spans="1:14">
      <c r="A331" s="23" t="s">
        <v>294</v>
      </c>
      <c r="B331" s="23" t="s">
        <v>298</v>
      </c>
      <c r="C331" s="23" t="s">
        <v>994</v>
      </c>
      <c r="D331" s="23" t="s">
        <v>1517</v>
      </c>
      <c r="E331" s="23" t="s">
        <v>1518</v>
      </c>
      <c r="F331" s="25">
        <v>80</v>
      </c>
      <c r="G331" s="25">
        <v>33</v>
      </c>
      <c r="H331" s="24">
        <v>0.41249999999999998</v>
      </c>
      <c r="I331" s="24">
        <v>0.6071428571428571</v>
      </c>
      <c r="J331" s="24">
        <v>0</v>
      </c>
      <c r="K331" s="24">
        <v>0.72727272727272729</v>
      </c>
      <c r="L331" s="23" t="s">
        <v>995</v>
      </c>
      <c r="M331" s="25">
        <v>68</v>
      </c>
      <c r="N331" s="25">
        <v>3</v>
      </c>
    </row>
    <row r="332" spans="1:14">
      <c r="A332" s="23" t="s">
        <v>213</v>
      </c>
      <c r="B332" s="23" t="s">
        <v>221</v>
      </c>
      <c r="C332" s="23" t="s">
        <v>994</v>
      </c>
      <c r="D332" s="23" t="s">
        <v>842</v>
      </c>
      <c r="E332" s="23" t="s">
        <v>843</v>
      </c>
      <c r="F332" s="25">
        <v>27</v>
      </c>
      <c r="G332" s="25">
        <v>27</v>
      </c>
      <c r="H332" s="24">
        <v>1</v>
      </c>
      <c r="I332" s="24">
        <v>1</v>
      </c>
      <c r="J332" s="24">
        <v>0</v>
      </c>
      <c r="K332" s="24">
        <v>1</v>
      </c>
      <c r="L332" s="23" t="s">
        <v>995</v>
      </c>
      <c r="M332" s="25">
        <v>3158</v>
      </c>
      <c r="N332" s="25">
        <v>1</v>
      </c>
    </row>
    <row r="333" spans="1:14">
      <c r="A333" s="23" t="s">
        <v>213</v>
      </c>
      <c r="B333" s="23" t="s">
        <v>221</v>
      </c>
      <c r="C333" s="23" t="s">
        <v>994</v>
      </c>
      <c r="D333" s="23" t="s">
        <v>1519</v>
      </c>
      <c r="E333" s="23" t="s">
        <v>1520</v>
      </c>
      <c r="F333" s="25">
        <v>27</v>
      </c>
      <c r="G333" s="25">
        <v>26</v>
      </c>
      <c r="H333" s="24">
        <v>0.96296296296296291</v>
      </c>
      <c r="I333" s="24">
        <v>1</v>
      </c>
      <c r="J333" s="24">
        <v>0</v>
      </c>
      <c r="K333" s="24">
        <v>1</v>
      </c>
      <c r="L333" s="23" t="s">
        <v>995</v>
      </c>
      <c r="M333" s="25">
        <v>1517</v>
      </c>
      <c r="N333" s="25">
        <v>2</v>
      </c>
    </row>
    <row r="334" spans="1:14">
      <c r="A334" s="23" t="s">
        <v>213</v>
      </c>
      <c r="B334" s="23" t="s">
        <v>221</v>
      </c>
      <c r="C334" s="23" t="s">
        <v>994</v>
      </c>
      <c r="D334" s="23" t="s">
        <v>1521</v>
      </c>
      <c r="E334" s="23" t="s">
        <v>1522</v>
      </c>
      <c r="F334" s="25">
        <v>27</v>
      </c>
      <c r="G334" s="25">
        <v>24</v>
      </c>
      <c r="H334" s="24">
        <v>0.88888888888888884</v>
      </c>
      <c r="I334" s="24">
        <v>0.98662207357859533</v>
      </c>
      <c r="J334" s="24">
        <v>0</v>
      </c>
      <c r="K334" s="24">
        <v>0.875</v>
      </c>
      <c r="L334" s="23" t="s">
        <v>995</v>
      </c>
      <c r="M334" s="25">
        <v>295</v>
      </c>
      <c r="N334" s="25">
        <v>3</v>
      </c>
    </row>
    <row r="335" spans="1:14">
      <c r="A335" s="23" t="s">
        <v>213</v>
      </c>
      <c r="B335" s="23" t="s">
        <v>221</v>
      </c>
      <c r="C335" s="23" t="s">
        <v>994</v>
      </c>
      <c r="D335" s="23" t="s">
        <v>1523</v>
      </c>
      <c r="E335" s="23" t="s">
        <v>1524</v>
      </c>
      <c r="F335" s="25">
        <v>27</v>
      </c>
      <c r="G335" s="25">
        <v>8</v>
      </c>
      <c r="H335" s="24">
        <v>0.29629629629629628</v>
      </c>
      <c r="I335" s="24">
        <v>0.57407407407407407</v>
      </c>
      <c r="J335" s="24">
        <v>0</v>
      </c>
      <c r="K335" s="24">
        <v>0.5</v>
      </c>
      <c r="L335" s="23" t="s">
        <v>1010</v>
      </c>
      <c r="M335" s="25">
        <v>62</v>
      </c>
      <c r="N335" s="25">
        <v>4</v>
      </c>
    </row>
    <row r="336" spans="1:14">
      <c r="A336" s="23" t="s">
        <v>213</v>
      </c>
      <c r="B336" s="23" t="s">
        <v>214</v>
      </c>
      <c r="C336" s="23" t="s">
        <v>990</v>
      </c>
      <c r="D336" s="23" t="s">
        <v>834</v>
      </c>
      <c r="E336" s="23" t="s">
        <v>835</v>
      </c>
      <c r="F336" s="25">
        <v>102</v>
      </c>
      <c r="G336" s="25">
        <v>102</v>
      </c>
      <c r="H336" s="24">
        <v>1</v>
      </c>
      <c r="I336" s="24">
        <v>1</v>
      </c>
      <c r="J336" s="24">
        <v>1</v>
      </c>
      <c r="K336" s="24">
        <v>0</v>
      </c>
      <c r="L336" s="23" t="s">
        <v>991</v>
      </c>
      <c r="M336" s="25">
        <v>30210</v>
      </c>
      <c r="N336" s="25">
        <v>1</v>
      </c>
    </row>
    <row r="337" spans="1:14">
      <c r="A337" s="23" t="s">
        <v>213</v>
      </c>
      <c r="B337" s="23" t="s">
        <v>214</v>
      </c>
      <c r="C337" s="23" t="s">
        <v>990</v>
      </c>
      <c r="D337" s="23" t="s">
        <v>1525</v>
      </c>
      <c r="E337" s="23" t="s">
        <v>1526</v>
      </c>
      <c r="F337" s="25">
        <v>102</v>
      </c>
      <c r="G337" s="25">
        <v>97</v>
      </c>
      <c r="H337" s="24">
        <v>0.9509803921568627</v>
      </c>
      <c r="I337" s="24">
        <v>1</v>
      </c>
      <c r="J337" s="24">
        <v>0.8</v>
      </c>
      <c r="K337" s="24">
        <v>0</v>
      </c>
      <c r="L337" s="23" t="s">
        <v>991</v>
      </c>
      <c r="M337" s="25">
        <v>73038</v>
      </c>
      <c r="N337" s="25">
        <v>2</v>
      </c>
    </row>
    <row r="338" spans="1:14">
      <c r="A338" s="23" t="s">
        <v>213</v>
      </c>
      <c r="B338" s="23" t="s">
        <v>214</v>
      </c>
      <c r="C338" s="23" t="s">
        <v>990</v>
      </c>
      <c r="D338" s="23" t="s">
        <v>1527</v>
      </c>
      <c r="E338" s="23" t="s">
        <v>1528</v>
      </c>
      <c r="F338" s="25">
        <v>102</v>
      </c>
      <c r="G338" s="25">
        <v>48</v>
      </c>
      <c r="H338" s="24">
        <v>0.47058823529411764</v>
      </c>
      <c r="I338" s="24">
        <v>1</v>
      </c>
      <c r="J338" s="24">
        <v>1</v>
      </c>
      <c r="K338" s="24">
        <v>0</v>
      </c>
      <c r="L338" s="23" t="s">
        <v>991</v>
      </c>
      <c r="M338" s="25">
        <v>165213</v>
      </c>
      <c r="N338" s="25">
        <v>3</v>
      </c>
    </row>
    <row r="339" spans="1:14">
      <c r="A339" s="23" t="s">
        <v>213</v>
      </c>
      <c r="B339" s="23" t="s">
        <v>214</v>
      </c>
      <c r="C339" s="23" t="s">
        <v>990</v>
      </c>
      <c r="D339" s="23" t="s">
        <v>1529</v>
      </c>
      <c r="E339" s="23" t="s">
        <v>1530</v>
      </c>
      <c r="F339" s="25">
        <v>102</v>
      </c>
      <c r="G339" s="25">
        <v>44</v>
      </c>
      <c r="H339" s="24">
        <v>0.43137254901960786</v>
      </c>
      <c r="I339" s="24">
        <v>1</v>
      </c>
      <c r="J339" s="24">
        <v>0.95833333333333337</v>
      </c>
      <c r="K339" s="24">
        <v>0</v>
      </c>
      <c r="L339" s="23" t="s">
        <v>991</v>
      </c>
      <c r="M339" s="25">
        <v>9893</v>
      </c>
      <c r="N339" s="25">
        <v>4</v>
      </c>
    </row>
    <row r="340" spans="1:14">
      <c r="A340" s="23" t="s">
        <v>213</v>
      </c>
      <c r="B340" s="23" t="s">
        <v>214</v>
      </c>
      <c r="C340" s="23" t="s">
        <v>990</v>
      </c>
      <c r="D340" s="23" t="s">
        <v>1531</v>
      </c>
      <c r="E340" s="23" t="s">
        <v>1532</v>
      </c>
      <c r="F340" s="25">
        <v>102</v>
      </c>
      <c r="G340" s="25">
        <v>44</v>
      </c>
      <c r="H340" s="24">
        <v>0.43137254901960786</v>
      </c>
      <c r="I340" s="24">
        <v>1</v>
      </c>
      <c r="J340" s="24">
        <v>0.57499999999999996</v>
      </c>
      <c r="K340" s="24">
        <v>0</v>
      </c>
      <c r="L340" s="23" t="s">
        <v>1010</v>
      </c>
      <c r="M340" s="25">
        <v>2438</v>
      </c>
      <c r="N340" s="25">
        <v>5</v>
      </c>
    </row>
    <row r="341" spans="1:14">
      <c r="A341" s="23" t="s">
        <v>213</v>
      </c>
      <c r="B341" s="23" t="s">
        <v>218</v>
      </c>
      <c r="C341" s="23" t="s">
        <v>994</v>
      </c>
      <c r="D341" s="23" t="s">
        <v>840</v>
      </c>
      <c r="E341" s="23" t="s">
        <v>841</v>
      </c>
      <c r="F341" s="25">
        <v>76</v>
      </c>
      <c r="G341" s="25">
        <v>65</v>
      </c>
      <c r="H341" s="24">
        <v>0.85526315789473684</v>
      </c>
      <c r="I341" s="24">
        <v>1</v>
      </c>
      <c r="J341" s="24">
        <v>0</v>
      </c>
      <c r="K341" s="24">
        <v>1</v>
      </c>
      <c r="L341" s="23" t="s">
        <v>995</v>
      </c>
      <c r="M341" s="25">
        <v>19264</v>
      </c>
      <c r="N341" s="25">
        <v>1</v>
      </c>
    </row>
    <row r="342" spans="1:14">
      <c r="A342" s="23" t="s">
        <v>213</v>
      </c>
      <c r="B342" s="23" t="s">
        <v>218</v>
      </c>
      <c r="C342" s="23" t="s">
        <v>994</v>
      </c>
      <c r="D342" s="23" t="s">
        <v>1533</v>
      </c>
      <c r="E342" s="23" t="s">
        <v>1534</v>
      </c>
      <c r="F342" s="25">
        <v>76</v>
      </c>
      <c r="G342" s="25">
        <v>32</v>
      </c>
      <c r="H342" s="24">
        <v>0.42105263157894735</v>
      </c>
      <c r="I342" s="24">
        <v>1</v>
      </c>
      <c r="J342" s="24">
        <v>0</v>
      </c>
      <c r="K342" s="24">
        <v>0.96875</v>
      </c>
      <c r="L342" s="23" t="s">
        <v>995</v>
      </c>
      <c r="M342" s="25">
        <v>467</v>
      </c>
      <c r="N342" s="25">
        <v>2</v>
      </c>
    </row>
    <row r="343" spans="1:14">
      <c r="A343" s="23" t="s">
        <v>213</v>
      </c>
      <c r="B343" s="23" t="s">
        <v>216</v>
      </c>
      <c r="C343" s="23" t="s">
        <v>994</v>
      </c>
      <c r="D343" s="23" t="s">
        <v>838</v>
      </c>
      <c r="E343" s="23" t="s">
        <v>839</v>
      </c>
      <c r="F343" s="25">
        <v>106</v>
      </c>
      <c r="G343" s="25">
        <v>78</v>
      </c>
      <c r="H343" s="24">
        <v>0.73584905660377353</v>
      </c>
      <c r="I343" s="24">
        <v>0.99863892669648069</v>
      </c>
      <c r="J343" s="24">
        <v>0</v>
      </c>
      <c r="K343" s="24">
        <v>0.98717948717948723</v>
      </c>
      <c r="L343" s="23" t="s">
        <v>995</v>
      </c>
      <c r="M343" s="25">
        <v>10272</v>
      </c>
      <c r="N343" s="25">
        <v>1</v>
      </c>
    </row>
    <row r="344" spans="1:14">
      <c r="A344" s="23" t="s">
        <v>213</v>
      </c>
      <c r="B344" s="23" t="s">
        <v>216</v>
      </c>
      <c r="C344" s="23" t="s">
        <v>994</v>
      </c>
      <c r="D344" s="23" t="s">
        <v>1535</v>
      </c>
      <c r="E344" s="23" t="s">
        <v>1536</v>
      </c>
      <c r="F344" s="25">
        <v>106</v>
      </c>
      <c r="G344" s="25">
        <v>57</v>
      </c>
      <c r="H344" s="24">
        <v>0.53773584905660377</v>
      </c>
      <c r="I344" s="24">
        <v>0.99851851851851847</v>
      </c>
      <c r="J344" s="24">
        <v>0</v>
      </c>
      <c r="K344" s="24">
        <v>0.98245614035087714</v>
      </c>
      <c r="L344" s="23" t="s">
        <v>995</v>
      </c>
      <c r="M344" s="25">
        <v>9436</v>
      </c>
      <c r="N344" s="25">
        <v>2</v>
      </c>
    </row>
    <row r="345" spans="1:14">
      <c r="A345" s="23" t="s">
        <v>213</v>
      </c>
      <c r="B345" s="23" t="s">
        <v>216</v>
      </c>
      <c r="C345" s="23" t="s">
        <v>994</v>
      </c>
      <c r="D345" s="23" t="s">
        <v>1537</v>
      </c>
      <c r="E345" s="23" t="s">
        <v>1538</v>
      </c>
      <c r="F345" s="25">
        <v>106</v>
      </c>
      <c r="G345" s="25">
        <v>54</v>
      </c>
      <c r="H345" s="24">
        <v>0.50943396226415094</v>
      </c>
      <c r="I345" s="24">
        <v>0.98560575769692127</v>
      </c>
      <c r="J345" s="24">
        <v>0</v>
      </c>
      <c r="K345" s="24">
        <v>1</v>
      </c>
      <c r="L345" s="23" t="s">
        <v>995</v>
      </c>
      <c r="M345" s="25">
        <v>2465</v>
      </c>
      <c r="N345" s="25">
        <v>3</v>
      </c>
    </row>
    <row r="346" spans="1:14">
      <c r="A346" s="23" t="s">
        <v>213</v>
      </c>
      <c r="B346" s="23" t="s">
        <v>216</v>
      </c>
      <c r="C346" s="23" t="s">
        <v>994</v>
      </c>
      <c r="D346" s="23" t="s">
        <v>1539</v>
      </c>
      <c r="E346" s="23" t="s">
        <v>1540</v>
      </c>
      <c r="F346" s="25">
        <v>106</v>
      </c>
      <c r="G346" s="25">
        <v>53</v>
      </c>
      <c r="H346" s="24">
        <v>0.5</v>
      </c>
      <c r="I346" s="24">
        <v>1</v>
      </c>
      <c r="J346" s="24">
        <v>0</v>
      </c>
      <c r="K346" s="24">
        <v>1</v>
      </c>
      <c r="L346" s="23" t="s">
        <v>995</v>
      </c>
      <c r="M346" s="25">
        <v>962</v>
      </c>
      <c r="N346" s="25">
        <v>4</v>
      </c>
    </row>
    <row r="347" spans="1:14">
      <c r="A347" s="23" t="s">
        <v>213</v>
      </c>
      <c r="B347" s="23" t="s">
        <v>216</v>
      </c>
      <c r="C347" s="23" t="s">
        <v>994</v>
      </c>
      <c r="D347" s="23" t="s">
        <v>1541</v>
      </c>
      <c r="E347" s="23" t="s">
        <v>1542</v>
      </c>
      <c r="F347" s="25">
        <v>106</v>
      </c>
      <c r="G347" s="25">
        <v>27</v>
      </c>
      <c r="H347" s="24">
        <v>0.25471698113207547</v>
      </c>
      <c r="I347" s="24">
        <v>0.54218106995884774</v>
      </c>
      <c r="J347" s="24">
        <v>0</v>
      </c>
      <c r="K347" s="24">
        <v>1</v>
      </c>
      <c r="L347" s="23" t="s">
        <v>995</v>
      </c>
      <c r="M347" s="25">
        <v>527</v>
      </c>
      <c r="N347" s="25">
        <v>5</v>
      </c>
    </row>
    <row r="348" spans="1:14">
      <c r="A348" s="23" t="s">
        <v>213</v>
      </c>
      <c r="B348" s="23" t="s">
        <v>216</v>
      </c>
      <c r="C348" s="23" t="s">
        <v>994</v>
      </c>
      <c r="D348" s="23" t="s">
        <v>1543</v>
      </c>
      <c r="E348" s="23" t="s">
        <v>1544</v>
      </c>
      <c r="F348" s="25">
        <v>106</v>
      </c>
      <c r="G348" s="25">
        <v>24</v>
      </c>
      <c r="H348" s="24">
        <v>0.22641509433962265</v>
      </c>
      <c r="I348" s="24">
        <v>0.70827285921625549</v>
      </c>
      <c r="J348" s="24">
        <v>0</v>
      </c>
      <c r="K348" s="24">
        <v>1</v>
      </c>
      <c r="L348" s="23" t="s">
        <v>995</v>
      </c>
      <c r="M348" s="25">
        <v>976</v>
      </c>
      <c r="N348" s="25">
        <v>6</v>
      </c>
    </row>
    <row r="349" spans="1:14">
      <c r="A349" s="23" t="s">
        <v>174</v>
      </c>
      <c r="B349" s="23" t="s">
        <v>178</v>
      </c>
      <c r="C349" s="23" t="s">
        <v>994</v>
      </c>
      <c r="D349" s="23" t="s">
        <v>1545</v>
      </c>
      <c r="E349" s="23" t="s">
        <v>1546</v>
      </c>
      <c r="F349" s="25">
        <v>86</v>
      </c>
      <c r="G349" s="25">
        <v>86</v>
      </c>
      <c r="H349" s="24">
        <v>1</v>
      </c>
      <c r="I349" s="24">
        <v>0.95111287758346585</v>
      </c>
      <c r="J349" s="24">
        <v>0</v>
      </c>
      <c r="K349" s="24">
        <v>1</v>
      </c>
      <c r="L349" s="23" t="s">
        <v>995</v>
      </c>
      <c r="M349" s="25">
        <v>4786</v>
      </c>
      <c r="N349" s="25">
        <v>1</v>
      </c>
    </row>
    <row r="350" spans="1:14">
      <c r="A350" s="23" t="s">
        <v>174</v>
      </c>
      <c r="B350" s="23" t="s">
        <v>178</v>
      </c>
      <c r="C350" s="23" t="s">
        <v>994</v>
      </c>
      <c r="D350" s="23" t="s">
        <v>792</v>
      </c>
      <c r="E350" s="23" t="s">
        <v>793</v>
      </c>
      <c r="F350" s="25">
        <v>86</v>
      </c>
      <c r="G350" s="25">
        <v>86</v>
      </c>
      <c r="H350" s="24">
        <v>1</v>
      </c>
      <c r="I350" s="24">
        <v>1</v>
      </c>
      <c r="J350" s="24">
        <v>0</v>
      </c>
      <c r="K350" s="24">
        <v>1</v>
      </c>
      <c r="L350" s="23" t="s">
        <v>995</v>
      </c>
      <c r="M350" s="25">
        <v>2590</v>
      </c>
      <c r="N350" s="25">
        <v>2</v>
      </c>
    </row>
    <row r="351" spans="1:14">
      <c r="A351" s="23" t="s">
        <v>174</v>
      </c>
      <c r="B351" s="23" t="s">
        <v>178</v>
      </c>
      <c r="C351" s="23" t="s">
        <v>994</v>
      </c>
      <c r="D351" s="23" t="s">
        <v>1547</v>
      </c>
      <c r="E351" s="23" t="s">
        <v>1548</v>
      </c>
      <c r="F351" s="25">
        <v>86</v>
      </c>
      <c r="G351" s="25">
        <v>85</v>
      </c>
      <c r="H351" s="24">
        <v>0.98837209302325579</v>
      </c>
      <c r="I351" s="24">
        <v>1</v>
      </c>
      <c r="J351" s="24">
        <v>0</v>
      </c>
      <c r="K351" s="24">
        <v>1</v>
      </c>
      <c r="L351" s="23" t="s">
        <v>995</v>
      </c>
      <c r="M351" s="25">
        <v>2900</v>
      </c>
      <c r="N351" s="25">
        <v>3</v>
      </c>
    </row>
    <row r="352" spans="1:14">
      <c r="A352" s="23" t="s">
        <v>174</v>
      </c>
      <c r="B352" s="23" t="s">
        <v>178</v>
      </c>
      <c r="C352" s="23" t="s">
        <v>994</v>
      </c>
      <c r="D352" s="23" t="s">
        <v>1549</v>
      </c>
      <c r="E352" s="23" t="s">
        <v>1550</v>
      </c>
      <c r="F352" s="25">
        <v>86</v>
      </c>
      <c r="G352" s="25">
        <v>83</v>
      </c>
      <c r="H352" s="24">
        <v>0.96511627906976749</v>
      </c>
      <c r="I352" s="24">
        <v>1</v>
      </c>
      <c r="J352" s="24">
        <v>0</v>
      </c>
      <c r="K352" s="24">
        <v>1</v>
      </c>
      <c r="L352" s="23" t="s">
        <v>995</v>
      </c>
      <c r="M352" s="25">
        <v>4003</v>
      </c>
      <c r="N352" s="25">
        <v>4</v>
      </c>
    </row>
    <row r="353" spans="1:14">
      <c r="A353" s="23" t="s">
        <v>174</v>
      </c>
      <c r="B353" s="23" t="s">
        <v>178</v>
      </c>
      <c r="C353" s="23" t="s">
        <v>994</v>
      </c>
      <c r="D353" s="23" t="s">
        <v>1551</v>
      </c>
      <c r="E353" s="23" t="s">
        <v>1552</v>
      </c>
      <c r="F353" s="25">
        <v>86</v>
      </c>
      <c r="G353" s="25">
        <v>74</v>
      </c>
      <c r="H353" s="24">
        <v>0.86046511627906974</v>
      </c>
      <c r="I353" s="24">
        <v>0.75786393562545717</v>
      </c>
      <c r="J353" s="24">
        <v>0</v>
      </c>
      <c r="K353" s="24">
        <v>1</v>
      </c>
      <c r="L353" s="23" t="s">
        <v>995</v>
      </c>
      <c r="M353" s="25">
        <v>2072</v>
      </c>
      <c r="N353" s="25">
        <v>5</v>
      </c>
    </row>
    <row r="354" spans="1:14">
      <c r="A354" s="23" t="s">
        <v>174</v>
      </c>
      <c r="B354" s="23" t="s">
        <v>178</v>
      </c>
      <c r="C354" s="23" t="s">
        <v>990</v>
      </c>
      <c r="D354" s="23" t="s">
        <v>788</v>
      </c>
      <c r="E354" s="23" t="s">
        <v>789</v>
      </c>
      <c r="F354" s="25">
        <v>86</v>
      </c>
      <c r="G354" s="25">
        <v>51</v>
      </c>
      <c r="H354" s="24">
        <v>0.59302325581395354</v>
      </c>
      <c r="I354" s="24">
        <v>0.86946778711484596</v>
      </c>
      <c r="J354" s="24">
        <v>0.95833333333333337</v>
      </c>
      <c r="K354" s="24">
        <v>0</v>
      </c>
      <c r="L354" s="23" t="s">
        <v>991</v>
      </c>
      <c r="M354" s="25">
        <v>1552</v>
      </c>
      <c r="N354" s="25">
        <v>6</v>
      </c>
    </row>
    <row r="355" spans="1:14">
      <c r="A355" s="23" t="s">
        <v>174</v>
      </c>
      <c r="B355" s="23" t="s">
        <v>178</v>
      </c>
      <c r="C355" s="23" t="s">
        <v>994</v>
      </c>
      <c r="D355" s="23" t="s">
        <v>1553</v>
      </c>
      <c r="E355" s="23" t="s">
        <v>1554</v>
      </c>
      <c r="F355" s="25">
        <v>86</v>
      </c>
      <c r="G355" s="25">
        <v>38</v>
      </c>
      <c r="H355" s="24">
        <v>0.44186046511627908</v>
      </c>
      <c r="I355" s="24">
        <v>0.83614787768142396</v>
      </c>
      <c r="J355" s="24">
        <v>0</v>
      </c>
      <c r="K355" s="24">
        <v>1</v>
      </c>
      <c r="L355" s="23" t="s">
        <v>995</v>
      </c>
      <c r="M355" s="25">
        <v>3664</v>
      </c>
      <c r="N355" s="25">
        <v>7</v>
      </c>
    </row>
    <row r="356" spans="1:14">
      <c r="A356" s="23" t="s">
        <v>174</v>
      </c>
      <c r="B356" s="23" t="s">
        <v>178</v>
      </c>
      <c r="C356" s="23" t="s">
        <v>994</v>
      </c>
      <c r="D356" s="23" t="s">
        <v>1555</v>
      </c>
      <c r="E356" s="23" t="s">
        <v>1556</v>
      </c>
      <c r="F356" s="25">
        <v>86</v>
      </c>
      <c r="G356" s="25">
        <v>30</v>
      </c>
      <c r="H356" s="24">
        <v>0.34883720930232559</v>
      </c>
      <c r="I356" s="24">
        <v>1</v>
      </c>
      <c r="J356" s="24">
        <v>0</v>
      </c>
      <c r="K356" s="24">
        <v>1</v>
      </c>
      <c r="L356" s="23" t="s">
        <v>995</v>
      </c>
      <c r="M356" s="25">
        <v>1828</v>
      </c>
      <c r="N356" s="25">
        <v>8</v>
      </c>
    </row>
    <row r="357" spans="1:14">
      <c r="A357" s="23" t="s">
        <v>174</v>
      </c>
      <c r="B357" s="23" t="s">
        <v>178</v>
      </c>
      <c r="C357" s="23" t="s">
        <v>994</v>
      </c>
      <c r="D357" s="23" t="s">
        <v>1557</v>
      </c>
      <c r="E357" s="23" t="s">
        <v>1558</v>
      </c>
      <c r="F357" s="25">
        <v>86</v>
      </c>
      <c r="G357" s="25">
        <v>19</v>
      </c>
      <c r="H357" s="24">
        <v>0.22093023255813954</v>
      </c>
      <c r="I357" s="24">
        <v>0.74965100046533273</v>
      </c>
      <c r="J357" s="24">
        <v>0</v>
      </c>
      <c r="K357" s="24">
        <v>0.94736842105263153</v>
      </c>
      <c r="L357" s="23" t="s">
        <v>995</v>
      </c>
      <c r="M357" s="25">
        <v>1611</v>
      </c>
      <c r="N357" s="25">
        <v>9</v>
      </c>
    </row>
    <row r="358" spans="1:14">
      <c r="A358" s="23" t="s">
        <v>174</v>
      </c>
      <c r="B358" s="23" t="s">
        <v>175</v>
      </c>
      <c r="C358" s="23" t="s">
        <v>994</v>
      </c>
      <c r="D358" s="23" t="s">
        <v>790</v>
      </c>
      <c r="E358" s="23" t="s">
        <v>791</v>
      </c>
      <c r="F358" s="25">
        <v>24</v>
      </c>
      <c r="G358" s="25">
        <v>24</v>
      </c>
      <c r="H358" s="24">
        <v>1</v>
      </c>
      <c r="I358" s="24">
        <v>1</v>
      </c>
      <c r="J358" s="24">
        <v>0</v>
      </c>
      <c r="K358" s="24">
        <v>1</v>
      </c>
      <c r="L358" s="23" t="s">
        <v>995</v>
      </c>
      <c r="M358" s="25">
        <v>1369</v>
      </c>
      <c r="N358" s="25">
        <v>1</v>
      </c>
    </row>
    <row r="359" spans="1:14">
      <c r="A359" s="23" t="s">
        <v>174</v>
      </c>
      <c r="B359" s="23" t="s">
        <v>175</v>
      </c>
      <c r="C359" s="23" t="s">
        <v>994</v>
      </c>
      <c r="D359" s="23" t="s">
        <v>1559</v>
      </c>
      <c r="E359" s="23" t="s">
        <v>1560</v>
      </c>
      <c r="F359" s="25">
        <v>24</v>
      </c>
      <c r="G359" s="25">
        <v>24</v>
      </c>
      <c r="H359" s="24">
        <v>1</v>
      </c>
      <c r="I359" s="24">
        <v>1</v>
      </c>
      <c r="J359" s="24">
        <v>0</v>
      </c>
      <c r="K359" s="24">
        <v>1</v>
      </c>
      <c r="L359" s="23" t="s">
        <v>995</v>
      </c>
      <c r="M359" s="25">
        <v>452</v>
      </c>
      <c r="N359" s="25">
        <v>2</v>
      </c>
    </row>
    <row r="360" spans="1:14">
      <c r="A360" s="23" t="s">
        <v>174</v>
      </c>
      <c r="B360" s="23" t="s">
        <v>175</v>
      </c>
      <c r="C360" s="23" t="s">
        <v>994</v>
      </c>
      <c r="D360" s="23" t="s">
        <v>1561</v>
      </c>
      <c r="E360" s="23" t="s">
        <v>1562</v>
      </c>
      <c r="F360" s="25">
        <v>24</v>
      </c>
      <c r="G360" s="25">
        <v>24</v>
      </c>
      <c r="H360" s="24">
        <v>1</v>
      </c>
      <c r="I360" s="24">
        <v>1</v>
      </c>
      <c r="J360" s="24">
        <v>0</v>
      </c>
      <c r="K360" s="24">
        <v>1</v>
      </c>
      <c r="L360" s="23" t="s">
        <v>995</v>
      </c>
      <c r="M360" s="25">
        <v>208</v>
      </c>
      <c r="N360" s="25">
        <v>3</v>
      </c>
    </row>
    <row r="361" spans="1:14">
      <c r="A361" s="23" t="s">
        <v>174</v>
      </c>
      <c r="B361" s="23" t="s">
        <v>175</v>
      </c>
      <c r="C361" s="23" t="s">
        <v>994</v>
      </c>
      <c r="D361" s="23" t="s">
        <v>1563</v>
      </c>
      <c r="E361" s="23" t="s">
        <v>1564</v>
      </c>
      <c r="F361" s="25">
        <v>24</v>
      </c>
      <c r="G361" s="25">
        <v>21</v>
      </c>
      <c r="H361" s="24">
        <v>0.875</v>
      </c>
      <c r="I361" s="24">
        <v>1</v>
      </c>
      <c r="J361" s="24">
        <v>0</v>
      </c>
      <c r="K361" s="24">
        <v>1</v>
      </c>
      <c r="L361" s="23" t="s">
        <v>995</v>
      </c>
      <c r="M361" s="25">
        <v>3595</v>
      </c>
      <c r="N361" s="25">
        <v>4</v>
      </c>
    </row>
    <row r="362" spans="1:14">
      <c r="A362" s="23" t="s">
        <v>174</v>
      </c>
      <c r="B362" s="23" t="s">
        <v>175</v>
      </c>
      <c r="C362" s="23" t="s">
        <v>994</v>
      </c>
      <c r="D362" s="23" t="s">
        <v>1565</v>
      </c>
      <c r="E362" s="23" t="s">
        <v>1566</v>
      </c>
      <c r="F362" s="25">
        <v>24</v>
      </c>
      <c r="G362" s="25">
        <v>13</v>
      </c>
      <c r="H362" s="24">
        <v>0.54166666666666663</v>
      </c>
      <c r="I362" s="24">
        <v>1</v>
      </c>
      <c r="J362" s="24">
        <v>0</v>
      </c>
      <c r="K362" s="24">
        <v>1</v>
      </c>
      <c r="L362" s="23" t="s">
        <v>995</v>
      </c>
      <c r="M362" s="25">
        <v>152</v>
      </c>
      <c r="N362" s="25">
        <v>5</v>
      </c>
    </row>
    <row r="363" spans="1:14">
      <c r="A363" s="23" t="s">
        <v>174</v>
      </c>
      <c r="B363" s="23" t="s">
        <v>175</v>
      </c>
      <c r="C363" s="23" t="s">
        <v>994</v>
      </c>
      <c r="D363" s="23" t="s">
        <v>1567</v>
      </c>
      <c r="E363" s="23" t="s">
        <v>1568</v>
      </c>
      <c r="F363" s="25">
        <v>24</v>
      </c>
      <c r="G363" s="25">
        <v>13</v>
      </c>
      <c r="H363" s="24">
        <v>0.54166666666666663</v>
      </c>
      <c r="I363" s="24">
        <v>1</v>
      </c>
      <c r="J363" s="24">
        <v>0</v>
      </c>
      <c r="K363" s="24">
        <v>1</v>
      </c>
      <c r="L363" s="23" t="s">
        <v>995</v>
      </c>
      <c r="M363" s="25">
        <v>77</v>
      </c>
      <c r="N363" s="25">
        <v>6</v>
      </c>
    </row>
    <row r="364" spans="1:14">
      <c r="A364" s="23" t="s">
        <v>174</v>
      </c>
      <c r="B364" s="23" t="s">
        <v>175</v>
      </c>
      <c r="C364" s="23" t="s">
        <v>994</v>
      </c>
      <c r="D364" s="23" t="s">
        <v>1569</v>
      </c>
      <c r="E364" s="23" t="s">
        <v>1570</v>
      </c>
      <c r="F364" s="25">
        <v>24</v>
      </c>
      <c r="G364" s="25">
        <v>6</v>
      </c>
      <c r="H364" s="24">
        <v>0.25</v>
      </c>
      <c r="I364" s="24">
        <v>1</v>
      </c>
      <c r="J364" s="24">
        <v>0</v>
      </c>
      <c r="K364" s="24">
        <v>1</v>
      </c>
      <c r="L364" s="23" t="s">
        <v>995</v>
      </c>
      <c r="M364" s="25">
        <v>94</v>
      </c>
      <c r="N364" s="25">
        <v>7</v>
      </c>
    </row>
    <row r="365" spans="1:14">
      <c r="A365" s="23" t="s">
        <v>174</v>
      </c>
      <c r="B365" s="23" t="s">
        <v>180</v>
      </c>
      <c r="C365" s="23" t="s">
        <v>990</v>
      </c>
      <c r="D365" s="23" t="s">
        <v>1571</v>
      </c>
      <c r="E365" s="23" t="s">
        <v>1572</v>
      </c>
      <c r="F365" s="25">
        <v>8</v>
      </c>
      <c r="G365" s="25">
        <v>8</v>
      </c>
      <c r="H365" s="24">
        <v>1</v>
      </c>
      <c r="I365" s="24">
        <v>1</v>
      </c>
      <c r="J365" s="24">
        <v>1</v>
      </c>
      <c r="K365" s="24">
        <v>0</v>
      </c>
      <c r="L365" s="23" t="s">
        <v>991</v>
      </c>
      <c r="M365" s="25">
        <v>4028</v>
      </c>
      <c r="N365" s="25">
        <v>1</v>
      </c>
    </row>
    <row r="366" spans="1:14">
      <c r="A366" s="23" t="s">
        <v>174</v>
      </c>
      <c r="B366" s="23" t="s">
        <v>180</v>
      </c>
      <c r="C366" s="23" t="s">
        <v>994</v>
      </c>
      <c r="D366" s="23" t="s">
        <v>794</v>
      </c>
      <c r="E366" s="23" t="s">
        <v>1573</v>
      </c>
      <c r="F366" s="25">
        <v>8</v>
      </c>
      <c r="G366" s="25">
        <v>8</v>
      </c>
      <c r="H366" s="24">
        <v>1</v>
      </c>
      <c r="I366" s="24">
        <v>1</v>
      </c>
      <c r="J366" s="24">
        <v>0</v>
      </c>
      <c r="K366" s="24">
        <v>1</v>
      </c>
      <c r="L366" s="23" t="s">
        <v>995</v>
      </c>
      <c r="M366" s="25">
        <v>1542</v>
      </c>
      <c r="N366" s="25">
        <v>2</v>
      </c>
    </row>
    <row r="367" spans="1:14">
      <c r="A367" s="23" t="s">
        <v>174</v>
      </c>
      <c r="B367" s="23" t="s">
        <v>180</v>
      </c>
      <c r="C367" s="23" t="s">
        <v>994</v>
      </c>
      <c r="D367" s="23" t="s">
        <v>1574</v>
      </c>
      <c r="E367" s="23" t="s">
        <v>1575</v>
      </c>
      <c r="F367" s="25">
        <v>8</v>
      </c>
      <c r="G367" s="25">
        <v>8</v>
      </c>
      <c r="H367" s="24">
        <v>1</v>
      </c>
      <c r="I367" s="24">
        <v>1</v>
      </c>
      <c r="J367" s="24">
        <v>0</v>
      </c>
      <c r="K367" s="24">
        <v>1</v>
      </c>
      <c r="L367" s="23" t="s">
        <v>995</v>
      </c>
      <c r="M367" s="25">
        <v>300</v>
      </c>
      <c r="N367" s="25">
        <v>3</v>
      </c>
    </row>
    <row r="368" spans="1:14">
      <c r="A368" s="23" t="s">
        <v>174</v>
      </c>
      <c r="B368" s="23" t="s">
        <v>180</v>
      </c>
      <c r="C368" s="23" t="s">
        <v>990</v>
      </c>
      <c r="D368" s="23" t="s">
        <v>794</v>
      </c>
      <c r="E368" s="23" t="s">
        <v>795</v>
      </c>
      <c r="F368" s="25">
        <v>8</v>
      </c>
      <c r="G368" s="25">
        <v>8</v>
      </c>
      <c r="H368" s="24">
        <v>1</v>
      </c>
      <c r="I368" s="24">
        <v>1</v>
      </c>
      <c r="J368" s="24">
        <v>0.89942528735632188</v>
      </c>
      <c r="K368" s="24">
        <v>0</v>
      </c>
      <c r="L368" s="23" t="s">
        <v>991</v>
      </c>
      <c r="M368" s="25">
        <v>13811</v>
      </c>
      <c r="N368" s="25">
        <v>4</v>
      </c>
    </row>
    <row r="369" spans="1:14">
      <c r="A369" s="23" t="s">
        <v>174</v>
      </c>
      <c r="B369" s="23" t="s">
        <v>180</v>
      </c>
      <c r="C369" s="23" t="s">
        <v>990</v>
      </c>
      <c r="D369" s="23" t="s">
        <v>1576</v>
      </c>
      <c r="E369" s="23" t="s">
        <v>1577</v>
      </c>
      <c r="F369" s="25">
        <v>8</v>
      </c>
      <c r="G369" s="25">
        <v>6</v>
      </c>
      <c r="H369" s="24">
        <v>0.75</v>
      </c>
      <c r="I369" s="24">
        <v>1</v>
      </c>
      <c r="J369" s="24">
        <v>1</v>
      </c>
      <c r="K369" s="24">
        <v>0</v>
      </c>
      <c r="L369" s="23" t="s">
        <v>991</v>
      </c>
      <c r="M369" s="25">
        <v>6064</v>
      </c>
      <c r="N369" s="25">
        <v>5</v>
      </c>
    </row>
    <row r="370" spans="1:14">
      <c r="A370" s="23" t="s">
        <v>174</v>
      </c>
      <c r="B370" s="23" t="s">
        <v>180</v>
      </c>
      <c r="C370" s="23" t="s">
        <v>990</v>
      </c>
      <c r="D370" s="23" t="s">
        <v>1578</v>
      </c>
      <c r="E370" s="23" t="s">
        <v>1579</v>
      </c>
      <c r="F370" s="25">
        <v>8</v>
      </c>
      <c r="G370" s="25">
        <v>6</v>
      </c>
      <c r="H370" s="24">
        <v>0.75</v>
      </c>
      <c r="I370" s="24">
        <v>1</v>
      </c>
      <c r="J370" s="24">
        <v>1</v>
      </c>
      <c r="K370" s="24">
        <v>0</v>
      </c>
      <c r="L370" s="23" t="s">
        <v>991</v>
      </c>
      <c r="M370" s="25">
        <v>2516</v>
      </c>
      <c r="N370" s="25">
        <v>6</v>
      </c>
    </row>
    <row r="371" spans="1:14">
      <c r="A371" s="23" t="s">
        <v>174</v>
      </c>
      <c r="B371" s="23" t="s">
        <v>180</v>
      </c>
      <c r="C371" s="23" t="s">
        <v>990</v>
      </c>
      <c r="D371" s="23" t="s">
        <v>1580</v>
      </c>
      <c r="E371" s="23" t="s">
        <v>1581</v>
      </c>
      <c r="F371" s="25">
        <v>8</v>
      </c>
      <c r="G371" s="25">
        <v>6</v>
      </c>
      <c r="H371" s="24">
        <v>0.75</v>
      </c>
      <c r="I371" s="24">
        <v>1</v>
      </c>
      <c r="J371" s="24">
        <v>1</v>
      </c>
      <c r="K371" s="24">
        <v>0</v>
      </c>
      <c r="L371" s="23" t="s">
        <v>991</v>
      </c>
      <c r="M371" s="25">
        <v>1739</v>
      </c>
      <c r="N371" s="25">
        <v>7</v>
      </c>
    </row>
    <row r="372" spans="1:14">
      <c r="A372" s="23" t="s">
        <v>174</v>
      </c>
      <c r="B372" s="23" t="s">
        <v>180</v>
      </c>
      <c r="C372" s="23" t="s">
        <v>990</v>
      </c>
      <c r="D372" s="23" t="s">
        <v>1582</v>
      </c>
      <c r="E372" s="23" t="s">
        <v>1583</v>
      </c>
      <c r="F372" s="25">
        <v>8</v>
      </c>
      <c r="G372" s="25">
        <v>6</v>
      </c>
      <c r="H372" s="24">
        <v>0.75</v>
      </c>
      <c r="I372" s="24">
        <v>1</v>
      </c>
      <c r="J372" s="24">
        <v>1</v>
      </c>
      <c r="K372" s="24">
        <v>0</v>
      </c>
      <c r="L372" s="23" t="s">
        <v>991</v>
      </c>
      <c r="M372" s="25">
        <v>277</v>
      </c>
      <c r="N372" s="25">
        <v>8</v>
      </c>
    </row>
    <row r="373" spans="1:14">
      <c r="A373" s="23" t="s">
        <v>224</v>
      </c>
      <c r="B373" s="23" t="s">
        <v>225</v>
      </c>
      <c r="C373" s="23" t="s">
        <v>990</v>
      </c>
      <c r="D373" s="23" t="s">
        <v>1584</v>
      </c>
      <c r="E373" s="23" t="s">
        <v>1585</v>
      </c>
      <c r="F373" s="25">
        <v>58</v>
      </c>
      <c r="G373" s="25">
        <v>58</v>
      </c>
      <c r="H373" s="24">
        <v>1</v>
      </c>
      <c r="I373" s="24">
        <v>0.99989272688264319</v>
      </c>
      <c r="J373" s="24">
        <v>0.80039525691699609</v>
      </c>
      <c r="K373" s="24">
        <v>0</v>
      </c>
      <c r="L373" s="23" t="s">
        <v>991</v>
      </c>
      <c r="M373" s="25">
        <v>9321</v>
      </c>
      <c r="N373" s="25">
        <v>1</v>
      </c>
    </row>
    <row r="374" spans="1:14">
      <c r="A374" s="23" t="s">
        <v>224</v>
      </c>
      <c r="B374" s="23" t="s">
        <v>225</v>
      </c>
      <c r="C374" s="23" t="s">
        <v>990</v>
      </c>
      <c r="D374" s="23" t="s">
        <v>846</v>
      </c>
      <c r="E374" s="23" t="s">
        <v>847</v>
      </c>
      <c r="F374" s="25">
        <v>58</v>
      </c>
      <c r="G374" s="25">
        <v>54</v>
      </c>
      <c r="H374" s="24">
        <v>0.93103448275862066</v>
      </c>
      <c r="I374" s="24">
        <v>1</v>
      </c>
      <c r="J374" s="24">
        <v>0.88</v>
      </c>
      <c r="K374" s="24">
        <v>0</v>
      </c>
      <c r="L374" s="23" t="s">
        <v>991</v>
      </c>
      <c r="M374" s="25">
        <v>10020</v>
      </c>
      <c r="N374" s="25">
        <v>2</v>
      </c>
    </row>
    <row r="375" spans="1:14">
      <c r="A375" s="23" t="s">
        <v>224</v>
      </c>
      <c r="B375" s="23" t="s">
        <v>225</v>
      </c>
      <c r="C375" s="23" t="s">
        <v>990</v>
      </c>
      <c r="D375" s="23" t="s">
        <v>1586</v>
      </c>
      <c r="E375" s="23" t="s">
        <v>1587</v>
      </c>
      <c r="F375" s="25">
        <v>58</v>
      </c>
      <c r="G375" s="25">
        <v>46</v>
      </c>
      <c r="H375" s="24">
        <v>0.7931034482758621</v>
      </c>
      <c r="I375" s="24">
        <v>0.99971230472683337</v>
      </c>
      <c r="J375" s="24">
        <v>1</v>
      </c>
      <c r="K375" s="24">
        <v>0</v>
      </c>
      <c r="L375" s="23" t="s">
        <v>991</v>
      </c>
      <c r="M375" s="25">
        <v>34749</v>
      </c>
      <c r="N375" s="25">
        <v>3</v>
      </c>
    </row>
    <row r="376" spans="1:14">
      <c r="A376" s="23" t="s">
        <v>224</v>
      </c>
      <c r="B376" s="23" t="s">
        <v>225</v>
      </c>
      <c r="C376" s="23" t="s">
        <v>990</v>
      </c>
      <c r="D376" s="23" t="s">
        <v>1588</v>
      </c>
      <c r="E376" s="23" t="s">
        <v>1589</v>
      </c>
      <c r="F376" s="25">
        <v>58</v>
      </c>
      <c r="G376" s="25">
        <v>41</v>
      </c>
      <c r="H376" s="24">
        <v>0.7068965517241379</v>
      </c>
      <c r="I376" s="24">
        <v>0.85338747595640096</v>
      </c>
      <c r="J376" s="24">
        <v>0.2</v>
      </c>
      <c r="K376" s="24">
        <v>0</v>
      </c>
      <c r="L376" s="23" t="s">
        <v>1010</v>
      </c>
      <c r="M376" s="25">
        <v>3993</v>
      </c>
      <c r="N376" s="25">
        <v>4</v>
      </c>
    </row>
    <row r="377" spans="1:14">
      <c r="A377" s="23" t="s">
        <v>224</v>
      </c>
      <c r="B377" s="23" t="s">
        <v>225</v>
      </c>
      <c r="C377" s="23" t="s">
        <v>990</v>
      </c>
      <c r="D377" s="23" t="s">
        <v>1590</v>
      </c>
      <c r="E377" s="23" t="s">
        <v>1591</v>
      </c>
      <c r="F377" s="25">
        <v>58</v>
      </c>
      <c r="G377" s="25">
        <v>36</v>
      </c>
      <c r="H377" s="24">
        <v>0.62068965517241381</v>
      </c>
      <c r="I377" s="24">
        <v>1</v>
      </c>
      <c r="J377" s="24">
        <v>1</v>
      </c>
      <c r="K377" s="24">
        <v>0</v>
      </c>
      <c r="L377" s="23" t="s">
        <v>991</v>
      </c>
      <c r="M377" s="25">
        <v>6028</v>
      </c>
      <c r="N377" s="25">
        <v>5</v>
      </c>
    </row>
    <row r="378" spans="1:14">
      <c r="A378" s="23" t="s">
        <v>224</v>
      </c>
      <c r="B378" s="23" t="s">
        <v>225</v>
      </c>
      <c r="C378" s="23" t="s">
        <v>990</v>
      </c>
      <c r="D378" s="23" t="s">
        <v>1592</v>
      </c>
      <c r="E378" s="23" t="s">
        <v>1593</v>
      </c>
      <c r="F378" s="25">
        <v>58</v>
      </c>
      <c r="G378" s="25">
        <v>21</v>
      </c>
      <c r="H378" s="24">
        <v>0.36206896551724138</v>
      </c>
      <c r="I378" s="24">
        <v>0.71639430680021088</v>
      </c>
      <c r="J378" s="24">
        <v>0.69565217391304346</v>
      </c>
      <c r="K378" s="24">
        <v>0</v>
      </c>
      <c r="L378" s="23" t="s">
        <v>1010</v>
      </c>
      <c r="M378" s="25">
        <v>1359</v>
      </c>
      <c r="N378" s="25">
        <v>6</v>
      </c>
    </row>
    <row r="379" spans="1:14">
      <c r="A379" s="23" t="s">
        <v>224</v>
      </c>
      <c r="B379" s="23" t="s">
        <v>230</v>
      </c>
      <c r="C379" s="23" t="s">
        <v>994</v>
      </c>
      <c r="D379" s="23" t="s">
        <v>850</v>
      </c>
      <c r="E379" s="23" t="s">
        <v>851</v>
      </c>
      <c r="F379" s="25">
        <v>65</v>
      </c>
      <c r="G379" s="25">
        <v>59</v>
      </c>
      <c r="H379" s="24">
        <v>0.90769230769230769</v>
      </c>
      <c r="I379" s="24">
        <v>1</v>
      </c>
      <c r="J379" s="24">
        <v>0</v>
      </c>
      <c r="K379" s="24">
        <v>1</v>
      </c>
      <c r="L379" s="23" t="s">
        <v>995</v>
      </c>
      <c r="M379" s="25">
        <v>9400</v>
      </c>
      <c r="N379" s="25">
        <v>1</v>
      </c>
    </row>
    <row r="380" spans="1:14">
      <c r="A380" s="23" t="s">
        <v>224</v>
      </c>
      <c r="B380" s="23" t="s">
        <v>230</v>
      </c>
      <c r="C380" s="23" t="s">
        <v>994</v>
      </c>
      <c r="D380" s="23" t="s">
        <v>1594</v>
      </c>
      <c r="E380" s="23" t="s">
        <v>1595</v>
      </c>
      <c r="F380" s="25">
        <v>65</v>
      </c>
      <c r="G380" s="25">
        <v>49</v>
      </c>
      <c r="H380" s="24">
        <v>0.75384615384615383</v>
      </c>
      <c r="I380" s="24">
        <v>1</v>
      </c>
      <c r="J380" s="24">
        <v>0</v>
      </c>
      <c r="K380" s="24">
        <v>1</v>
      </c>
      <c r="L380" s="23" t="s">
        <v>995</v>
      </c>
      <c r="M380" s="25">
        <v>11064</v>
      </c>
      <c r="N380" s="25">
        <v>2</v>
      </c>
    </row>
    <row r="381" spans="1:14">
      <c r="A381" s="23" t="s">
        <v>224</v>
      </c>
      <c r="B381" s="23" t="s">
        <v>230</v>
      </c>
      <c r="C381" s="23" t="s">
        <v>994</v>
      </c>
      <c r="D381" s="23" t="s">
        <v>1596</v>
      </c>
      <c r="E381" s="23" t="s">
        <v>1597</v>
      </c>
      <c r="F381" s="25">
        <v>65</v>
      </c>
      <c r="G381" s="25">
        <v>15</v>
      </c>
      <c r="H381" s="24">
        <v>0.23076923076923078</v>
      </c>
      <c r="I381" s="24">
        <v>1</v>
      </c>
      <c r="J381" s="24">
        <v>0</v>
      </c>
      <c r="K381" s="24">
        <v>1</v>
      </c>
      <c r="L381" s="23" t="s">
        <v>995</v>
      </c>
      <c r="M381" s="25">
        <v>1203</v>
      </c>
      <c r="N381" s="25">
        <v>3</v>
      </c>
    </row>
    <row r="382" spans="1:14">
      <c r="A382" s="23" t="s">
        <v>224</v>
      </c>
      <c r="B382" s="23" t="s">
        <v>233</v>
      </c>
      <c r="C382" s="23" t="s">
        <v>994</v>
      </c>
      <c r="D382" s="23" t="s">
        <v>852</v>
      </c>
      <c r="E382" s="23" t="s">
        <v>853</v>
      </c>
      <c r="F382" s="25">
        <v>33</v>
      </c>
      <c r="G382" s="25">
        <v>32</v>
      </c>
      <c r="H382" s="24">
        <v>0.96969696969696972</v>
      </c>
      <c r="I382" s="24">
        <v>1</v>
      </c>
      <c r="J382" s="24">
        <v>0</v>
      </c>
      <c r="K382" s="24">
        <v>1</v>
      </c>
      <c r="L382" s="23" t="s">
        <v>995</v>
      </c>
      <c r="M382" s="25">
        <v>1138</v>
      </c>
      <c r="N382" s="25">
        <v>1</v>
      </c>
    </row>
    <row r="383" spans="1:14">
      <c r="A383" s="23" t="s">
        <v>224</v>
      </c>
      <c r="B383" s="23" t="s">
        <v>233</v>
      </c>
      <c r="C383" s="23" t="s">
        <v>994</v>
      </c>
      <c r="D383" s="23" t="s">
        <v>1598</v>
      </c>
      <c r="E383" s="23" t="s">
        <v>1599</v>
      </c>
      <c r="F383" s="25">
        <v>33</v>
      </c>
      <c r="G383" s="25">
        <v>21</v>
      </c>
      <c r="H383" s="24">
        <v>0.63636363636363635</v>
      </c>
      <c r="I383" s="24">
        <v>0.97499999999999998</v>
      </c>
      <c r="J383" s="24">
        <v>0</v>
      </c>
      <c r="K383" s="24">
        <v>0.8571428571428571</v>
      </c>
      <c r="L383" s="23" t="s">
        <v>995</v>
      </c>
      <c r="M383" s="25">
        <v>234</v>
      </c>
      <c r="N383" s="25">
        <v>2</v>
      </c>
    </row>
    <row r="384" spans="1:14">
      <c r="A384" s="23" t="s">
        <v>224</v>
      </c>
      <c r="B384" s="23" t="s">
        <v>233</v>
      </c>
      <c r="C384" s="23" t="s">
        <v>994</v>
      </c>
      <c r="D384" s="23" t="s">
        <v>1600</v>
      </c>
      <c r="E384" s="23" t="s">
        <v>1601</v>
      </c>
      <c r="F384" s="25">
        <v>33</v>
      </c>
      <c r="G384" s="25">
        <v>14</v>
      </c>
      <c r="H384" s="24">
        <v>0.42424242424242425</v>
      </c>
      <c r="I384" s="24">
        <v>1</v>
      </c>
      <c r="J384" s="24">
        <v>0</v>
      </c>
      <c r="K384" s="24">
        <v>0.8571428571428571</v>
      </c>
      <c r="L384" s="23" t="s">
        <v>995</v>
      </c>
      <c r="M384" s="25">
        <v>933</v>
      </c>
      <c r="N384" s="25">
        <v>3</v>
      </c>
    </row>
    <row r="385" spans="1:14">
      <c r="A385" s="23" t="s">
        <v>224</v>
      </c>
      <c r="B385" s="23" t="s">
        <v>233</v>
      </c>
      <c r="C385" s="23" t="s">
        <v>994</v>
      </c>
      <c r="D385" s="23" t="s">
        <v>1602</v>
      </c>
      <c r="E385" s="23" t="s">
        <v>1603</v>
      </c>
      <c r="F385" s="25">
        <v>33</v>
      </c>
      <c r="G385" s="25">
        <v>4</v>
      </c>
      <c r="H385" s="24">
        <v>0.12121212121212122</v>
      </c>
      <c r="I385" s="24">
        <v>0.65199161425576524</v>
      </c>
      <c r="J385" s="24">
        <v>0</v>
      </c>
      <c r="K385" s="24">
        <v>1</v>
      </c>
      <c r="L385" s="23" t="s">
        <v>995</v>
      </c>
      <c r="M385" s="25">
        <v>311</v>
      </c>
      <c r="N385" s="25">
        <v>4</v>
      </c>
    </row>
    <row r="386" spans="1:14">
      <c r="A386" s="23" t="s">
        <v>224</v>
      </c>
      <c r="B386" s="23" t="s">
        <v>227</v>
      </c>
      <c r="C386" s="23" t="s">
        <v>994</v>
      </c>
      <c r="D386" s="23" t="s">
        <v>844</v>
      </c>
      <c r="E386" s="23" t="s">
        <v>845</v>
      </c>
      <c r="F386" s="25">
        <v>196</v>
      </c>
      <c r="G386" s="25">
        <v>184</v>
      </c>
      <c r="H386" s="24">
        <v>0.93877551020408168</v>
      </c>
      <c r="I386" s="24">
        <v>0.55119124275595621</v>
      </c>
      <c r="J386" s="24">
        <v>0</v>
      </c>
      <c r="K386" s="24">
        <v>1</v>
      </c>
      <c r="L386" s="23" t="s">
        <v>995</v>
      </c>
      <c r="M386" s="25">
        <v>2568</v>
      </c>
      <c r="N386" s="25">
        <v>1</v>
      </c>
    </row>
    <row r="387" spans="1:14">
      <c r="A387" s="23" t="s">
        <v>224</v>
      </c>
      <c r="B387" s="23" t="s">
        <v>227</v>
      </c>
      <c r="C387" s="23" t="s">
        <v>990</v>
      </c>
      <c r="D387" s="23" t="s">
        <v>844</v>
      </c>
      <c r="E387" s="23" t="s">
        <v>845</v>
      </c>
      <c r="F387" s="25">
        <v>196</v>
      </c>
      <c r="G387" s="25">
        <v>184</v>
      </c>
      <c r="H387" s="24">
        <v>0.93877551020408168</v>
      </c>
      <c r="I387" s="24">
        <v>0.64448037250210177</v>
      </c>
      <c r="J387" s="24">
        <v>0.73076923076923073</v>
      </c>
      <c r="K387" s="24">
        <v>0</v>
      </c>
      <c r="L387" s="23" t="s">
        <v>991</v>
      </c>
      <c r="M387" s="25">
        <v>49828</v>
      </c>
      <c r="N387" s="25">
        <v>2</v>
      </c>
    </row>
    <row r="388" spans="1:14">
      <c r="A388" s="23" t="s">
        <v>224</v>
      </c>
      <c r="B388" s="23" t="s">
        <v>227</v>
      </c>
      <c r="C388" s="23" t="s">
        <v>994</v>
      </c>
      <c r="D388" s="23" t="s">
        <v>848</v>
      </c>
      <c r="E388" s="23" t="s">
        <v>849</v>
      </c>
      <c r="F388" s="25">
        <v>196</v>
      </c>
      <c r="G388" s="25">
        <v>181</v>
      </c>
      <c r="H388" s="24">
        <v>0.92346938775510201</v>
      </c>
      <c r="I388" s="24">
        <v>1</v>
      </c>
      <c r="J388" s="24">
        <v>0</v>
      </c>
      <c r="K388" s="24">
        <v>1</v>
      </c>
      <c r="L388" s="23" t="s">
        <v>995</v>
      </c>
      <c r="M388" s="25">
        <v>3726</v>
      </c>
      <c r="N388" s="25">
        <v>3</v>
      </c>
    </row>
    <row r="389" spans="1:14">
      <c r="A389" s="23" t="s">
        <v>224</v>
      </c>
      <c r="B389" s="23" t="s">
        <v>227</v>
      </c>
      <c r="C389" s="23" t="s">
        <v>994</v>
      </c>
      <c r="D389" s="23" t="s">
        <v>1604</v>
      </c>
      <c r="E389" s="23" t="s">
        <v>1605</v>
      </c>
      <c r="F389" s="25">
        <v>196</v>
      </c>
      <c r="G389" s="25">
        <v>160</v>
      </c>
      <c r="H389" s="24">
        <v>0.81632653061224492</v>
      </c>
      <c r="I389" s="24">
        <v>0.79524045612295491</v>
      </c>
      <c r="J389" s="24">
        <v>0</v>
      </c>
      <c r="K389" s="24">
        <v>0.99375000000000002</v>
      </c>
      <c r="L389" s="23" t="s">
        <v>995</v>
      </c>
      <c r="M389" s="25">
        <v>8020</v>
      </c>
      <c r="N389" s="25">
        <v>4</v>
      </c>
    </row>
    <row r="390" spans="1:14">
      <c r="A390" s="23" t="s">
        <v>224</v>
      </c>
      <c r="B390" s="23" t="s">
        <v>227</v>
      </c>
      <c r="C390" s="23" t="s">
        <v>994</v>
      </c>
      <c r="D390" s="23" t="s">
        <v>1606</v>
      </c>
      <c r="E390" s="23" t="s">
        <v>1607</v>
      </c>
      <c r="F390" s="25">
        <v>196</v>
      </c>
      <c r="G390" s="25">
        <v>114</v>
      </c>
      <c r="H390" s="24">
        <v>0.58163265306122447</v>
      </c>
      <c r="I390" s="24">
        <v>1</v>
      </c>
      <c r="J390" s="24">
        <v>0</v>
      </c>
      <c r="K390" s="24">
        <v>0.99122807017543857</v>
      </c>
      <c r="L390" s="23" t="s">
        <v>995</v>
      </c>
      <c r="M390" s="25">
        <v>15719</v>
      </c>
      <c r="N390" s="25">
        <v>5</v>
      </c>
    </row>
    <row r="391" spans="1:14">
      <c r="A391" s="23" t="s">
        <v>224</v>
      </c>
      <c r="B391" s="23" t="s">
        <v>227</v>
      </c>
      <c r="C391" s="23" t="s">
        <v>990</v>
      </c>
      <c r="D391" s="23" t="s">
        <v>1608</v>
      </c>
      <c r="E391" s="23" t="s">
        <v>1609</v>
      </c>
      <c r="F391" s="25">
        <v>196</v>
      </c>
      <c r="G391" s="25">
        <v>55</v>
      </c>
      <c r="H391" s="24">
        <v>0.28061224489795916</v>
      </c>
      <c r="I391" s="24">
        <v>0.86724700761697493</v>
      </c>
      <c r="J391" s="24">
        <v>0.36</v>
      </c>
      <c r="K391" s="24">
        <v>0</v>
      </c>
      <c r="L391" s="23" t="s">
        <v>1010</v>
      </c>
      <c r="M391" s="25">
        <v>797</v>
      </c>
      <c r="N391" s="25">
        <v>6</v>
      </c>
    </row>
    <row r="392" spans="1:14">
      <c r="A392" s="23" t="s">
        <v>224</v>
      </c>
      <c r="B392" s="23" t="s">
        <v>227</v>
      </c>
      <c r="C392" s="23" t="s">
        <v>994</v>
      </c>
      <c r="D392" s="23" t="s">
        <v>1610</v>
      </c>
      <c r="E392" s="23" t="s">
        <v>1611</v>
      </c>
      <c r="F392" s="25">
        <v>196</v>
      </c>
      <c r="G392" s="25">
        <v>37</v>
      </c>
      <c r="H392" s="24">
        <v>0.18877551020408162</v>
      </c>
      <c r="I392" s="24">
        <v>0.57486229344016027</v>
      </c>
      <c r="J392" s="24">
        <v>0</v>
      </c>
      <c r="K392" s="24">
        <v>1</v>
      </c>
      <c r="L392" s="23" t="s">
        <v>995</v>
      </c>
      <c r="M392" s="25">
        <v>1148</v>
      </c>
      <c r="N392" s="25">
        <v>7</v>
      </c>
    </row>
    <row r="393" spans="1:14">
      <c r="A393" s="23" t="s">
        <v>236</v>
      </c>
      <c r="B393" s="23" t="s">
        <v>239</v>
      </c>
      <c r="C393" s="23" t="s">
        <v>994</v>
      </c>
      <c r="D393" s="23" t="s">
        <v>1612</v>
      </c>
      <c r="E393" s="23" t="s">
        <v>1613</v>
      </c>
      <c r="F393" s="25">
        <v>169</v>
      </c>
      <c r="G393" s="25">
        <v>169</v>
      </c>
      <c r="H393" s="24">
        <v>1</v>
      </c>
      <c r="I393" s="24">
        <v>0.9118183092667882</v>
      </c>
      <c r="J393" s="24">
        <v>0</v>
      </c>
      <c r="K393" s="24">
        <v>1</v>
      </c>
      <c r="L393" s="23" t="s">
        <v>995</v>
      </c>
      <c r="M393" s="25">
        <v>6504</v>
      </c>
      <c r="N393" s="25">
        <v>1</v>
      </c>
    </row>
    <row r="394" spans="1:14">
      <c r="A394" s="23" t="s">
        <v>236</v>
      </c>
      <c r="B394" s="23" t="s">
        <v>239</v>
      </c>
      <c r="C394" s="23" t="s">
        <v>994</v>
      </c>
      <c r="D394" s="23" t="s">
        <v>858</v>
      </c>
      <c r="E394" s="23" t="s">
        <v>859</v>
      </c>
      <c r="F394" s="25">
        <v>169</v>
      </c>
      <c r="G394" s="25">
        <v>156</v>
      </c>
      <c r="H394" s="24">
        <v>0.92307692307692313</v>
      </c>
      <c r="I394" s="24">
        <v>1</v>
      </c>
      <c r="J394" s="24">
        <v>0</v>
      </c>
      <c r="K394" s="24">
        <v>1</v>
      </c>
      <c r="L394" s="23" t="s">
        <v>995</v>
      </c>
      <c r="M394" s="25">
        <v>54603</v>
      </c>
      <c r="N394" s="25">
        <v>2</v>
      </c>
    </row>
    <row r="395" spans="1:14">
      <c r="A395" s="23" t="s">
        <v>236</v>
      </c>
      <c r="B395" s="23" t="s">
        <v>239</v>
      </c>
      <c r="C395" s="23" t="s">
        <v>994</v>
      </c>
      <c r="D395" s="23" t="s">
        <v>1614</v>
      </c>
      <c r="E395" s="23" t="s">
        <v>1615</v>
      </c>
      <c r="F395" s="25">
        <v>169</v>
      </c>
      <c r="G395" s="25">
        <v>156</v>
      </c>
      <c r="H395" s="24">
        <v>0.92307692307692313</v>
      </c>
      <c r="I395" s="24">
        <v>0.63099180756492945</v>
      </c>
      <c r="J395" s="24">
        <v>0</v>
      </c>
      <c r="K395" s="24">
        <v>1</v>
      </c>
      <c r="L395" s="23" t="s">
        <v>995</v>
      </c>
      <c r="M395" s="25">
        <v>7240</v>
      </c>
      <c r="N395" s="25">
        <v>3</v>
      </c>
    </row>
    <row r="396" spans="1:14">
      <c r="A396" s="23" t="s">
        <v>236</v>
      </c>
      <c r="B396" s="23" t="s">
        <v>239</v>
      </c>
      <c r="C396" s="23" t="s">
        <v>990</v>
      </c>
      <c r="D396" s="23" t="s">
        <v>854</v>
      </c>
      <c r="E396" s="23" t="s">
        <v>855</v>
      </c>
      <c r="F396" s="25">
        <v>169</v>
      </c>
      <c r="G396" s="25">
        <v>110</v>
      </c>
      <c r="H396" s="24">
        <v>0.65088757396449703</v>
      </c>
      <c r="I396" s="24">
        <v>0.64436280214117103</v>
      </c>
      <c r="J396" s="24">
        <v>0.92</v>
      </c>
      <c r="K396" s="24">
        <v>0</v>
      </c>
      <c r="L396" s="23" t="s">
        <v>991</v>
      </c>
      <c r="M396" s="25">
        <v>116283</v>
      </c>
      <c r="N396" s="25">
        <v>4</v>
      </c>
    </row>
    <row r="397" spans="1:14">
      <c r="A397" s="23" t="s">
        <v>236</v>
      </c>
      <c r="B397" s="23" t="s">
        <v>239</v>
      </c>
      <c r="C397" s="23" t="s">
        <v>994</v>
      </c>
      <c r="D397" s="23" t="s">
        <v>1616</v>
      </c>
      <c r="E397" s="23" t="s">
        <v>1617</v>
      </c>
      <c r="F397" s="25">
        <v>169</v>
      </c>
      <c r="G397" s="25">
        <v>71</v>
      </c>
      <c r="H397" s="24">
        <v>0.42011834319526625</v>
      </c>
      <c r="I397" s="24">
        <v>1</v>
      </c>
      <c r="J397" s="24">
        <v>0</v>
      </c>
      <c r="K397" s="24">
        <v>1</v>
      </c>
      <c r="L397" s="23" t="s">
        <v>995</v>
      </c>
      <c r="M397" s="25">
        <v>1151</v>
      </c>
      <c r="N397" s="25">
        <v>5</v>
      </c>
    </row>
    <row r="398" spans="1:14">
      <c r="A398" s="23" t="s">
        <v>236</v>
      </c>
      <c r="B398" s="23" t="s">
        <v>239</v>
      </c>
      <c r="C398" s="23" t="s">
        <v>990</v>
      </c>
      <c r="D398" s="23" t="s">
        <v>1618</v>
      </c>
      <c r="E398" s="23" t="s">
        <v>1619</v>
      </c>
      <c r="F398" s="25">
        <v>169</v>
      </c>
      <c r="G398" s="25">
        <v>63</v>
      </c>
      <c r="H398" s="24">
        <v>0.37278106508875741</v>
      </c>
      <c r="I398" s="24">
        <v>0.52881363783758739</v>
      </c>
      <c r="J398" s="24">
        <v>0.96153846153846156</v>
      </c>
      <c r="K398" s="24">
        <v>0</v>
      </c>
      <c r="L398" s="23" t="s">
        <v>991</v>
      </c>
      <c r="M398" s="25">
        <v>45662</v>
      </c>
      <c r="N398" s="25">
        <v>6</v>
      </c>
    </row>
    <row r="399" spans="1:14">
      <c r="A399" s="23" t="s">
        <v>236</v>
      </c>
      <c r="B399" s="23" t="s">
        <v>239</v>
      </c>
      <c r="C399" s="23" t="s">
        <v>990</v>
      </c>
      <c r="D399" s="23" t="s">
        <v>1620</v>
      </c>
      <c r="E399" s="23" t="s">
        <v>1621</v>
      </c>
      <c r="F399" s="25">
        <v>169</v>
      </c>
      <c r="G399" s="25">
        <v>22</v>
      </c>
      <c r="H399" s="24">
        <v>0.13017751479289941</v>
      </c>
      <c r="I399" s="24">
        <v>0.81972896312637877</v>
      </c>
      <c r="J399" s="24">
        <v>1</v>
      </c>
      <c r="K399" s="24">
        <v>0</v>
      </c>
      <c r="L399" s="23" t="s">
        <v>991</v>
      </c>
      <c r="M399" s="25">
        <v>15606</v>
      </c>
      <c r="N399" s="25">
        <v>7</v>
      </c>
    </row>
    <row r="400" spans="1:14">
      <c r="A400" s="23" t="s">
        <v>236</v>
      </c>
      <c r="B400" s="23" t="s">
        <v>239</v>
      </c>
      <c r="C400" s="23" t="s">
        <v>990</v>
      </c>
      <c r="D400" s="23" t="s">
        <v>1622</v>
      </c>
      <c r="E400" s="23" t="s">
        <v>1623</v>
      </c>
      <c r="F400" s="25">
        <v>169</v>
      </c>
      <c r="G400" s="25">
        <v>22</v>
      </c>
      <c r="H400" s="24">
        <v>0.13017751479289941</v>
      </c>
      <c r="I400" s="24">
        <v>1</v>
      </c>
      <c r="J400" s="24">
        <v>0.95454545454545459</v>
      </c>
      <c r="K400" s="24">
        <v>0</v>
      </c>
      <c r="L400" s="23" t="s">
        <v>991</v>
      </c>
      <c r="M400" s="25">
        <v>20383</v>
      </c>
      <c r="N400" s="25">
        <v>8</v>
      </c>
    </row>
    <row r="401" spans="1:14">
      <c r="A401" s="23" t="s">
        <v>236</v>
      </c>
      <c r="B401" s="23" t="s">
        <v>241</v>
      </c>
      <c r="C401" s="23" t="s">
        <v>994</v>
      </c>
      <c r="D401" s="23" t="s">
        <v>862</v>
      </c>
      <c r="E401" s="23" t="s">
        <v>863</v>
      </c>
      <c r="F401" s="25">
        <v>73</v>
      </c>
      <c r="G401" s="25">
        <v>66</v>
      </c>
      <c r="H401" s="24">
        <v>0.90410958904109584</v>
      </c>
      <c r="I401" s="24">
        <v>1</v>
      </c>
      <c r="J401" s="24">
        <v>0</v>
      </c>
      <c r="K401" s="24">
        <v>0.98484848484848486</v>
      </c>
      <c r="L401" s="23" t="s">
        <v>995</v>
      </c>
      <c r="M401" s="25">
        <v>2241</v>
      </c>
      <c r="N401" s="25">
        <v>1</v>
      </c>
    </row>
    <row r="402" spans="1:14">
      <c r="A402" s="23" t="s">
        <v>236</v>
      </c>
      <c r="B402" s="23" t="s">
        <v>241</v>
      </c>
      <c r="C402" s="23" t="s">
        <v>994</v>
      </c>
      <c r="D402" s="23" t="s">
        <v>1624</v>
      </c>
      <c r="E402" s="23" t="s">
        <v>1625</v>
      </c>
      <c r="F402" s="25">
        <v>73</v>
      </c>
      <c r="G402" s="25">
        <v>66</v>
      </c>
      <c r="H402" s="24">
        <v>0.90410958904109584</v>
      </c>
      <c r="I402" s="24">
        <v>1</v>
      </c>
      <c r="J402" s="24">
        <v>0</v>
      </c>
      <c r="K402" s="24">
        <v>0.86363636363636365</v>
      </c>
      <c r="L402" s="23" t="s">
        <v>995</v>
      </c>
      <c r="M402" s="25">
        <v>616</v>
      </c>
      <c r="N402" s="25">
        <v>2</v>
      </c>
    </row>
    <row r="403" spans="1:14">
      <c r="A403" s="23" t="s">
        <v>236</v>
      </c>
      <c r="B403" s="23" t="s">
        <v>241</v>
      </c>
      <c r="C403" s="23" t="s">
        <v>990</v>
      </c>
      <c r="D403" s="23" t="s">
        <v>860</v>
      </c>
      <c r="E403" s="23" t="s">
        <v>861</v>
      </c>
      <c r="F403" s="25">
        <v>73</v>
      </c>
      <c r="G403" s="25">
        <v>63</v>
      </c>
      <c r="H403" s="24">
        <v>0.86301369863013699</v>
      </c>
      <c r="I403" s="24">
        <v>1</v>
      </c>
      <c r="J403" s="24">
        <v>0.86363636363636365</v>
      </c>
      <c r="K403" s="24">
        <v>0</v>
      </c>
      <c r="L403" s="23" t="s">
        <v>991</v>
      </c>
      <c r="M403" s="25">
        <v>15861</v>
      </c>
      <c r="N403" s="25">
        <v>3</v>
      </c>
    </row>
    <row r="404" spans="1:14">
      <c r="A404" s="23" t="s">
        <v>236</v>
      </c>
      <c r="B404" s="23" t="s">
        <v>241</v>
      </c>
      <c r="C404" s="23" t="s">
        <v>994</v>
      </c>
      <c r="D404" s="23" t="s">
        <v>1626</v>
      </c>
      <c r="E404" s="23" t="s">
        <v>1627</v>
      </c>
      <c r="F404" s="25">
        <v>73</v>
      </c>
      <c r="G404" s="25">
        <v>29</v>
      </c>
      <c r="H404" s="24">
        <v>0.39726027397260272</v>
      </c>
      <c r="I404" s="24">
        <v>0.61702127659574468</v>
      </c>
      <c r="J404" s="24">
        <v>0</v>
      </c>
      <c r="K404" s="24">
        <v>0.68965517241379315</v>
      </c>
      <c r="L404" s="23" t="s">
        <v>1010</v>
      </c>
      <c r="M404" s="25">
        <v>58</v>
      </c>
      <c r="N404" s="25">
        <v>4</v>
      </c>
    </row>
    <row r="405" spans="1:14">
      <c r="A405" s="23" t="s">
        <v>236</v>
      </c>
      <c r="B405" s="23" t="s">
        <v>241</v>
      </c>
      <c r="C405" s="23" t="s">
        <v>994</v>
      </c>
      <c r="D405" s="23" t="s">
        <v>1628</v>
      </c>
      <c r="E405" s="23" t="s">
        <v>1629</v>
      </c>
      <c r="F405" s="25">
        <v>73</v>
      </c>
      <c r="G405" s="25">
        <v>29</v>
      </c>
      <c r="H405" s="24">
        <v>0.39726027397260272</v>
      </c>
      <c r="I405" s="24">
        <v>0.61702127659574468</v>
      </c>
      <c r="J405" s="24">
        <v>0</v>
      </c>
      <c r="K405" s="24">
        <v>0.68965517241379315</v>
      </c>
      <c r="L405" s="23" t="s">
        <v>1010</v>
      </c>
      <c r="M405" s="25">
        <v>58</v>
      </c>
      <c r="N405" s="25">
        <v>5</v>
      </c>
    </row>
    <row r="406" spans="1:14">
      <c r="A406" s="23" t="s">
        <v>236</v>
      </c>
      <c r="B406" s="23" t="s">
        <v>241</v>
      </c>
      <c r="C406" s="23" t="s">
        <v>994</v>
      </c>
      <c r="D406" s="23" t="s">
        <v>1630</v>
      </c>
      <c r="E406" s="23" t="s">
        <v>1631</v>
      </c>
      <c r="F406" s="25">
        <v>73</v>
      </c>
      <c r="G406" s="25">
        <v>17</v>
      </c>
      <c r="H406" s="24">
        <v>0.23287671232876711</v>
      </c>
      <c r="I406" s="24">
        <v>1</v>
      </c>
      <c r="J406" s="24">
        <v>0</v>
      </c>
      <c r="K406" s="24">
        <v>1</v>
      </c>
      <c r="L406" s="23" t="s">
        <v>995</v>
      </c>
      <c r="M406" s="25">
        <v>72</v>
      </c>
      <c r="N406" s="25">
        <v>6</v>
      </c>
    </row>
    <row r="407" spans="1:14">
      <c r="A407" s="23" t="s">
        <v>236</v>
      </c>
      <c r="B407" s="23" t="s">
        <v>241</v>
      </c>
      <c r="C407" s="23" t="s">
        <v>990</v>
      </c>
      <c r="D407" s="23" t="s">
        <v>1632</v>
      </c>
      <c r="E407" s="23" t="s">
        <v>1633</v>
      </c>
      <c r="F407" s="25">
        <v>73</v>
      </c>
      <c r="G407" s="25">
        <v>13</v>
      </c>
      <c r="H407" s="24">
        <v>0.17808219178082191</v>
      </c>
      <c r="I407" s="24">
        <v>0.62861707793360555</v>
      </c>
      <c r="J407" s="24">
        <v>1</v>
      </c>
      <c r="K407" s="24">
        <v>0</v>
      </c>
      <c r="L407" s="23" t="s">
        <v>991</v>
      </c>
      <c r="M407" s="25">
        <v>14164</v>
      </c>
      <c r="N407" s="25">
        <v>7</v>
      </c>
    </row>
    <row r="408" spans="1:14">
      <c r="A408" s="23" t="s">
        <v>236</v>
      </c>
      <c r="B408" s="23" t="s">
        <v>237</v>
      </c>
      <c r="C408" s="23" t="s">
        <v>994</v>
      </c>
      <c r="D408" s="23" t="s">
        <v>1634</v>
      </c>
      <c r="E408" s="23" t="s">
        <v>1635</v>
      </c>
      <c r="F408" s="25">
        <v>43</v>
      </c>
      <c r="G408" s="25">
        <v>43</v>
      </c>
      <c r="H408" s="24">
        <v>1</v>
      </c>
      <c r="I408" s="24">
        <v>0.5140117994100295</v>
      </c>
      <c r="J408" s="24">
        <v>0</v>
      </c>
      <c r="K408" s="24">
        <v>1</v>
      </c>
      <c r="L408" s="23" t="s">
        <v>995</v>
      </c>
      <c r="M408" s="25">
        <v>697</v>
      </c>
      <c r="N408" s="25">
        <v>1</v>
      </c>
    </row>
    <row r="409" spans="1:14">
      <c r="A409" s="23" t="s">
        <v>236</v>
      </c>
      <c r="B409" s="23" t="s">
        <v>237</v>
      </c>
      <c r="C409" s="23" t="s">
        <v>994</v>
      </c>
      <c r="D409" s="23" t="s">
        <v>856</v>
      </c>
      <c r="E409" s="23" t="s">
        <v>857</v>
      </c>
      <c r="F409" s="25">
        <v>43</v>
      </c>
      <c r="G409" s="25">
        <v>42</v>
      </c>
      <c r="H409" s="24">
        <v>0.97674418604651159</v>
      </c>
      <c r="I409" s="24">
        <v>1</v>
      </c>
      <c r="J409" s="24">
        <v>0</v>
      </c>
      <c r="K409" s="24">
        <v>1</v>
      </c>
      <c r="L409" s="23" t="s">
        <v>995</v>
      </c>
      <c r="M409" s="25">
        <v>8587</v>
      </c>
      <c r="N409" s="25">
        <v>2</v>
      </c>
    </row>
    <row r="410" spans="1:14">
      <c r="A410" s="23" t="s">
        <v>334</v>
      </c>
      <c r="B410" s="23" t="s">
        <v>335</v>
      </c>
      <c r="C410" s="23" t="s">
        <v>994</v>
      </c>
      <c r="D410" s="23" t="s">
        <v>1636</v>
      </c>
      <c r="E410" s="23" t="s">
        <v>1637</v>
      </c>
      <c r="F410" s="25">
        <v>80</v>
      </c>
      <c r="G410" s="25">
        <v>80</v>
      </c>
      <c r="H410" s="24">
        <v>1</v>
      </c>
      <c r="I410" s="24">
        <v>0.99956618404641828</v>
      </c>
      <c r="J410" s="24">
        <v>0</v>
      </c>
      <c r="K410" s="24">
        <v>1</v>
      </c>
      <c r="L410" s="23" t="s">
        <v>995</v>
      </c>
      <c r="M410" s="25">
        <v>36866</v>
      </c>
      <c r="N410" s="25">
        <v>1</v>
      </c>
    </row>
    <row r="411" spans="1:14">
      <c r="A411" s="23" t="s">
        <v>334</v>
      </c>
      <c r="B411" s="23" t="s">
        <v>335</v>
      </c>
      <c r="C411" s="23" t="s">
        <v>994</v>
      </c>
      <c r="D411" s="23" t="s">
        <v>1638</v>
      </c>
      <c r="E411" s="23" t="s">
        <v>1639</v>
      </c>
      <c r="F411" s="25">
        <v>80</v>
      </c>
      <c r="G411" s="25">
        <v>80</v>
      </c>
      <c r="H411" s="24">
        <v>1</v>
      </c>
      <c r="I411" s="24">
        <v>0.64783936120244245</v>
      </c>
      <c r="J411" s="24">
        <v>0</v>
      </c>
      <c r="K411" s="24">
        <v>1</v>
      </c>
      <c r="L411" s="23" t="s">
        <v>995</v>
      </c>
      <c r="M411" s="25">
        <v>5517</v>
      </c>
      <c r="N411" s="25">
        <v>2</v>
      </c>
    </row>
    <row r="412" spans="1:14">
      <c r="A412" s="23" t="s">
        <v>334</v>
      </c>
      <c r="B412" s="23" t="s">
        <v>335</v>
      </c>
      <c r="C412" s="23" t="s">
        <v>994</v>
      </c>
      <c r="D412" s="23" t="s">
        <v>980</v>
      </c>
      <c r="E412" s="23" t="s">
        <v>981</v>
      </c>
      <c r="F412" s="25">
        <v>80</v>
      </c>
      <c r="G412" s="25">
        <v>80</v>
      </c>
      <c r="H412" s="24">
        <v>1</v>
      </c>
      <c r="I412" s="24">
        <v>1</v>
      </c>
      <c r="J412" s="24">
        <v>0</v>
      </c>
      <c r="K412" s="24">
        <v>1</v>
      </c>
      <c r="L412" s="23" t="s">
        <v>995</v>
      </c>
      <c r="M412" s="25">
        <v>2766</v>
      </c>
      <c r="N412" s="25">
        <v>3</v>
      </c>
    </row>
    <row r="413" spans="1:14">
      <c r="A413" s="23" t="s">
        <v>334</v>
      </c>
      <c r="B413" s="23" t="s">
        <v>335</v>
      </c>
      <c r="C413" s="23" t="s">
        <v>994</v>
      </c>
      <c r="D413" s="23" t="s">
        <v>1640</v>
      </c>
      <c r="E413" s="23" t="s">
        <v>1641</v>
      </c>
      <c r="F413" s="25">
        <v>80</v>
      </c>
      <c r="G413" s="25">
        <v>80</v>
      </c>
      <c r="H413" s="24">
        <v>1</v>
      </c>
      <c r="I413" s="24">
        <v>0.64229765013054829</v>
      </c>
      <c r="J413" s="24">
        <v>0</v>
      </c>
      <c r="K413" s="24">
        <v>1</v>
      </c>
      <c r="L413" s="23" t="s">
        <v>995</v>
      </c>
      <c r="M413" s="25">
        <v>2460</v>
      </c>
      <c r="N413" s="25">
        <v>4</v>
      </c>
    </row>
    <row r="414" spans="1:14">
      <c r="A414" s="23" t="s">
        <v>334</v>
      </c>
      <c r="B414" s="23" t="s">
        <v>335</v>
      </c>
      <c r="C414" s="23" t="s">
        <v>994</v>
      </c>
      <c r="D414" s="23" t="s">
        <v>1642</v>
      </c>
      <c r="E414" s="23" t="s">
        <v>1643</v>
      </c>
      <c r="F414" s="25">
        <v>80</v>
      </c>
      <c r="G414" s="25">
        <v>80</v>
      </c>
      <c r="H414" s="24">
        <v>1</v>
      </c>
      <c r="I414" s="24">
        <v>1</v>
      </c>
      <c r="J414" s="24">
        <v>0</v>
      </c>
      <c r="K414" s="24">
        <v>1</v>
      </c>
      <c r="L414" s="23" t="s">
        <v>995</v>
      </c>
      <c r="M414" s="25">
        <v>1553</v>
      </c>
      <c r="N414" s="25">
        <v>5</v>
      </c>
    </row>
    <row r="415" spans="1:14">
      <c r="A415" s="23" t="s">
        <v>334</v>
      </c>
      <c r="B415" s="23" t="s">
        <v>335</v>
      </c>
      <c r="C415" s="23" t="s">
        <v>994</v>
      </c>
      <c r="D415" s="23" t="s">
        <v>1644</v>
      </c>
      <c r="E415" s="23" t="s">
        <v>1645</v>
      </c>
      <c r="F415" s="25">
        <v>80</v>
      </c>
      <c r="G415" s="25">
        <v>79</v>
      </c>
      <c r="H415" s="24">
        <v>0.98750000000000004</v>
      </c>
      <c r="I415" s="24">
        <v>1</v>
      </c>
      <c r="J415" s="24">
        <v>0</v>
      </c>
      <c r="K415" s="24">
        <v>1</v>
      </c>
      <c r="L415" s="23" t="s">
        <v>995</v>
      </c>
      <c r="M415" s="25">
        <v>646</v>
      </c>
      <c r="N415" s="25">
        <v>6</v>
      </c>
    </row>
    <row r="416" spans="1:14">
      <c r="A416" s="23" t="s">
        <v>334</v>
      </c>
      <c r="B416" s="23" t="s">
        <v>335</v>
      </c>
      <c r="C416" s="23" t="s">
        <v>994</v>
      </c>
      <c r="D416" s="23" t="s">
        <v>1646</v>
      </c>
      <c r="E416" s="23" t="s">
        <v>1647</v>
      </c>
      <c r="F416" s="25">
        <v>80</v>
      </c>
      <c r="G416" s="25">
        <v>69</v>
      </c>
      <c r="H416" s="24">
        <v>0.86250000000000004</v>
      </c>
      <c r="I416" s="24">
        <v>0.94444444444444442</v>
      </c>
      <c r="J416" s="24">
        <v>0</v>
      </c>
      <c r="K416" s="24">
        <v>1</v>
      </c>
      <c r="L416" s="23" t="s">
        <v>995</v>
      </c>
      <c r="M416" s="25">
        <v>1020</v>
      </c>
      <c r="N416" s="25">
        <v>7</v>
      </c>
    </row>
    <row r="417" spans="1:14">
      <c r="A417" s="23" t="s">
        <v>334</v>
      </c>
      <c r="B417" s="23" t="s">
        <v>339</v>
      </c>
      <c r="C417" s="23" t="s">
        <v>990</v>
      </c>
      <c r="D417" s="23" t="s">
        <v>978</v>
      </c>
      <c r="E417" s="23" t="s">
        <v>979</v>
      </c>
      <c r="F417" s="25">
        <v>116</v>
      </c>
      <c r="G417" s="25">
        <v>116</v>
      </c>
      <c r="H417" s="24">
        <v>1</v>
      </c>
      <c r="I417" s="24">
        <v>0.68354343116013394</v>
      </c>
      <c r="J417" s="24">
        <v>0.95454545454545459</v>
      </c>
      <c r="K417" s="24">
        <v>0</v>
      </c>
      <c r="L417" s="23" t="s">
        <v>991</v>
      </c>
      <c r="M417" s="25">
        <v>69407</v>
      </c>
      <c r="N417" s="25">
        <v>1</v>
      </c>
    </row>
    <row r="418" spans="1:14">
      <c r="A418" s="23" t="s">
        <v>334</v>
      </c>
      <c r="B418" s="23" t="s">
        <v>339</v>
      </c>
      <c r="C418" s="23" t="s">
        <v>990</v>
      </c>
      <c r="D418" s="23" t="s">
        <v>984</v>
      </c>
      <c r="E418" s="23" t="s">
        <v>985</v>
      </c>
      <c r="F418" s="25">
        <v>116</v>
      </c>
      <c r="G418" s="25">
        <v>104</v>
      </c>
      <c r="H418" s="24">
        <v>0.89655172413793105</v>
      </c>
      <c r="I418" s="24">
        <v>1</v>
      </c>
      <c r="J418" s="24">
        <v>0.62433862433862441</v>
      </c>
      <c r="K418" s="24">
        <v>0</v>
      </c>
      <c r="L418" s="23" t="s">
        <v>1010</v>
      </c>
      <c r="M418" s="25">
        <v>12381</v>
      </c>
      <c r="N418" s="25">
        <v>2</v>
      </c>
    </row>
    <row r="419" spans="1:14">
      <c r="A419" s="23" t="s">
        <v>334</v>
      </c>
      <c r="B419" s="23" t="s">
        <v>339</v>
      </c>
      <c r="C419" s="23" t="s">
        <v>990</v>
      </c>
      <c r="D419" s="23" t="s">
        <v>1648</v>
      </c>
      <c r="E419" s="23" t="s">
        <v>1649</v>
      </c>
      <c r="F419" s="25">
        <v>116</v>
      </c>
      <c r="G419" s="25">
        <v>80</v>
      </c>
      <c r="H419" s="24">
        <v>0.68965517241379315</v>
      </c>
      <c r="I419" s="24">
        <v>0.95936794582392781</v>
      </c>
      <c r="J419" s="24">
        <v>0.23571428571428571</v>
      </c>
      <c r="K419" s="24">
        <v>0</v>
      </c>
      <c r="L419" s="23" t="s">
        <v>1010</v>
      </c>
      <c r="M419" s="25">
        <v>1275</v>
      </c>
      <c r="N419" s="25">
        <v>3</v>
      </c>
    </row>
    <row r="420" spans="1:14">
      <c r="A420" s="23" t="s">
        <v>334</v>
      </c>
      <c r="B420" s="23" t="s">
        <v>339</v>
      </c>
      <c r="C420" s="23" t="s">
        <v>990</v>
      </c>
      <c r="D420" s="23" t="s">
        <v>1650</v>
      </c>
      <c r="E420" s="23" t="s">
        <v>1651</v>
      </c>
      <c r="F420" s="25">
        <v>116</v>
      </c>
      <c r="G420" s="25">
        <v>77</v>
      </c>
      <c r="H420" s="24">
        <v>0.66379310344827591</v>
      </c>
      <c r="I420" s="24">
        <v>0.96164772727272729</v>
      </c>
      <c r="J420" s="24">
        <v>0.25</v>
      </c>
      <c r="K420" s="24">
        <v>0</v>
      </c>
      <c r="L420" s="23" t="s">
        <v>1010</v>
      </c>
      <c r="M420" s="25">
        <v>1354</v>
      </c>
      <c r="N420" s="25">
        <v>4</v>
      </c>
    </row>
    <row r="421" spans="1:14">
      <c r="A421" s="23" t="s">
        <v>334</v>
      </c>
      <c r="B421" s="23" t="s">
        <v>339</v>
      </c>
      <c r="C421" s="23" t="s">
        <v>990</v>
      </c>
      <c r="D421" s="23" t="s">
        <v>1652</v>
      </c>
      <c r="E421" s="23" t="s">
        <v>1653</v>
      </c>
      <c r="F421" s="25">
        <v>116</v>
      </c>
      <c r="G421" s="25">
        <v>61</v>
      </c>
      <c r="H421" s="24">
        <v>0.52586206896551724</v>
      </c>
      <c r="I421" s="24">
        <v>1</v>
      </c>
      <c r="J421" s="24">
        <v>0.64</v>
      </c>
      <c r="K421" s="24">
        <v>0</v>
      </c>
      <c r="L421" s="23" t="s">
        <v>1010</v>
      </c>
      <c r="M421" s="25">
        <v>9938</v>
      </c>
      <c r="N421" s="25">
        <v>5</v>
      </c>
    </row>
    <row r="422" spans="1:14">
      <c r="A422" s="23" t="s">
        <v>334</v>
      </c>
      <c r="B422" s="23" t="s">
        <v>339</v>
      </c>
      <c r="C422" s="23" t="s">
        <v>990</v>
      </c>
      <c r="D422" s="23" t="s">
        <v>1654</v>
      </c>
      <c r="E422" s="23" t="s">
        <v>1655</v>
      </c>
      <c r="F422" s="25">
        <v>116</v>
      </c>
      <c r="G422" s="25">
        <v>59</v>
      </c>
      <c r="H422" s="24">
        <v>0.50862068965517238</v>
      </c>
      <c r="I422" s="24">
        <v>0.95999766750247828</v>
      </c>
      <c r="J422" s="24">
        <v>0.72</v>
      </c>
      <c r="K422" s="24">
        <v>0</v>
      </c>
      <c r="L422" s="23" t="s">
        <v>991</v>
      </c>
      <c r="M422" s="25">
        <v>16463</v>
      </c>
      <c r="N422" s="25">
        <v>6</v>
      </c>
    </row>
    <row r="423" spans="1:14">
      <c r="A423" s="23" t="s">
        <v>334</v>
      </c>
      <c r="B423" s="23" t="s">
        <v>339</v>
      </c>
      <c r="C423" s="23" t="s">
        <v>990</v>
      </c>
      <c r="D423" s="23" t="s">
        <v>1656</v>
      </c>
      <c r="E423" s="23" t="s">
        <v>1657</v>
      </c>
      <c r="F423" s="25">
        <v>116</v>
      </c>
      <c r="G423" s="25">
        <v>49</v>
      </c>
      <c r="H423" s="24">
        <v>0.42241379310344829</v>
      </c>
      <c r="I423" s="24">
        <v>0.97634212920837127</v>
      </c>
      <c r="J423" s="24">
        <v>1</v>
      </c>
      <c r="K423" s="24">
        <v>0</v>
      </c>
      <c r="L423" s="23" t="s">
        <v>991</v>
      </c>
      <c r="M423" s="25">
        <v>1073</v>
      </c>
      <c r="N423" s="25">
        <v>7</v>
      </c>
    </row>
    <row r="424" spans="1:14">
      <c r="A424" s="23" t="s">
        <v>334</v>
      </c>
      <c r="B424" s="23" t="s">
        <v>337</v>
      </c>
      <c r="C424" s="23" t="s">
        <v>994</v>
      </c>
      <c r="D424" s="23" t="s">
        <v>982</v>
      </c>
      <c r="E424" s="23" t="s">
        <v>983</v>
      </c>
      <c r="F424" s="25">
        <v>75</v>
      </c>
      <c r="G424" s="25">
        <v>74</v>
      </c>
      <c r="H424" s="24">
        <v>0.98666666666666669</v>
      </c>
      <c r="I424" s="24">
        <v>1</v>
      </c>
      <c r="J424" s="24">
        <v>0</v>
      </c>
      <c r="K424" s="24">
        <v>1</v>
      </c>
      <c r="L424" s="23" t="s">
        <v>995</v>
      </c>
      <c r="M424" s="25">
        <v>6307</v>
      </c>
      <c r="N424" s="25">
        <v>1</v>
      </c>
    </row>
    <row r="425" spans="1:14">
      <c r="A425" s="23" t="s">
        <v>334</v>
      </c>
      <c r="B425" s="23" t="s">
        <v>337</v>
      </c>
      <c r="C425" s="23" t="s">
        <v>994</v>
      </c>
      <c r="D425" s="23" t="s">
        <v>1658</v>
      </c>
      <c r="E425" s="23" t="s">
        <v>1659</v>
      </c>
      <c r="F425" s="25">
        <v>75</v>
      </c>
      <c r="G425" s="25">
        <v>73</v>
      </c>
      <c r="H425" s="24">
        <v>0.97333333333333338</v>
      </c>
      <c r="I425" s="24">
        <v>1</v>
      </c>
      <c r="J425" s="24">
        <v>0</v>
      </c>
      <c r="K425" s="24">
        <v>0.98630136986301364</v>
      </c>
      <c r="L425" s="23" t="s">
        <v>995</v>
      </c>
      <c r="M425" s="25">
        <v>8193</v>
      </c>
      <c r="N425" s="25">
        <v>2</v>
      </c>
    </row>
    <row r="426" spans="1:14">
      <c r="A426" s="23" t="s">
        <v>334</v>
      </c>
      <c r="B426" s="23" t="s">
        <v>337</v>
      </c>
      <c r="C426" s="23" t="s">
        <v>994</v>
      </c>
      <c r="D426" s="23" t="s">
        <v>1660</v>
      </c>
      <c r="E426" s="23" t="s">
        <v>1661</v>
      </c>
      <c r="F426" s="25">
        <v>75</v>
      </c>
      <c r="G426" s="25">
        <v>71</v>
      </c>
      <c r="H426" s="24">
        <v>0.94666666666666666</v>
      </c>
      <c r="I426" s="24">
        <v>0.99971453040251212</v>
      </c>
      <c r="J426" s="24">
        <v>0</v>
      </c>
      <c r="K426" s="24">
        <v>1</v>
      </c>
      <c r="L426" s="23" t="s">
        <v>995</v>
      </c>
      <c r="M426" s="25">
        <v>3502</v>
      </c>
      <c r="N426" s="25">
        <v>3</v>
      </c>
    </row>
    <row r="427" spans="1:14">
      <c r="A427" s="23" t="s">
        <v>334</v>
      </c>
      <c r="B427" s="23" t="s">
        <v>337</v>
      </c>
      <c r="C427" s="23" t="s">
        <v>994</v>
      </c>
      <c r="D427" s="23" t="s">
        <v>1662</v>
      </c>
      <c r="E427" s="23" t="s">
        <v>1663</v>
      </c>
      <c r="F427" s="25">
        <v>75</v>
      </c>
      <c r="G427" s="25">
        <v>70</v>
      </c>
      <c r="H427" s="24">
        <v>0.93333333333333335</v>
      </c>
      <c r="I427" s="24">
        <v>0.78015712994507402</v>
      </c>
      <c r="J427" s="24">
        <v>0</v>
      </c>
      <c r="K427" s="24">
        <v>1</v>
      </c>
      <c r="L427" s="23" t="s">
        <v>995</v>
      </c>
      <c r="M427" s="25">
        <v>11221</v>
      </c>
      <c r="N427" s="25">
        <v>4</v>
      </c>
    </row>
    <row r="428" spans="1:14">
      <c r="A428" s="23" t="s">
        <v>334</v>
      </c>
      <c r="B428" s="23" t="s">
        <v>337</v>
      </c>
      <c r="C428" s="23" t="s">
        <v>994</v>
      </c>
      <c r="D428" s="23" t="s">
        <v>1664</v>
      </c>
      <c r="E428" s="23" t="s">
        <v>1665</v>
      </c>
      <c r="F428" s="25">
        <v>75</v>
      </c>
      <c r="G428" s="25">
        <v>65</v>
      </c>
      <c r="H428" s="24">
        <v>0.8666666666666667</v>
      </c>
      <c r="I428" s="24">
        <v>1</v>
      </c>
      <c r="J428" s="24">
        <v>0</v>
      </c>
      <c r="K428" s="24">
        <v>1</v>
      </c>
      <c r="L428" s="23" t="s">
        <v>995</v>
      </c>
      <c r="M428" s="25">
        <v>2880</v>
      </c>
      <c r="N428" s="25">
        <v>5</v>
      </c>
    </row>
    <row r="429" spans="1:14">
      <c r="A429" s="23" t="s">
        <v>334</v>
      </c>
      <c r="B429" s="23" t="s">
        <v>337</v>
      </c>
      <c r="C429" s="23" t="s">
        <v>994</v>
      </c>
      <c r="D429" s="23" t="s">
        <v>1666</v>
      </c>
      <c r="E429" s="23" t="s">
        <v>1667</v>
      </c>
      <c r="F429" s="25">
        <v>75</v>
      </c>
      <c r="G429" s="25">
        <v>65</v>
      </c>
      <c r="H429" s="24">
        <v>0.8666666666666667</v>
      </c>
      <c r="I429" s="24">
        <v>1</v>
      </c>
      <c r="J429" s="24">
        <v>0</v>
      </c>
      <c r="K429" s="24">
        <v>1</v>
      </c>
      <c r="L429" s="23" t="s">
        <v>995</v>
      </c>
      <c r="M429" s="25">
        <v>2235</v>
      </c>
      <c r="N429" s="25">
        <v>6</v>
      </c>
    </row>
    <row r="430" spans="1:14">
      <c r="A430" s="23" t="s">
        <v>334</v>
      </c>
      <c r="B430" s="23" t="s">
        <v>337</v>
      </c>
      <c r="C430" s="23" t="s">
        <v>994</v>
      </c>
      <c r="D430" s="23" t="s">
        <v>1668</v>
      </c>
      <c r="E430" s="23" t="s">
        <v>1669</v>
      </c>
      <c r="F430" s="25">
        <v>75</v>
      </c>
      <c r="G430" s="25">
        <v>63</v>
      </c>
      <c r="H430" s="24">
        <v>0.84</v>
      </c>
      <c r="I430" s="24">
        <v>1</v>
      </c>
      <c r="J430" s="24">
        <v>0</v>
      </c>
      <c r="K430" s="24">
        <v>1</v>
      </c>
      <c r="L430" s="23" t="s">
        <v>995</v>
      </c>
      <c r="M430" s="25">
        <v>845</v>
      </c>
      <c r="N430" s="25">
        <v>7</v>
      </c>
    </row>
    <row r="431" spans="1:14">
      <c r="A431" s="23" t="s">
        <v>334</v>
      </c>
      <c r="B431" s="23" t="s">
        <v>337</v>
      </c>
      <c r="C431" s="23" t="s">
        <v>994</v>
      </c>
      <c r="D431" s="23" t="s">
        <v>1670</v>
      </c>
      <c r="E431" s="23" t="s">
        <v>1671</v>
      </c>
      <c r="F431" s="25">
        <v>75</v>
      </c>
      <c r="G431" s="25">
        <v>36</v>
      </c>
      <c r="H431" s="24">
        <v>0.48</v>
      </c>
      <c r="I431" s="24">
        <v>1</v>
      </c>
      <c r="J431" s="24">
        <v>0</v>
      </c>
      <c r="K431" s="24">
        <v>1</v>
      </c>
      <c r="L431" s="23" t="s">
        <v>995</v>
      </c>
      <c r="M431" s="25">
        <v>7772</v>
      </c>
      <c r="N431" s="25">
        <v>8</v>
      </c>
    </row>
    <row r="432" spans="1:14">
      <c r="A432" s="23" t="s">
        <v>334</v>
      </c>
      <c r="B432" s="23" t="s">
        <v>337</v>
      </c>
      <c r="C432" s="23" t="s">
        <v>994</v>
      </c>
      <c r="D432" s="23" t="s">
        <v>1672</v>
      </c>
      <c r="E432" s="23" t="s">
        <v>1673</v>
      </c>
      <c r="F432" s="25">
        <v>75</v>
      </c>
      <c r="G432" s="25">
        <v>33</v>
      </c>
      <c r="H432" s="24">
        <v>0.44</v>
      </c>
      <c r="I432" s="24">
        <v>1</v>
      </c>
      <c r="J432" s="24">
        <v>0</v>
      </c>
      <c r="K432" s="24">
        <v>0.96969696969696972</v>
      </c>
      <c r="L432" s="23" t="s">
        <v>995</v>
      </c>
      <c r="M432" s="25">
        <v>8252</v>
      </c>
      <c r="N432" s="25">
        <v>9</v>
      </c>
    </row>
    <row r="433" spans="1:14">
      <c r="A433" s="23" t="s">
        <v>334</v>
      </c>
      <c r="B433" s="23" t="s">
        <v>337</v>
      </c>
      <c r="C433" s="23" t="s">
        <v>994</v>
      </c>
      <c r="D433" s="23" t="s">
        <v>1674</v>
      </c>
      <c r="E433" s="23" t="s">
        <v>1675</v>
      </c>
      <c r="F433" s="25">
        <v>75</v>
      </c>
      <c r="G433" s="25">
        <v>32</v>
      </c>
      <c r="H433" s="24">
        <v>0.42666666666666669</v>
      </c>
      <c r="I433" s="24">
        <v>1</v>
      </c>
      <c r="J433" s="24">
        <v>0</v>
      </c>
      <c r="K433" s="24">
        <v>1</v>
      </c>
      <c r="L433" s="23" t="s">
        <v>995</v>
      </c>
      <c r="M433" s="25">
        <v>2114</v>
      </c>
      <c r="N433" s="25">
        <v>10</v>
      </c>
    </row>
    <row r="434" spans="1:14">
      <c r="A434" s="23" t="s">
        <v>334</v>
      </c>
      <c r="B434" s="23" t="s">
        <v>337</v>
      </c>
      <c r="C434" s="23" t="s">
        <v>994</v>
      </c>
      <c r="D434" s="23" t="s">
        <v>1676</v>
      </c>
      <c r="E434" s="23" t="s">
        <v>1677</v>
      </c>
      <c r="F434" s="25">
        <v>75</v>
      </c>
      <c r="G434" s="25">
        <v>26</v>
      </c>
      <c r="H434" s="24">
        <v>0.34666666666666668</v>
      </c>
      <c r="I434" s="24">
        <v>1</v>
      </c>
      <c r="J434" s="24">
        <v>0</v>
      </c>
      <c r="K434" s="24">
        <v>1</v>
      </c>
      <c r="L434" s="23" t="s">
        <v>995</v>
      </c>
      <c r="M434" s="25">
        <v>3838</v>
      </c>
      <c r="N434" s="25">
        <v>11</v>
      </c>
    </row>
    <row r="435" spans="1:14">
      <c r="A435" s="23" t="s">
        <v>334</v>
      </c>
      <c r="B435" s="23" t="s">
        <v>337</v>
      </c>
      <c r="C435" s="23" t="s">
        <v>994</v>
      </c>
      <c r="D435" s="23" t="s">
        <v>1678</v>
      </c>
      <c r="E435" s="23" t="s">
        <v>1679</v>
      </c>
      <c r="F435" s="25">
        <v>75</v>
      </c>
      <c r="G435" s="25">
        <v>13</v>
      </c>
      <c r="H435" s="24">
        <v>0.17333333333333334</v>
      </c>
      <c r="I435" s="24">
        <v>1</v>
      </c>
      <c r="J435" s="24">
        <v>0</v>
      </c>
      <c r="K435" s="24">
        <v>1</v>
      </c>
      <c r="L435" s="23" t="s">
        <v>995</v>
      </c>
      <c r="M435" s="25">
        <v>1779</v>
      </c>
      <c r="N435" s="25">
        <v>12</v>
      </c>
    </row>
    <row r="436" spans="1:14">
      <c r="A436" s="23" t="s">
        <v>322</v>
      </c>
      <c r="B436" s="23" t="s">
        <v>328</v>
      </c>
      <c r="C436" s="23" t="s">
        <v>994</v>
      </c>
      <c r="D436" s="23" t="s">
        <v>1680</v>
      </c>
      <c r="E436" s="23" t="s">
        <v>1681</v>
      </c>
      <c r="F436" s="25">
        <v>96</v>
      </c>
      <c r="G436" s="25">
        <v>87</v>
      </c>
      <c r="H436" s="24">
        <v>0.90625</v>
      </c>
      <c r="I436" s="24">
        <v>1</v>
      </c>
      <c r="J436" s="24">
        <v>0</v>
      </c>
      <c r="K436" s="24">
        <v>0.97701149425287359</v>
      </c>
      <c r="L436" s="23" t="s">
        <v>995</v>
      </c>
      <c r="M436" s="25">
        <v>5915</v>
      </c>
      <c r="N436" s="25">
        <v>1</v>
      </c>
    </row>
    <row r="437" spans="1:14">
      <c r="A437" s="23" t="s">
        <v>322</v>
      </c>
      <c r="B437" s="23" t="s">
        <v>328</v>
      </c>
      <c r="C437" s="23" t="s">
        <v>994</v>
      </c>
      <c r="D437" s="23" t="s">
        <v>970</v>
      </c>
      <c r="E437" s="23" t="s">
        <v>971</v>
      </c>
      <c r="F437" s="25">
        <v>96</v>
      </c>
      <c r="G437" s="25">
        <v>86</v>
      </c>
      <c r="H437" s="24">
        <v>0.89583333333333337</v>
      </c>
      <c r="I437" s="24">
        <v>1</v>
      </c>
      <c r="J437" s="24">
        <v>0</v>
      </c>
      <c r="K437" s="24">
        <v>1</v>
      </c>
      <c r="L437" s="23" t="s">
        <v>995</v>
      </c>
      <c r="M437" s="25">
        <v>15722</v>
      </c>
      <c r="N437" s="25">
        <v>2</v>
      </c>
    </row>
    <row r="438" spans="1:14">
      <c r="A438" s="23" t="s">
        <v>322</v>
      </c>
      <c r="B438" s="23" t="s">
        <v>328</v>
      </c>
      <c r="C438" s="23" t="s">
        <v>994</v>
      </c>
      <c r="D438" s="23" t="s">
        <v>1682</v>
      </c>
      <c r="E438" s="23" t="s">
        <v>1683</v>
      </c>
      <c r="F438" s="25">
        <v>96</v>
      </c>
      <c r="G438" s="25">
        <v>85</v>
      </c>
      <c r="H438" s="24">
        <v>0.88541666666666663</v>
      </c>
      <c r="I438" s="24">
        <v>0.64661613131919071</v>
      </c>
      <c r="J438" s="24">
        <v>0</v>
      </c>
      <c r="K438" s="24">
        <v>1</v>
      </c>
      <c r="L438" s="23" t="s">
        <v>995</v>
      </c>
      <c r="M438" s="25">
        <v>11857</v>
      </c>
      <c r="N438" s="25">
        <v>3</v>
      </c>
    </row>
    <row r="439" spans="1:14">
      <c r="A439" s="23" t="s">
        <v>322</v>
      </c>
      <c r="B439" s="23" t="s">
        <v>328</v>
      </c>
      <c r="C439" s="23" t="s">
        <v>994</v>
      </c>
      <c r="D439" s="23" t="s">
        <v>1684</v>
      </c>
      <c r="E439" s="23" t="s">
        <v>1685</v>
      </c>
      <c r="F439" s="25">
        <v>96</v>
      </c>
      <c r="G439" s="25">
        <v>85</v>
      </c>
      <c r="H439" s="24">
        <v>0.88541666666666663</v>
      </c>
      <c r="I439" s="24">
        <v>1</v>
      </c>
      <c r="J439" s="24">
        <v>0</v>
      </c>
      <c r="K439" s="24">
        <v>1</v>
      </c>
      <c r="L439" s="23" t="s">
        <v>995</v>
      </c>
      <c r="M439" s="25">
        <v>8942</v>
      </c>
      <c r="N439" s="25">
        <v>4</v>
      </c>
    </row>
    <row r="440" spans="1:14">
      <c r="A440" s="23" t="s">
        <v>322</v>
      </c>
      <c r="B440" s="23" t="s">
        <v>328</v>
      </c>
      <c r="C440" s="23" t="s">
        <v>994</v>
      </c>
      <c r="D440" s="23" t="s">
        <v>1686</v>
      </c>
      <c r="E440" s="23" t="s">
        <v>1687</v>
      </c>
      <c r="F440" s="25">
        <v>96</v>
      </c>
      <c r="G440" s="25">
        <v>72</v>
      </c>
      <c r="H440" s="24">
        <v>0.75</v>
      </c>
      <c r="I440" s="24">
        <v>1</v>
      </c>
      <c r="J440" s="24">
        <v>0</v>
      </c>
      <c r="K440" s="24">
        <v>0.98611111111111116</v>
      </c>
      <c r="L440" s="23" t="s">
        <v>995</v>
      </c>
      <c r="M440" s="25">
        <v>3052</v>
      </c>
      <c r="N440" s="25">
        <v>5</v>
      </c>
    </row>
    <row r="441" spans="1:14">
      <c r="A441" s="23" t="s">
        <v>322</v>
      </c>
      <c r="B441" s="23" t="s">
        <v>328</v>
      </c>
      <c r="C441" s="23" t="s">
        <v>994</v>
      </c>
      <c r="D441" s="23" t="s">
        <v>1688</v>
      </c>
      <c r="E441" s="23" t="s">
        <v>1689</v>
      </c>
      <c r="F441" s="25">
        <v>96</v>
      </c>
      <c r="G441" s="25">
        <v>67</v>
      </c>
      <c r="H441" s="24">
        <v>0.69791666666666663</v>
      </c>
      <c r="I441" s="24">
        <v>0.96631965707287204</v>
      </c>
      <c r="J441" s="24">
        <v>0</v>
      </c>
      <c r="K441" s="24">
        <v>1</v>
      </c>
      <c r="L441" s="23" t="s">
        <v>995</v>
      </c>
      <c r="M441" s="25">
        <v>6312</v>
      </c>
      <c r="N441" s="25">
        <v>6</v>
      </c>
    </row>
    <row r="442" spans="1:14">
      <c r="A442" s="23" t="s">
        <v>322</v>
      </c>
      <c r="B442" s="23" t="s">
        <v>328</v>
      </c>
      <c r="C442" s="23" t="s">
        <v>994</v>
      </c>
      <c r="D442" s="23" t="s">
        <v>1690</v>
      </c>
      <c r="E442" s="23" t="s">
        <v>1691</v>
      </c>
      <c r="F442" s="25">
        <v>96</v>
      </c>
      <c r="G442" s="25">
        <v>49</v>
      </c>
      <c r="H442" s="24">
        <v>0.51041666666666663</v>
      </c>
      <c r="I442" s="24">
        <v>1</v>
      </c>
      <c r="J442" s="24">
        <v>0</v>
      </c>
      <c r="K442" s="24">
        <v>0.95918367346938771</v>
      </c>
      <c r="L442" s="23" t="s">
        <v>995</v>
      </c>
      <c r="M442" s="25">
        <v>4336</v>
      </c>
      <c r="N442" s="25">
        <v>7</v>
      </c>
    </row>
    <row r="443" spans="1:14">
      <c r="A443" s="23" t="s">
        <v>322</v>
      </c>
      <c r="B443" s="23" t="s">
        <v>328</v>
      </c>
      <c r="C443" s="23" t="s">
        <v>990</v>
      </c>
      <c r="D443" s="23" t="s">
        <v>1692</v>
      </c>
      <c r="E443" s="23" t="s">
        <v>1693</v>
      </c>
      <c r="F443" s="25">
        <v>96</v>
      </c>
      <c r="G443" s="25">
        <v>44</v>
      </c>
      <c r="H443" s="24">
        <v>0.45833333333333331</v>
      </c>
      <c r="I443" s="24">
        <v>0.52281368821292773</v>
      </c>
      <c r="J443" s="24">
        <v>1</v>
      </c>
      <c r="K443" s="24">
        <v>0</v>
      </c>
      <c r="L443" s="23" t="s">
        <v>991</v>
      </c>
      <c r="M443" s="25">
        <v>1100</v>
      </c>
      <c r="N443" s="25">
        <v>8</v>
      </c>
    </row>
    <row r="444" spans="1:14">
      <c r="A444" s="23" t="s">
        <v>322</v>
      </c>
      <c r="B444" s="23" t="s">
        <v>328</v>
      </c>
      <c r="C444" s="23" t="s">
        <v>990</v>
      </c>
      <c r="D444" s="23" t="s">
        <v>1694</v>
      </c>
      <c r="E444" s="23" t="s">
        <v>1695</v>
      </c>
      <c r="F444" s="25">
        <v>96</v>
      </c>
      <c r="G444" s="25">
        <v>12</v>
      </c>
      <c r="H444" s="24">
        <v>0.125</v>
      </c>
      <c r="I444" s="24">
        <v>0.52350427350427353</v>
      </c>
      <c r="J444" s="24">
        <v>0.95535714285714279</v>
      </c>
      <c r="K444" s="24">
        <v>0</v>
      </c>
      <c r="L444" s="23" t="s">
        <v>991</v>
      </c>
      <c r="M444" s="25">
        <v>245</v>
      </c>
      <c r="N444" s="25">
        <v>9</v>
      </c>
    </row>
    <row r="445" spans="1:14">
      <c r="A445" s="23" t="s">
        <v>322</v>
      </c>
      <c r="B445" s="23" t="s">
        <v>328</v>
      </c>
      <c r="C445" s="23" t="s">
        <v>990</v>
      </c>
      <c r="D445" s="23" t="s">
        <v>1696</v>
      </c>
      <c r="E445" s="23" t="s">
        <v>1697</v>
      </c>
      <c r="F445" s="25">
        <v>96</v>
      </c>
      <c r="G445" s="25">
        <v>11</v>
      </c>
      <c r="H445" s="24">
        <v>0.11458333333333333</v>
      </c>
      <c r="I445" s="24">
        <v>0.75607064017660042</v>
      </c>
      <c r="J445" s="24">
        <v>0.48</v>
      </c>
      <c r="K445" s="24">
        <v>0</v>
      </c>
      <c r="L445" s="23" t="s">
        <v>1010</v>
      </c>
      <c r="M445" s="25">
        <v>685</v>
      </c>
      <c r="N445" s="25">
        <v>10</v>
      </c>
    </row>
    <row r="446" spans="1:14">
      <c r="A446" s="23" t="s">
        <v>322</v>
      </c>
      <c r="B446" s="23" t="s">
        <v>331</v>
      </c>
      <c r="C446" s="23" t="s">
        <v>994</v>
      </c>
      <c r="D446" s="23" t="s">
        <v>974</v>
      </c>
      <c r="E446" s="23" t="s">
        <v>975</v>
      </c>
      <c r="F446" s="25">
        <v>68</v>
      </c>
      <c r="G446" s="25">
        <v>68</v>
      </c>
      <c r="H446" s="24">
        <v>1</v>
      </c>
      <c r="I446" s="24">
        <v>1</v>
      </c>
      <c r="J446" s="24">
        <v>0</v>
      </c>
      <c r="K446" s="24">
        <v>1</v>
      </c>
      <c r="L446" s="23" t="s">
        <v>995</v>
      </c>
      <c r="M446" s="25">
        <v>15277</v>
      </c>
      <c r="N446" s="25">
        <v>1</v>
      </c>
    </row>
    <row r="447" spans="1:14">
      <c r="A447" s="23" t="s">
        <v>322</v>
      </c>
      <c r="B447" s="23" t="s">
        <v>331</v>
      </c>
      <c r="C447" s="23" t="s">
        <v>994</v>
      </c>
      <c r="D447" s="23" t="s">
        <v>1698</v>
      </c>
      <c r="E447" s="23" t="s">
        <v>1699</v>
      </c>
      <c r="F447" s="25">
        <v>68</v>
      </c>
      <c r="G447" s="25">
        <v>68</v>
      </c>
      <c r="H447" s="24">
        <v>1</v>
      </c>
      <c r="I447" s="24">
        <v>1</v>
      </c>
      <c r="J447" s="24">
        <v>0</v>
      </c>
      <c r="K447" s="24">
        <v>1</v>
      </c>
      <c r="L447" s="23" t="s">
        <v>995</v>
      </c>
      <c r="M447" s="25">
        <v>10425</v>
      </c>
      <c r="N447" s="25">
        <v>2</v>
      </c>
    </row>
    <row r="448" spans="1:14">
      <c r="A448" s="23" t="s">
        <v>322</v>
      </c>
      <c r="B448" s="23" t="s">
        <v>331</v>
      </c>
      <c r="C448" s="23" t="s">
        <v>994</v>
      </c>
      <c r="D448" s="23" t="s">
        <v>1700</v>
      </c>
      <c r="E448" s="23" t="s">
        <v>1701</v>
      </c>
      <c r="F448" s="25">
        <v>68</v>
      </c>
      <c r="G448" s="25">
        <v>68</v>
      </c>
      <c r="H448" s="24">
        <v>1</v>
      </c>
      <c r="I448" s="24">
        <v>1</v>
      </c>
      <c r="J448" s="24">
        <v>0</v>
      </c>
      <c r="K448" s="24">
        <v>1</v>
      </c>
      <c r="L448" s="23" t="s">
        <v>995</v>
      </c>
      <c r="M448" s="25">
        <v>3856</v>
      </c>
      <c r="N448" s="25">
        <v>3</v>
      </c>
    </row>
    <row r="449" spans="1:14">
      <c r="A449" s="23" t="s">
        <v>322</v>
      </c>
      <c r="B449" s="23" t="s">
        <v>331</v>
      </c>
      <c r="C449" s="23" t="s">
        <v>994</v>
      </c>
      <c r="D449" s="23" t="s">
        <v>1702</v>
      </c>
      <c r="E449" s="23" t="s">
        <v>1703</v>
      </c>
      <c r="F449" s="25">
        <v>68</v>
      </c>
      <c r="G449" s="25">
        <v>68</v>
      </c>
      <c r="H449" s="24">
        <v>1</v>
      </c>
      <c r="I449" s="24">
        <v>1</v>
      </c>
      <c r="J449" s="24">
        <v>0</v>
      </c>
      <c r="K449" s="24">
        <v>1</v>
      </c>
      <c r="L449" s="23" t="s">
        <v>995</v>
      </c>
      <c r="M449" s="25">
        <v>2571</v>
      </c>
      <c r="N449" s="25">
        <v>4</v>
      </c>
    </row>
    <row r="450" spans="1:14">
      <c r="A450" s="23" t="s">
        <v>322</v>
      </c>
      <c r="B450" s="23" t="s">
        <v>331</v>
      </c>
      <c r="C450" s="23" t="s">
        <v>994</v>
      </c>
      <c r="D450" s="23" t="s">
        <v>1704</v>
      </c>
      <c r="E450" s="23" t="s">
        <v>1705</v>
      </c>
      <c r="F450" s="25">
        <v>68</v>
      </c>
      <c r="G450" s="25">
        <v>68</v>
      </c>
      <c r="H450" s="24">
        <v>1</v>
      </c>
      <c r="I450" s="24">
        <v>1</v>
      </c>
      <c r="J450" s="24">
        <v>0</v>
      </c>
      <c r="K450" s="24">
        <v>1</v>
      </c>
      <c r="L450" s="23" t="s">
        <v>995</v>
      </c>
      <c r="M450" s="25">
        <v>2393</v>
      </c>
      <c r="N450" s="25">
        <v>5</v>
      </c>
    </row>
    <row r="451" spans="1:14">
      <c r="A451" s="23" t="s">
        <v>322</v>
      </c>
      <c r="B451" s="23" t="s">
        <v>331</v>
      </c>
      <c r="C451" s="23" t="s">
        <v>994</v>
      </c>
      <c r="D451" s="23" t="s">
        <v>1706</v>
      </c>
      <c r="E451" s="23" t="s">
        <v>1707</v>
      </c>
      <c r="F451" s="25">
        <v>68</v>
      </c>
      <c r="G451" s="25">
        <v>65</v>
      </c>
      <c r="H451" s="24">
        <v>0.95588235294117652</v>
      </c>
      <c r="I451" s="24">
        <v>1</v>
      </c>
      <c r="J451" s="24">
        <v>0</v>
      </c>
      <c r="K451" s="24">
        <v>1</v>
      </c>
      <c r="L451" s="23" t="s">
        <v>995</v>
      </c>
      <c r="M451" s="25">
        <v>8953</v>
      </c>
      <c r="N451" s="25">
        <v>6</v>
      </c>
    </row>
    <row r="452" spans="1:14">
      <c r="A452" s="23" t="s">
        <v>322</v>
      </c>
      <c r="B452" s="23" t="s">
        <v>331</v>
      </c>
      <c r="C452" s="23" t="s">
        <v>994</v>
      </c>
      <c r="D452" s="23" t="s">
        <v>1708</v>
      </c>
      <c r="E452" s="23" t="s">
        <v>1709</v>
      </c>
      <c r="F452" s="25">
        <v>68</v>
      </c>
      <c r="G452" s="25">
        <v>65</v>
      </c>
      <c r="H452" s="24">
        <v>0.95588235294117652</v>
      </c>
      <c r="I452" s="24">
        <v>1</v>
      </c>
      <c r="J452" s="24">
        <v>0</v>
      </c>
      <c r="K452" s="24">
        <v>1</v>
      </c>
      <c r="L452" s="23" t="s">
        <v>995</v>
      </c>
      <c r="M452" s="25">
        <v>932</v>
      </c>
      <c r="N452" s="25">
        <v>7</v>
      </c>
    </row>
    <row r="453" spans="1:14">
      <c r="A453" s="23" t="s">
        <v>322</v>
      </c>
      <c r="B453" s="23" t="s">
        <v>331</v>
      </c>
      <c r="C453" s="23" t="s">
        <v>994</v>
      </c>
      <c r="D453" s="23" t="s">
        <v>1710</v>
      </c>
      <c r="E453" s="23" t="s">
        <v>1711</v>
      </c>
      <c r="F453" s="25">
        <v>68</v>
      </c>
      <c r="G453" s="25">
        <v>59</v>
      </c>
      <c r="H453" s="24">
        <v>0.86764705882352944</v>
      </c>
      <c r="I453" s="24">
        <v>1</v>
      </c>
      <c r="J453" s="24">
        <v>0</v>
      </c>
      <c r="K453" s="24">
        <v>1</v>
      </c>
      <c r="L453" s="23" t="s">
        <v>995</v>
      </c>
      <c r="M453" s="25">
        <v>8629</v>
      </c>
      <c r="N453" s="25">
        <v>8</v>
      </c>
    </row>
    <row r="454" spans="1:14">
      <c r="A454" s="23" t="s">
        <v>322</v>
      </c>
      <c r="B454" s="23" t="s">
        <v>331</v>
      </c>
      <c r="C454" s="23" t="s">
        <v>994</v>
      </c>
      <c r="D454" s="23" t="s">
        <v>1712</v>
      </c>
      <c r="E454" s="23" t="s">
        <v>1713</v>
      </c>
      <c r="F454" s="25">
        <v>68</v>
      </c>
      <c r="G454" s="25">
        <v>48</v>
      </c>
      <c r="H454" s="24">
        <v>0.70588235294117652</v>
      </c>
      <c r="I454" s="24">
        <v>0.99048185603807259</v>
      </c>
      <c r="J454" s="24">
        <v>0</v>
      </c>
      <c r="K454" s="24">
        <v>0.97916666666666663</v>
      </c>
      <c r="L454" s="23" t="s">
        <v>995</v>
      </c>
      <c r="M454" s="25">
        <v>1665</v>
      </c>
      <c r="N454" s="25">
        <v>9</v>
      </c>
    </row>
    <row r="455" spans="1:14">
      <c r="A455" s="23" t="s">
        <v>322</v>
      </c>
      <c r="B455" s="23" t="s">
        <v>331</v>
      </c>
      <c r="C455" s="23" t="s">
        <v>994</v>
      </c>
      <c r="D455" s="23" t="s">
        <v>1714</v>
      </c>
      <c r="E455" s="23" t="s">
        <v>1715</v>
      </c>
      <c r="F455" s="25">
        <v>68</v>
      </c>
      <c r="G455" s="25">
        <v>20</v>
      </c>
      <c r="H455" s="24">
        <v>0.29411764705882354</v>
      </c>
      <c r="I455" s="24">
        <v>1</v>
      </c>
      <c r="J455" s="24">
        <v>0</v>
      </c>
      <c r="K455" s="24">
        <v>1</v>
      </c>
      <c r="L455" s="23" t="s">
        <v>995</v>
      </c>
      <c r="M455" s="25">
        <v>1071</v>
      </c>
      <c r="N455" s="25">
        <v>10</v>
      </c>
    </row>
    <row r="456" spans="1:14">
      <c r="A456" s="23" t="s">
        <v>322</v>
      </c>
      <c r="B456" s="23" t="s">
        <v>331</v>
      </c>
      <c r="C456" s="23" t="s">
        <v>994</v>
      </c>
      <c r="D456" s="23" t="s">
        <v>1716</v>
      </c>
      <c r="E456" s="23" t="s">
        <v>1717</v>
      </c>
      <c r="F456" s="25">
        <v>68</v>
      </c>
      <c r="G456" s="25">
        <v>9</v>
      </c>
      <c r="H456" s="24">
        <v>0.13235294117647059</v>
      </c>
      <c r="I456" s="24">
        <v>1</v>
      </c>
      <c r="J456" s="24">
        <v>0</v>
      </c>
      <c r="K456" s="24">
        <v>1</v>
      </c>
      <c r="L456" s="23" t="s">
        <v>995</v>
      </c>
      <c r="M456" s="25">
        <v>556</v>
      </c>
      <c r="N456" s="25">
        <v>11</v>
      </c>
    </row>
    <row r="457" spans="1:14">
      <c r="A457" s="23" t="s">
        <v>322</v>
      </c>
      <c r="B457" s="23" t="s">
        <v>323</v>
      </c>
      <c r="C457" s="23" t="s">
        <v>994</v>
      </c>
      <c r="D457" s="23" t="s">
        <v>960</v>
      </c>
      <c r="E457" s="23" t="s">
        <v>961</v>
      </c>
      <c r="F457" s="25">
        <v>26</v>
      </c>
      <c r="G457" s="25">
        <v>26</v>
      </c>
      <c r="H457" s="24">
        <v>1</v>
      </c>
      <c r="I457" s="24">
        <v>1</v>
      </c>
      <c r="J457" s="24">
        <v>0</v>
      </c>
      <c r="K457" s="24">
        <v>1</v>
      </c>
      <c r="L457" s="23" t="s">
        <v>995</v>
      </c>
      <c r="M457" s="25">
        <v>3256</v>
      </c>
      <c r="N457" s="25">
        <v>1</v>
      </c>
    </row>
    <row r="458" spans="1:14">
      <c r="A458" s="23" t="s">
        <v>322</v>
      </c>
      <c r="B458" s="23" t="s">
        <v>323</v>
      </c>
      <c r="C458" s="23" t="s">
        <v>994</v>
      </c>
      <c r="D458" s="23" t="s">
        <v>1718</v>
      </c>
      <c r="E458" s="23" t="s">
        <v>1719</v>
      </c>
      <c r="F458" s="25">
        <v>26</v>
      </c>
      <c r="G458" s="25">
        <v>26</v>
      </c>
      <c r="H458" s="24">
        <v>1</v>
      </c>
      <c r="I458" s="24">
        <v>1</v>
      </c>
      <c r="J458" s="24">
        <v>0</v>
      </c>
      <c r="K458" s="24">
        <v>1</v>
      </c>
      <c r="L458" s="23" t="s">
        <v>995</v>
      </c>
      <c r="M458" s="25">
        <v>1033</v>
      </c>
      <c r="N458" s="25">
        <v>2</v>
      </c>
    </row>
    <row r="459" spans="1:14">
      <c r="A459" s="23" t="s">
        <v>322</v>
      </c>
      <c r="B459" s="23" t="s">
        <v>323</v>
      </c>
      <c r="C459" s="23" t="s">
        <v>994</v>
      </c>
      <c r="D459" s="23" t="s">
        <v>1720</v>
      </c>
      <c r="E459" s="23" t="s">
        <v>1721</v>
      </c>
      <c r="F459" s="25">
        <v>26</v>
      </c>
      <c r="G459" s="25">
        <v>26</v>
      </c>
      <c r="H459" s="24">
        <v>1</v>
      </c>
      <c r="I459" s="24">
        <v>1</v>
      </c>
      <c r="J459" s="24">
        <v>0</v>
      </c>
      <c r="K459" s="24">
        <v>1</v>
      </c>
      <c r="L459" s="23" t="s">
        <v>995</v>
      </c>
      <c r="M459" s="25">
        <v>445</v>
      </c>
      <c r="N459" s="25">
        <v>3</v>
      </c>
    </row>
    <row r="460" spans="1:14">
      <c r="A460" s="23" t="s">
        <v>322</v>
      </c>
      <c r="B460" s="23" t="s">
        <v>323</v>
      </c>
      <c r="C460" s="23" t="s">
        <v>994</v>
      </c>
      <c r="D460" s="23" t="s">
        <v>1722</v>
      </c>
      <c r="E460" s="23" t="s">
        <v>1723</v>
      </c>
      <c r="F460" s="25">
        <v>26</v>
      </c>
      <c r="G460" s="25">
        <v>25</v>
      </c>
      <c r="H460" s="24">
        <v>0.96153846153846156</v>
      </c>
      <c r="I460" s="24">
        <v>1</v>
      </c>
      <c r="J460" s="24">
        <v>0</v>
      </c>
      <c r="K460" s="24">
        <v>1</v>
      </c>
      <c r="L460" s="23" t="s">
        <v>995</v>
      </c>
      <c r="M460" s="25">
        <v>786</v>
      </c>
      <c r="N460" s="25">
        <v>4</v>
      </c>
    </row>
    <row r="461" spans="1:14">
      <c r="A461" s="23" t="s">
        <v>322</v>
      </c>
      <c r="B461" s="23" t="s">
        <v>323</v>
      </c>
      <c r="C461" s="23" t="s">
        <v>994</v>
      </c>
      <c r="D461" s="23" t="s">
        <v>1724</v>
      </c>
      <c r="E461" s="23" t="s">
        <v>1725</v>
      </c>
      <c r="F461" s="25">
        <v>26</v>
      </c>
      <c r="G461" s="25">
        <v>25</v>
      </c>
      <c r="H461" s="24">
        <v>0.96153846153846156</v>
      </c>
      <c r="I461" s="24">
        <v>1</v>
      </c>
      <c r="J461" s="24">
        <v>0</v>
      </c>
      <c r="K461" s="24">
        <v>1</v>
      </c>
      <c r="L461" s="23" t="s">
        <v>995</v>
      </c>
      <c r="M461" s="25">
        <v>648</v>
      </c>
      <c r="N461" s="25">
        <v>5</v>
      </c>
    </row>
    <row r="462" spans="1:14">
      <c r="A462" s="23" t="s">
        <v>322</v>
      </c>
      <c r="B462" s="23" t="s">
        <v>323</v>
      </c>
      <c r="C462" s="23" t="s">
        <v>994</v>
      </c>
      <c r="D462" s="23" t="s">
        <v>1726</v>
      </c>
      <c r="E462" s="23" t="s">
        <v>1727</v>
      </c>
      <c r="F462" s="25">
        <v>26</v>
      </c>
      <c r="G462" s="25">
        <v>24</v>
      </c>
      <c r="H462" s="24">
        <v>0.92307692307692313</v>
      </c>
      <c r="I462" s="24">
        <v>1</v>
      </c>
      <c r="J462" s="24">
        <v>0</v>
      </c>
      <c r="K462" s="24">
        <v>1</v>
      </c>
      <c r="L462" s="23" t="s">
        <v>995</v>
      </c>
      <c r="M462" s="25">
        <v>2141</v>
      </c>
      <c r="N462" s="25">
        <v>6</v>
      </c>
    </row>
    <row r="463" spans="1:14">
      <c r="A463" s="23" t="s">
        <v>322</v>
      </c>
      <c r="B463" s="23" t="s">
        <v>323</v>
      </c>
      <c r="C463" s="23" t="s">
        <v>994</v>
      </c>
      <c r="D463" s="23" t="s">
        <v>1728</v>
      </c>
      <c r="E463" s="23" t="s">
        <v>1729</v>
      </c>
      <c r="F463" s="25">
        <v>26</v>
      </c>
      <c r="G463" s="25">
        <v>14</v>
      </c>
      <c r="H463" s="24">
        <v>0.53846153846153844</v>
      </c>
      <c r="I463" s="24">
        <v>1</v>
      </c>
      <c r="J463" s="24">
        <v>0</v>
      </c>
      <c r="K463" s="24">
        <v>1</v>
      </c>
      <c r="L463" s="23" t="s">
        <v>995</v>
      </c>
      <c r="M463" s="25">
        <v>393</v>
      </c>
      <c r="N463" s="25">
        <v>7</v>
      </c>
    </row>
    <row r="464" spans="1:14">
      <c r="A464" s="23" t="s">
        <v>322</v>
      </c>
      <c r="B464" s="23" t="s">
        <v>323</v>
      </c>
      <c r="C464" s="23" t="s">
        <v>994</v>
      </c>
      <c r="D464" s="23" t="s">
        <v>1730</v>
      </c>
      <c r="E464" s="23" t="s">
        <v>1731</v>
      </c>
      <c r="F464" s="25">
        <v>26</v>
      </c>
      <c r="G464" s="25">
        <v>4</v>
      </c>
      <c r="H464" s="24">
        <v>0.15384615384615385</v>
      </c>
      <c r="I464" s="24">
        <v>1</v>
      </c>
      <c r="J464" s="24">
        <v>0</v>
      </c>
      <c r="K464" s="24">
        <v>1</v>
      </c>
      <c r="L464" s="23" t="s">
        <v>995</v>
      </c>
      <c r="M464" s="25">
        <v>605</v>
      </c>
      <c r="N464" s="25">
        <v>8</v>
      </c>
    </row>
    <row r="465" spans="1:14">
      <c r="A465" s="23" t="s">
        <v>322</v>
      </c>
      <c r="B465" s="23" t="s">
        <v>323</v>
      </c>
      <c r="C465" s="23" t="s">
        <v>994</v>
      </c>
      <c r="D465" s="23" t="s">
        <v>1732</v>
      </c>
      <c r="E465" s="23" t="s">
        <v>1733</v>
      </c>
      <c r="F465" s="25">
        <v>26</v>
      </c>
      <c r="G465" s="25">
        <v>3</v>
      </c>
      <c r="H465" s="24">
        <v>0.11538461538461539</v>
      </c>
      <c r="I465" s="24">
        <v>0.72045028142589118</v>
      </c>
      <c r="J465" s="24">
        <v>0</v>
      </c>
      <c r="K465" s="24">
        <v>1</v>
      </c>
      <c r="L465" s="23" t="s">
        <v>995</v>
      </c>
      <c r="M465" s="25">
        <v>384</v>
      </c>
      <c r="N465" s="25">
        <v>9</v>
      </c>
    </row>
    <row r="466" spans="1:14">
      <c r="A466" s="23" t="s">
        <v>322</v>
      </c>
      <c r="B466" s="23" t="s">
        <v>326</v>
      </c>
      <c r="C466" s="23" t="s">
        <v>990</v>
      </c>
      <c r="D466" s="23" t="s">
        <v>962</v>
      </c>
      <c r="E466" s="23" t="s">
        <v>963</v>
      </c>
      <c r="F466" s="25">
        <v>59</v>
      </c>
      <c r="G466" s="25">
        <v>59</v>
      </c>
      <c r="H466" s="24">
        <v>1</v>
      </c>
      <c r="I466" s="24">
        <v>0.99997752707986876</v>
      </c>
      <c r="J466" s="24">
        <v>1</v>
      </c>
      <c r="K466" s="24">
        <v>0</v>
      </c>
      <c r="L466" s="23" t="s">
        <v>991</v>
      </c>
      <c r="M466" s="25">
        <v>44497</v>
      </c>
      <c r="N466" s="25">
        <v>1</v>
      </c>
    </row>
    <row r="467" spans="1:14">
      <c r="A467" s="23" t="s">
        <v>322</v>
      </c>
      <c r="B467" s="23" t="s">
        <v>326</v>
      </c>
      <c r="C467" s="23" t="s">
        <v>990</v>
      </c>
      <c r="D467" s="23" t="s">
        <v>964</v>
      </c>
      <c r="E467" s="23" t="s">
        <v>965</v>
      </c>
      <c r="F467" s="25">
        <v>59</v>
      </c>
      <c r="G467" s="25">
        <v>57</v>
      </c>
      <c r="H467" s="24">
        <v>0.96610169491525422</v>
      </c>
      <c r="I467" s="24">
        <v>1</v>
      </c>
      <c r="J467" s="24">
        <v>0.8</v>
      </c>
      <c r="K467" s="24">
        <v>0</v>
      </c>
      <c r="L467" s="23" t="s">
        <v>991</v>
      </c>
      <c r="M467" s="25">
        <v>24080</v>
      </c>
      <c r="N467" s="25">
        <v>2</v>
      </c>
    </row>
    <row r="468" spans="1:14">
      <c r="A468" s="23" t="s">
        <v>322</v>
      </c>
      <c r="B468" s="23" t="s">
        <v>326</v>
      </c>
      <c r="C468" s="23" t="s">
        <v>990</v>
      </c>
      <c r="D468" s="23" t="s">
        <v>1734</v>
      </c>
      <c r="E468" s="23" t="s">
        <v>1735</v>
      </c>
      <c r="F468" s="25">
        <v>59</v>
      </c>
      <c r="G468" s="25">
        <v>56</v>
      </c>
      <c r="H468" s="24">
        <v>0.94915254237288138</v>
      </c>
      <c r="I468" s="24">
        <v>1</v>
      </c>
      <c r="J468" s="24">
        <v>0.49</v>
      </c>
      <c r="K468" s="24">
        <v>0</v>
      </c>
      <c r="L468" s="23" t="s">
        <v>1010</v>
      </c>
      <c r="M468" s="25">
        <v>4627</v>
      </c>
      <c r="N468" s="25">
        <v>3</v>
      </c>
    </row>
    <row r="469" spans="1:14">
      <c r="A469" s="23" t="s">
        <v>322</v>
      </c>
      <c r="B469" s="23" t="s">
        <v>326</v>
      </c>
      <c r="C469" s="23" t="s">
        <v>990</v>
      </c>
      <c r="D469" s="23" t="s">
        <v>1736</v>
      </c>
      <c r="E469" s="23" t="s">
        <v>1737</v>
      </c>
      <c r="F469" s="25">
        <v>59</v>
      </c>
      <c r="G469" s="25">
        <v>55</v>
      </c>
      <c r="H469" s="24">
        <v>0.93220338983050843</v>
      </c>
      <c r="I469" s="24">
        <v>0.99887850467289718</v>
      </c>
      <c r="J469" s="24">
        <v>0.36</v>
      </c>
      <c r="K469" s="24">
        <v>0</v>
      </c>
      <c r="L469" s="23" t="s">
        <v>1010</v>
      </c>
      <c r="M469" s="25">
        <v>2672</v>
      </c>
      <c r="N469" s="25">
        <v>4</v>
      </c>
    </row>
    <row r="470" spans="1:14">
      <c r="A470" s="23" t="s">
        <v>322</v>
      </c>
      <c r="B470" s="23" t="s">
        <v>326</v>
      </c>
      <c r="C470" s="23" t="s">
        <v>990</v>
      </c>
      <c r="D470" s="23" t="s">
        <v>1738</v>
      </c>
      <c r="E470" s="23" t="s">
        <v>1739</v>
      </c>
      <c r="F470" s="25">
        <v>59</v>
      </c>
      <c r="G470" s="25">
        <v>52</v>
      </c>
      <c r="H470" s="24">
        <v>0.88135593220338981</v>
      </c>
      <c r="I470" s="24">
        <v>1</v>
      </c>
      <c r="J470" s="24">
        <v>0.59545454545454546</v>
      </c>
      <c r="K470" s="24">
        <v>0</v>
      </c>
      <c r="L470" s="23" t="s">
        <v>1010</v>
      </c>
      <c r="M470" s="25">
        <v>7773</v>
      </c>
      <c r="N470" s="25">
        <v>5</v>
      </c>
    </row>
    <row r="471" spans="1:14">
      <c r="A471" s="23" t="s">
        <v>322</v>
      </c>
      <c r="B471" s="23" t="s">
        <v>326</v>
      </c>
      <c r="C471" s="23" t="s">
        <v>990</v>
      </c>
      <c r="D471" s="23" t="s">
        <v>1740</v>
      </c>
      <c r="E471" s="23" t="s">
        <v>1741</v>
      </c>
      <c r="F471" s="25">
        <v>59</v>
      </c>
      <c r="G471" s="25">
        <v>51</v>
      </c>
      <c r="H471" s="24">
        <v>0.86440677966101698</v>
      </c>
      <c r="I471" s="24">
        <v>1</v>
      </c>
      <c r="J471" s="24">
        <v>1</v>
      </c>
      <c r="K471" s="24">
        <v>0</v>
      </c>
      <c r="L471" s="23" t="s">
        <v>991</v>
      </c>
      <c r="M471" s="25">
        <v>51088</v>
      </c>
      <c r="N471" s="25">
        <v>6</v>
      </c>
    </row>
    <row r="472" spans="1:14">
      <c r="A472" s="23" t="s">
        <v>322</v>
      </c>
      <c r="B472" s="23" t="s">
        <v>326</v>
      </c>
      <c r="C472" s="23" t="s">
        <v>990</v>
      </c>
      <c r="D472" s="23" t="s">
        <v>958</v>
      </c>
      <c r="E472" s="23" t="s">
        <v>959</v>
      </c>
      <c r="F472" s="25">
        <v>59</v>
      </c>
      <c r="G472" s="25">
        <v>50</v>
      </c>
      <c r="H472" s="24">
        <v>0.84745762711864403</v>
      </c>
      <c r="I472" s="24">
        <v>0.76410437235543016</v>
      </c>
      <c r="J472" s="24">
        <v>0.91485507246376807</v>
      </c>
      <c r="K472" s="24">
        <v>0</v>
      </c>
      <c r="L472" s="23" t="s">
        <v>991</v>
      </c>
      <c r="M472" s="25">
        <v>6501</v>
      </c>
      <c r="N472" s="25">
        <v>7</v>
      </c>
    </row>
    <row r="473" spans="1:14">
      <c r="A473" s="23" t="s">
        <v>142</v>
      </c>
      <c r="B473" s="23" t="s">
        <v>149</v>
      </c>
      <c r="C473" s="23" t="s">
        <v>990</v>
      </c>
      <c r="D473" s="23" t="s">
        <v>747</v>
      </c>
      <c r="E473" s="23" t="s">
        <v>748</v>
      </c>
      <c r="F473" s="25">
        <v>107</v>
      </c>
      <c r="G473" s="25">
        <v>107</v>
      </c>
      <c r="H473" s="24">
        <v>1</v>
      </c>
      <c r="I473" s="24">
        <v>1</v>
      </c>
      <c r="J473" s="24">
        <v>0.78260869565217395</v>
      </c>
      <c r="K473" s="24">
        <v>0</v>
      </c>
      <c r="L473" s="23" t="s">
        <v>991</v>
      </c>
      <c r="M473" s="25">
        <v>29663</v>
      </c>
      <c r="N473" s="25">
        <v>1</v>
      </c>
    </row>
    <row r="474" spans="1:14">
      <c r="A474" s="23" t="s">
        <v>142</v>
      </c>
      <c r="B474" s="23" t="s">
        <v>149</v>
      </c>
      <c r="C474" s="23" t="s">
        <v>990</v>
      </c>
      <c r="D474" s="23" t="s">
        <v>1742</v>
      </c>
      <c r="E474" s="23" t="s">
        <v>1743</v>
      </c>
      <c r="F474" s="25">
        <v>107</v>
      </c>
      <c r="G474" s="25">
        <v>103</v>
      </c>
      <c r="H474" s="24">
        <v>0.96261682242990654</v>
      </c>
      <c r="I474" s="24">
        <v>1</v>
      </c>
      <c r="J474" s="24">
        <v>0.22727272727272727</v>
      </c>
      <c r="K474" s="24">
        <v>0</v>
      </c>
      <c r="L474" s="23" t="s">
        <v>1010</v>
      </c>
      <c r="M474" s="25">
        <v>2657</v>
      </c>
      <c r="N474" s="25">
        <v>2</v>
      </c>
    </row>
    <row r="475" spans="1:14">
      <c r="A475" s="23" t="s">
        <v>142</v>
      </c>
      <c r="B475" s="23" t="s">
        <v>149</v>
      </c>
      <c r="C475" s="23" t="s">
        <v>990</v>
      </c>
      <c r="D475" s="23" t="s">
        <v>1744</v>
      </c>
      <c r="E475" s="23" t="s">
        <v>1745</v>
      </c>
      <c r="F475" s="25">
        <v>107</v>
      </c>
      <c r="G475" s="25">
        <v>101</v>
      </c>
      <c r="H475" s="24">
        <v>0.94392523364485981</v>
      </c>
      <c r="I475" s="24">
        <v>1</v>
      </c>
      <c r="J475" s="24">
        <v>0.23809523809523808</v>
      </c>
      <c r="K475" s="24">
        <v>0</v>
      </c>
      <c r="L475" s="23" t="s">
        <v>1010</v>
      </c>
      <c r="M475" s="25">
        <v>10344</v>
      </c>
      <c r="N475" s="25">
        <v>3</v>
      </c>
    </row>
    <row r="476" spans="1:14">
      <c r="A476" s="23" t="s">
        <v>142</v>
      </c>
      <c r="B476" s="23" t="s">
        <v>149</v>
      </c>
      <c r="C476" s="23" t="s">
        <v>990</v>
      </c>
      <c r="D476" s="23" t="s">
        <v>1746</v>
      </c>
      <c r="E476" s="23" t="s">
        <v>1747</v>
      </c>
      <c r="F476" s="25">
        <v>107</v>
      </c>
      <c r="G476" s="25">
        <v>94</v>
      </c>
      <c r="H476" s="24">
        <v>0.87850467289719625</v>
      </c>
      <c r="I476" s="24">
        <v>1</v>
      </c>
      <c r="J476" s="24">
        <v>0.90476190476190477</v>
      </c>
      <c r="K476" s="24">
        <v>0</v>
      </c>
      <c r="L476" s="23" t="s">
        <v>991</v>
      </c>
      <c r="M476" s="25">
        <v>24070</v>
      </c>
      <c r="N476" s="25">
        <v>4</v>
      </c>
    </row>
    <row r="477" spans="1:14">
      <c r="A477" s="23" t="s">
        <v>142</v>
      </c>
      <c r="B477" s="23" t="s">
        <v>149</v>
      </c>
      <c r="C477" s="23" t="s">
        <v>990</v>
      </c>
      <c r="D477" s="23" t="s">
        <v>1748</v>
      </c>
      <c r="E477" s="23" t="s">
        <v>1749</v>
      </c>
      <c r="F477" s="25">
        <v>107</v>
      </c>
      <c r="G477" s="25">
        <v>82</v>
      </c>
      <c r="H477" s="24">
        <v>0.76635514018691586</v>
      </c>
      <c r="I477" s="24">
        <v>0.99924941025091141</v>
      </c>
      <c r="J477" s="24">
        <v>0.95238095238095233</v>
      </c>
      <c r="K477" s="24">
        <v>0</v>
      </c>
      <c r="L477" s="23" t="s">
        <v>991</v>
      </c>
      <c r="M477" s="25">
        <v>9319</v>
      </c>
      <c r="N477" s="25">
        <v>5</v>
      </c>
    </row>
    <row r="478" spans="1:14">
      <c r="A478" s="23" t="s">
        <v>142</v>
      </c>
      <c r="B478" s="23" t="s">
        <v>149</v>
      </c>
      <c r="C478" s="23" t="s">
        <v>990</v>
      </c>
      <c r="D478" s="23" t="s">
        <v>1750</v>
      </c>
      <c r="E478" s="23" t="s">
        <v>1751</v>
      </c>
      <c r="F478" s="25">
        <v>107</v>
      </c>
      <c r="G478" s="25">
        <v>80</v>
      </c>
      <c r="H478" s="24">
        <v>0.74766355140186913</v>
      </c>
      <c r="I478" s="24">
        <v>1</v>
      </c>
      <c r="J478" s="24">
        <v>0.82608695652173914</v>
      </c>
      <c r="K478" s="24">
        <v>0</v>
      </c>
      <c r="L478" s="23" t="s">
        <v>991</v>
      </c>
      <c r="M478" s="25">
        <v>16898</v>
      </c>
      <c r="N478" s="25">
        <v>6</v>
      </c>
    </row>
    <row r="479" spans="1:14">
      <c r="A479" s="23" t="s">
        <v>142</v>
      </c>
      <c r="B479" s="23" t="s">
        <v>149</v>
      </c>
      <c r="C479" s="23" t="s">
        <v>990</v>
      </c>
      <c r="D479" s="23" t="s">
        <v>1752</v>
      </c>
      <c r="E479" s="23" t="s">
        <v>1753</v>
      </c>
      <c r="F479" s="25">
        <v>107</v>
      </c>
      <c r="G479" s="25">
        <v>67</v>
      </c>
      <c r="H479" s="24">
        <v>0.62616822429906538</v>
      </c>
      <c r="I479" s="24">
        <v>0.98795607509741412</v>
      </c>
      <c r="J479" s="24">
        <v>0.96</v>
      </c>
      <c r="K479" s="24">
        <v>0</v>
      </c>
      <c r="L479" s="23" t="s">
        <v>991</v>
      </c>
      <c r="M479" s="25">
        <v>8367</v>
      </c>
      <c r="N479" s="25">
        <v>7</v>
      </c>
    </row>
    <row r="480" spans="1:14">
      <c r="A480" s="23" t="s">
        <v>142</v>
      </c>
      <c r="B480" s="23" t="s">
        <v>149</v>
      </c>
      <c r="C480" s="23" t="s">
        <v>990</v>
      </c>
      <c r="D480" s="23" t="s">
        <v>1754</v>
      </c>
      <c r="E480" s="23" t="s">
        <v>1755</v>
      </c>
      <c r="F480" s="25">
        <v>107</v>
      </c>
      <c r="G480" s="25">
        <v>67</v>
      </c>
      <c r="H480" s="24">
        <v>0.62616822429906538</v>
      </c>
      <c r="I480" s="24">
        <v>1</v>
      </c>
      <c r="J480" s="24">
        <v>0.7142857142857143</v>
      </c>
      <c r="K480" s="24">
        <v>0</v>
      </c>
      <c r="L480" s="23" t="s">
        <v>991</v>
      </c>
      <c r="M480" s="25">
        <v>16778</v>
      </c>
      <c r="N480" s="25">
        <v>8</v>
      </c>
    </row>
    <row r="481" spans="1:14">
      <c r="A481" s="23" t="s">
        <v>142</v>
      </c>
      <c r="B481" s="23" t="s">
        <v>149</v>
      </c>
      <c r="C481" s="23" t="s">
        <v>990</v>
      </c>
      <c r="D481" s="23" t="s">
        <v>1756</v>
      </c>
      <c r="E481" s="23" t="s">
        <v>1757</v>
      </c>
      <c r="F481" s="25">
        <v>107</v>
      </c>
      <c r="G481" s="25">
        <v>62</v>
      </c>
      <c r="H481" s="24">
        <v>0.57943925233644855</v>
      </c>
      <c r="I481" s="24">
        <v>1</v>
      </c>
      <c r="J481" s="24">
        <v>0.80039525691699609</v>
      </c>
      <c r="K481" s="24">
        <v>0</v>
      </c>
      <c r="L481" s="23" t="s">
        <v>991</v>
      </c>
      <c r="M481" s="25">
        <v>11943</v>
      </c>
      <c r="N481" s="25">
        <v>9</v>
      </c>
    </row>
    <row r="482" spans="1:14">
      <c r="A482" s="23" t="s">
        <v>142</v>
      </c>
      <c r="B482" s="23" t="s">
        <v>149</v>
      </c>
      <c r="C482" s="23" t="s">
        <v>990</v>
      </c>
      <c r="D482" s="23" t="s">
        <v>1758</v>
      </c>
      <c r="E482" s="23" t="s">
        <v>1759</v>
      </c>
      <c r="F482" s="25">
        <v>107</v>
      </c>
      <c r="G482" s="25">
        <v>61</v>
      </c>
      <c r="H482" s="24">
        <v>0.57009345794392519</v>
      </c>
      <c r="I482" s="24">
        <v>1</v>
      </c>
      <c r="J482" s="24">
        <v>0.76190476190476186</v>
      </c>
      <c r="K482" s="24">
        <v>0</v>
      </c>
      <c r="L482" s="23" t="s">
        <v>991</v>
      </c>
      <c r="M482" s="25">
        <v>7849</v>
      </c>
      <c r="N482" s="25">
        <v>10</v>
      </c>
    </row>
    <row r="483" spans="1:14">
      <c r="A483" s="23" t="s">
        <v>142</v>
      </c>
      <c r="B483" s="23" t="s">
        <v>149</v>
      </c>
      <c r="C483" s="23" t="s">
        <v>990</v>
      </c>
      <c r="D483" s="23" t="s">
        <v>1760</v>
      </c>
      <c r="E483" s="23" t="s">
        <v>1761</v>
      </c>
      <c r="F483" s="25">
        <v>107</v>
      </c>
      <c r="G483" s="25">
        <v>58</v>
      </c>
      <c r="H483" s="24">
        <v>0.54205607476635509</v>
      </c>
      <c r="I483" s="24">
        <v>1</v>
      </c>
      <c r="J483" s="24">
        <v>0.23904761904761904</v>
      </c>
      <c r="K483" s="24">
        <v>0</v>
      </c>
      <c r="L483" s="23" t="s">
        <v>1010</v>
      </c>
      <c r="M483" s="25">
        <v>1676</v>
      </c>
      <c r="N483" s="25">
        <v>11</v>
      </c>
    </row>
    <row r="484" spans="1:14">
      <c r="A484" s="23" t="s">
        <v>142</v>
      </c>
      <c r="B484" s="23" t="s">
        <v>149</v>
      </c>
      <c r="C484" s="23" t="s">
        <v>990</v>
      </c>
      <c r="D484" s="23" t="s">
        <v>1762</v>
      </c>
      <c r="E484" s="23" t="s">
        <v>1763</v>
      </c>
      <c r="F484" s="25">
        <v>107</v>
      </c>
      <c r="G484" s="25">
        <v>53</v>
      </c>
      <c r="H484" s="24">
        <v>0.49532710280373832</v>
      </c>
      <c r="I484" s="24">
        <v>1</v>
      </c>
      <c r="J484" s="24">
        <v>0.53846153846153844</v>
      </c>
      <c r="K484" s="24">
        <v>0</v>
      </c>
      <c r="L484" s="23" t="s">
        <v>1010</v>
      </c>
      <c r="M484" s="25">
        <v>2488</v>
      </c>
      <c r="N484" s="25">
        <v>12</v>
      </c>
    </row>
    <row r="485" spans="1:14">
      <c r="A485" s="23" t="s">
        <v>142</v>
      </c>
      <c r="B485" s="23" t="s">
        <v>149</v>
      </c>
      <c r="C485" s="23" t="s">
        <v>994</v>
      </c>
      <c r="D485" s="23" t="s">
        <v>761</v>
      </c>
      <c r="E485" s="23" t="s">
        <v>762</v>
      </c>
      <c r="F485" s="25">
        <v>107</v>
      </c>
      <c r="G485" s="25">
        <v>48</v>
      </c>
      <c r="H485" s="24">
        <v>0.44859813084112149</v>
      </c>
      <c r="I485" s="24">
        <v>0.98630136986301364</v>
      </c>
      <c r="J485" s="24">
        <v>0</v>
      </c>
      <c r="K485" s="24">
        <v>0.95833333333333337</v>
      </c>
      <c r="L485" s="23" t="s">
        <v>995</v>
      </c>
      <c r="M485" s="25">
        <v>288</v>
      </c>
      <c r="N485" s="25">
        <v>13</v>
      </c>
    </row>
    <row r="486" spans="1:14">
      <c r="A486" s="23" t="s">
        <v>142</v>
      </c>
      <c r="B486" s="23" t="s">
        <v>149</v>
      </c>
      <c r="C486" s="23" t="s">
        <v>990</v>
      </c>
      <c r="D486" s="23" t="s">
        <v>1764</v>
      </c>
      <c r="E486" s="23" t="s">
        <v>1765</v>
      </c>
      <c r="F486" s="25">
        <v>107</v>
      </c>
      <c r="G486" s="25">
        <v>43</v>
      </c>
      <c r="H486" s="24">
        <v>0.40186915887850466</v>
      </c>
      <c r="I486" s="24">
        <v>0.96302142051860207</v>
      </c>
      <c r="J486" s="24">
        <v>0.76190476190476186</v>
      </c>
      <c r="K486" s="24">
        <v>0</v>
      </c>
      <c r="L486" s="23" t="s">
        <v>991</v>
      </c>
      <c r="M486" s="25">
        <v>4271</v>
      </c>
      <c r="N486" s="25">
        <v>14</v>
      </c>
    </row>
    <row r="487" spans="1:14">
      <c r="A487" s="23" t="s">
        <v>142</v>
      </c>
      <c r="B487" s="23" t="s">
        <v>149</v>
      </c>
      <c r="C487" s="23" t="s">
        <v>990</v>
      </c>
      <c r="D487" s="23" t="s">
        <v>1766</v>
      </c>
      <c r="E487" s="23" t="s">
        <v>1767</v>
      </c>
      <c r="F487" s="25">
        <v>107</v>
      </c>
      <c r="G487" s="25">
        <v>37</v>
      </c>
      <c r="H487" s="24">
        <v>0.34579439252336447</v>
      </c>
      <c r="I487" s="24">
        <v>0.59965487489214842</v>
      </c>
      <c r="J487" s="24">
        <v>0.95454545454545459</v>
      </c>
      <c r="K487" s="24">
        <v>0</v>
      </c>
      <c r="L487" s="23" t="s">
        <v>991</v>
      </c>
      <c r="M487" s="25">
        <v>695</v>
      </c>
      <c r="N487" s="25">
        <v>15</v>
      </c>
    </row>
    <row r="488" spans="1:14">
      <c r="A488" s="23" t="s">
        <v>142</v>
      </c>
      <c r="B488" s="23" t="s">
        <v>149</v>
      </c>
      <c r="C488" s="23" t="s">
        <v>990</v>
      </c>
      <c r="D488" s="23" t="s">
        <v>1768</v>
      </c>
      <c r="E488" s="23" t="s">
        <v>1769</v>
      </c>
      <c r="F488" s="25">
        <v>107</v>
      </c>
      <c r="G488" s="25">
        <v>23</v>
      </c>
      <c r="H488" s="24">
        <v>0.21495327102803738</v>
      </c>
      <c r="I488" s="24">
        <v>1</v>
      </c>
      <c r="J488" s="24">
        <v>1</v>
      </c>
      <c r="K488" s="24">
        <v>0</v>
      </c>
      <c r="L488" s="23" t="s">
        <v>991</v>
      </c>
      <c r="M488" s="25">
        <v>7424</v>
      </c>
      <c r="N488" s="25">
        <v>16</v>
      </c>
    </row>
    <row r="489" spans="1:14">
      <c r="A489" s="23" t="s">
        <v>142</v>
      </c>
      <c r="B489" s="23" t="s">
        <v>149</v>
      </c>
      <c r="C489" s="23" t="s">
        <v>990</v>
      </c>
      <c r="D489" s="23" t="s">
        <v>1770</v>
      </c>
      <c r="E489" s="23" t="s">
        <v>1771</v>
      </c>
      <c r="F489" s="25">
        <v>107</v>
      </c>
      <c r="G489" s="25">
        <v>21</v>
      </c>
      <c r="H489" s="24">
        <v>0.19626168224299065</v>
      </c>
      <c r="I489" s="24">
        <v>1</v>
      </c>
      <c r="J489" s="24">
        <v>0.34782608695652173</v>
      </c>
      <c r="K489" s="24">
        <v>0</v>
      </c>
      <c r="L489" s="23" t="s">
        <v>1010</v>
      </c>
      <c r="M489" s="25">
        <v>1009</v>
      </c>
      <c r="N489" s="25">
        <v>17</v>
      </c>
    </row>
    <row r="490" spans="1:14">
      <c r="A490" s="23" t="s">
        <v>142</v>
      </c>
      <c r="B490" s="23" t="s">
        <v>149</v>
      </c>
      <c r="C490" s="23" t="s">
        <v>994</v>
      </c>
      <c r="D490" s="23" t="s">
        <v>1772</v>
      </c>
      <c r="E490" s="23" t="s">
        <v>1773</v>
      </c>
      <c r="F490" s="25">
        <v>107</v>
      </c>
      <c r="G490" s="25">
        <v>19</v>
      </c>
      <c r="H490" s="24">
        <v>0.17757009345794392</v>
      </c>
      <c r="I490" s="24">
        <v>1</v>
      </c>
      <c r="J490" s="24">
        <v>0</v>
      </c>
      <c r="K490" s="24">
        <v>1</v>
      </c>
      <c r="L490" s="23" t="s">
        <v>995</v>
      </c>
      <c r="M490" s="25">
        <v>1233</v>
      </c>
      <c r="N490" s="25">
        <v>18</v>
      </c>
    </row>
    <row r="491" spans="1:14">
      <c r="A491" s="23" t="s">
        <v>142</v>
      </c>
      <c r="B491" s="23" t="s">
        <v>149</v>
      </c>
      <c r="C491" s="23" t="s">
        <v>990</v>
      </c>
      <c r="D491" s="23" t="s">
        <v>1774</v>
      </c>
      <c r="E491" s="23" t="s">
        <v>1775</v>
      </c>
      <c r="F491" s="25">
        <v>107</v>
      </c>
      <c r="G491" s="25">
        <v>17</v>
      </c>
      <c r="H491" s="24">
        <v>0.15887850467289719</v>
      </c>
      <c r="I491" s="24">
        <v>1</v>
      </c>
      <c r="J491" s="24">
        <v>0.9</v>
      </c>
      <c r="K491" s="24">
        <v>0</v>
      </c>
      <c r="L491" s="23" t="s">
        <v>991</v>
      </c>
      <c r="M491" s="25">
        <v>1379</v>
      </c>
      <c r="N491" s="25">
        <v>19</v>
      </c>
    </row>
    <row r="492" spans="1:14">
      <c r="A492" s="23" t="s">
        <v>142</v>
      </c>
      <c r="B492" s="23" t="s">
        <v>143</v>
      </c>
      <c r="C492" s="23" t="s">
        <v>994</v>
      </c>
      <c r="D492" s="23" t="s">
        <v>755</v>
      </c>
      <c r="E492" s="23" t="s">
        <v>756</v>
      </c>
      <c r="F492" s="25">
        <v>89</v>
      </c>
      <c r="G492" s="25">
        <v>89</v>
      </c>
      <c r="H492" s="24">
        <v>1</v>
      </c>
      <c r="I492" s="24">
        <v>1</v>
      </c>
      <c r="J492" s="24">
        <v>0</v>
      </c>
      <c r="K492" s="24">
        <v>1</v>
      </c>
      <c r="L492" s="23" t="s">
        <v>995</v>
      </c>
      <c r="M492" s="25">
        <v>17226</v>
      </c>
      <c r="N492" s="25">
        <v>1</v>
      </c>
    </row>
    <row r="493" spans="1:14">
      <c r="A493" s="23" t="s">
        <v>142</v>
      </c>
      <c r="B493" s="23" t="s">
        <v>143</v>
      </c>
      <c r="C493" s="23" t="s">
        <v>994</v>
      </c>
      <c r="D493" s="23" t="s">
        <v>1776</v>
      </c>
      <c r="E493" s="23" t="s">
        <v>1777</v>
      </c>
      <c r="F493" s="25">
        <v>89</v>
      </c>
      <c r="G493" s="25">
        <v>88</v>
      </c>
      <c r="H493" s="24">
        <v>0.9887640449438202</v>
      </c>
      <c r="I493" s="24">
        <v>0.64601769911504425</v>
      </c>
      <c r="J493" s="24">
        <v>0</v>
      </c>
      <c r="K493" s="24">
        <v>1</v>
      </c>
      <c r="L493" s="23" t="s">
        <v>995</v>
      </c>
      <c r="M493" s="25">
        <v>584</v>
      </c>
      <c r="N493" s="25">
        <v>2</v>
      </c>
    </row>
    <row r="494" spans="1:14">
      <c r="A494" s="23" t="s">
        <v>142</v>
      </c>
      <c r="B494" s="23" t="s">
        <v>143</v>
      </c>
      <c r="C494" s="23" t="s">
        <v>994</v>
      </c>
      <c r="D494" s="23" t="s">
        <v>1778</v>
      </c>
      <c r="E494" s="23" t="s">
        <v>1779</v>
      </c>
      <c r="F494" s="25">
        <v>89</v>
      </c>
      <c r="G494" s="25">
        <v>86</v>
      </c>
      <c r="H494" s="24">
        <v>0.9662921348314607</v>
      </c>
      <c r="I494" s="24">
        <v>1</v>
      </c>
      <c r="J494" s="24">
        <v>0</v>
      </c>
      <c r="K494" s="24">
        <v>1</v>
      </c>
      <c r="L494" s="23" t="s">
        <v>995</v>
      </c>
      <c r="M494" s="25">
        <v>5999</v>
      </c>
      <c r="N494" s="25">
        <v>3</v>
      </c>
    </row>
    <row r="495" spans="1:14">
      <c r="A495" s="23" t="s">
        <v>142</v>
      </c>
      <c r="B495" s="23" t="s">
        <v>143</v>
      </c>
      <c r="C495" s="23" t="s">
        <v>994</v>
      </c>
      <c r="D495" s="23" t="s">
        <v>751</v>
      </c>
      <c r="E495" s="23" t="s">
        <v>752</v>
      </c>
      <c r="F495" s="25">
        <v>89</v>
      </c>
      <c r="G495" s="25">
        <v>86</v>
      </c>
      <c r="H495" s="24">
        <v>0.9662921348314607</v>
      </c>
      <c r="I495" s="24">
        <v>0.75159929222812027</v>
      </c>
      <c r="J495" s="24">
        <v>0</v>
      </c>
      <c r="K495" s="24">
        <v>1</v>
      </c>
      <c r="L495" s="23" t="s">
        <v>995</v>
      </c>
      <c r="M495" s="25">
        <v>5522</v>
      </c>
      <c r="N495" s="25">
        <v>4</v>
      </c>
    </row>
    <row r="496" spans="1:14">
      <c r="A496" s="23" t="s">
        <v>142</v>
      </c>
      <c r="B496" s="23" t="s">
        <v>143</v>
      </c>
      <c r="C496" s="23" t="s">
        <v>994</v>
      </c>
      <c r="D496" s="23" t="s">
        <v>1780</v>
      </c>
      <c r="E496" s="23" t="s">
        <v>1781</v>
      </c>
      <c r="F496" s="25">
        <v>89</v>
      </c>
      <c r="G496" s="25">
        <v>68</v>
      </c>
      <c r="H496" s="24">
        <v>0.7640449438202247</v>
      </c>
      <c r="I496" s="24">
        <v>1</v>
      </c>
      <c r="J496" s="24">
        <v>0</v>
      </c>
      <c r="K496" s="24">
        <v>1</v>
      </c>
      <c r="L496" s="23" t="s">
        <v>995</v>
      </c>
      <c r="M496" s="25">
        <v>5386</v>
      </c>
      <c r="N496" s="25">
        <v>5</v>
      </c>
    </row>
    <row r="497" spans="1:14">
      <c r="A497" s="23" t="s">
        <v>142</v>
      </c>
      <c r="B497" s="23" t="s">
        <v>143</v>
      </c>
      <c r="C497" s="23" t="s">
        <v>994</v>
      </c>
      <c r="D497" s="23" t="s">
        <v>1782</v>
      </c>
      <c r="E497" s="23" t="s">
        <v>1783</v>
      </c>
      <c r="F497" s="25">
        <v>89</v>
      </c>
      <c r="G497" s="25">
        <v>49</v>
      </c>
      <c r="H497" s="24">
        <v>0.550561797752809</v>
      </c>
      <c r="I497" s="24">
        <v>1</v>
      </c>
      <c r="J497" s="24">
        <v>0</v>
      </c>
      <c r="K497" s="24">
        <v>0.91836734693877553</v>
      </c>
      <c r="L497" s="23" t="s">
        <v>995</v>
      </c>
      <c r="M497" s="25">
        <v>2287</v>
      </c>
      <c r="N497" s="25">
        <v>6</v>
      </c>
    </row>
    <row r="498" spans="1:14">
      <c r="A498" s="23" t="s">
        <v>142</v>
      </c>
      <c r="B498" s="23" t="s">
        <v>143</v>
      </c>
      <c r="C498" s="23" t="s">
        <v>994</v>
      </c>
      <c r="D498" s="23" t="s">
        <v>1784</v>
      </c>
      <c r="E498" s="23" t="s">
        <v>1785</v>
      </c>
      <c r="F498" s="25">
        <v>89</v>
      </c>
      <c r="G498" s="25">
        <v>29</v>
      </c>
      <c r="H498" s="24">
        <v>0.3258426966292135</v>
      </c>
      <c r="I498" s="24">
        <v>1</v>
      </c>
      <c r="J498" s="24">
        <v>0</v>
      </c>
      <c r="K498" s="24">
        <v>0.89655172413793105</v>
      </c>
      <c r="L498" s="23" t="s">
        <v>995</v>
      </c>
      <c r="M498" s="25">
        <v>592</v>
      </c>
      <c r="N498" s="25">
        <v>7</v>
      </c>
    </row>
    <row r="499" spans="1:14">
      <c r="A499" s="23" t="s">
        <v>142</v>
      </c>
      <c r="B499" s="23" t="s">
        <v>146</v>
      </c>
      <c r="C499" s="23" t="s">
        <v>994</v>
      </c>
      <c r="D499" s="23" t="s">
        <v>759</v>
      </c>
      <c r="E499" s="23" t="s">
        <v>760</v>
      </c>
      <c r="F499" s="25">
        <v>74</v>
      </c>
      <c r="G499" s="25">
        <v>74</v>
      </c>
      <c r="H499" s="24">
        <v>1</v>
      </c>
      <c r="I499" s="24">
        <v>1</v>
      </c>
      <c r="J499" s="24">
        <v>0</v>
      </c>
      <c r="K499" s="24">
        <v>1</v>
      </c>
      <c r="L499" s="23" t="s">
        <v>995</v>
      </c>
      <c r="M499" s="25">
        <v>74487</v>
      </c>
      <c r="N499" s="25">
        <v>1</v>
      </c>
    </row>
    <row r="500" spans="1:14">
      <c r="A500" s="23" t="s">
        <v>142</v>
      </c>
      <c r="B500" s="23" t="s">
        <v>146</v>
      </c>
      <c r="C500" s="23" t="s">
        <v>994</v>
      </c>
      <c r="D500" s="23" t="s">
        <v>1786</v>
      </c>
      <c r="E500" s="23" t="s">
        <v>1787</v>
      </c>
      <c r="F500" s="25">
        <v>74</v>
      </c>
      <c r="G500" s="25">
        <v>74</v>
      </c>
      <c r="H500" s="24">
        <v>1</v>
      </c>
      <c r="I500" s="24">
        <v>1</v>
      </c>
      <c r="J500" s="24">
        <v>0</v>
      </c>
      <c r="K500" s="24">
        <v>1</v>
      </c>
      <c r="L500" s="23" t="s">
        <v>995</v>
      </c>
      <c r="M500" s="25">
        <v>3938</v>
      </c>
      <c r="N500" s="25">
        <v>2</v>
      </c>
    </row>
    <row r="501" spans="1:14">
      <c r="A501" s="23" t="s">
        <v>142</v>
      </c>
      <c r="B501" s="23" t="s">
        <v>146</v>
      </c>
      <c r="C501" s="23" t="s">
        <v>994</v>
      </c>
      <c r="D501" s="23" t="s">
        <v>1788</v>
      </c>
      <c r="E501" s="23" t="s">
        <v>1789</v>
      </c>
      <c r="F501" s="25">
        <v>74</v>
      </c>
      <c r="G501" s="25">
        <v>74</v>
      </c>
      <c r="H501" s="24">
        <v>1</v>
      </c>
      <c r="I501" s="24">
        <v>1</v>
      </c>
      <c r="J501" s="24">
        <v>0</v>
      </c>
      <c r="K501" s="24">
        <v>1</v>
      </c>
      <c r="L501" s="23" t="s">
        <v>995</v>
      </c>
      <c r="M501" s="25">
        <v>2837</v>
      </c>
      <c r="N501" s="25">
        <v>3</v>
      </c>
    </row>
    <row r="502" spans="1:14">
      <c r="A502" s="23" t="s">
        <v>142</v>
      </c>
      <c r="B502" s="23" t="s">
        <v>146</v>
      </c>
      <c r="C502" s="23" t="s">
        <v>994</v>
      </c>
      <c r="D502" s="23" t="s">
        <v>1790</v>
      </c>
      <c r="E502" s="23" t="s">
        <v>1791</v>
      </c>
      <c r="F502" s="25">
        <v>74</v>
      </c>
      <c r="G502" s="25">
        <v>74</v>
      </c>
      <c r="H502" s="24">
        <v>1</v>
      </c>
      <c r="I502" s="24">
        <v>1</v>
      </c>
      <c r="J502" s="24">
        <v>0</v>
      </c>
      <c r="K502" s="24">
        <v>1</v>
      </c>
      <c r="L502" s="23" t="s">
        <v>995</v>
      </c>
      <c r="M502" s="25">
        <v>1546</v>
      </c>
      <c r="N502" s="25">
        <v>4</v>
      </c>
    </row>
    <row r="503" spans="1:14">
      <c r="A503" s="23" t="s">
        <v>142</v>
      </c>
      <c r="B503" s="23" t="s">
        <v>146</v>
      </c>
      <c r="C503" s="23" t="s">
        <v>994</v>
      </c>
      <c r="D503" s="23" t="s">
        <v>1792</v>
      </c>
      <c r="E503" s="23" t="s">
        <v>1793</v>
      </c>
      <c r="F503" s="25">
        <v>74</v>
      </c>
      <c r="G503" s="25">
        <v>71</v>
      </c>
      <c r="H503" s="24">
        <v>0.95945945945945943</v>
      </c>
      <c r="I503" s="24">
        <v>1</v>
      </c>
      <c r="J503" s="24">
        <v>0</v>
      </c>
      <c r="K503" s="24">
        <v>0.971830985915493</v>
      </c>
      <c r="L503" s="23" t="s">
        <v>995</v>
      </c>
      <c r="M503" s="25">
        <v>1012</v>
      </c>
      <c r="N503" s="25">
        <v>5</v>
      </c>
    </row>
    <row r="504" spans="1:14">
      <c r="A504" s="23" t="s">
        <v>142</v>
      </c>
      <c r="B504" s="23" t="s">
        <v>146</v>
      </c>
      <c r="C504" s="23" t="s">
        <v>994</v>
      </c>
      <c r="D504" s="23" t="s">
        <v>1794</v>
      </c>
      <c r="E504" s="23" t="s">
        <v>1795</v>
      </c>
      <c r="F504" s="25">
        <v>74</v>
      </c>
      <c r="G504" s="25">
        <v>51</v>
      </c>
      <c r="H504" s="24">
        <v>0.68918918918918914</v>
      </c>
      <c r="I504" s="24">
        <v>1</v>
      </c>
      <c r="J504" s="24">
        <v>0</v>
      </c>
      <c r="K504" s="24">
        <v>1</v>
      </c>
      <c r="L504" s="23" t="s">
        <v>995</v>
      </c>
      <c r="M504" s="25">
        <v>1519</v>
      </c>
      <c r="N504" s="25">
        <v>6</v>
      </c>
    </row>
    <row r="505" spans="1:14">
      <c r="A505" s="23" t="s">
        <v>142</v>
      </c>
      <c r="B505" s="23" t="s">
        <v>146</v>
      </c>
      <c r="C505" s="23" t="s">
        <v>994</v>
      </c>
      <c r="D505" s="23" t="s">
        <v>1796</v>
      </c>
      <c r="E505" s="23" t="s">
        <v>1797</v>
      </c>
      <c r="F505" s="25">
        <v>74</v>
      </c>
      <c r="G505" s="25">
        <v>46</v>
      </c>
      <c r="H505" s="24">
        <v>0.6216216216216216</v>
      </c>
      <c r="I505" s="24">
        <v>1</v>
      </c>
      <c r="J505" s="24">
        <v>0</v>
      </c>
      <c r="K505" s="24">
        <v>1</v>
      </c>
      <c r="L505" s="23" t="s">
        <v>995</v>
      </c>
      <c r="M505" s="25">
        <v>694</v>
      </c>
      <c r="N505" s="25">
        <v>7</v>
      </c>
    </row>
    <row r="506" spans="1:14">
      <c r="A506" s="23" t="s">
        <v>162</v>
      </c>
      <c r="B506" s="23" t="s">
        <v>168</v>
      </c>
      <c r="C506" s="23" t="s">
        <v>994</v>
      </c>
      <c r="D506" s="23" t="s">
        <v>783</v>
      </c>
      <c r="E506" s="23" t="s">
        <v>784</v>
      </c>
      <c r="F506" s="25">
        <v>57</v>
      </c>
      <c r="G506" s="25">
        <v>57</v>
      </c>
      <c r="H506" s="24">
        <v>1</v>
      </c>
      <c r="I506" s="24">
        <v>0.99944972879490601</v>
      </c>
      <c r="J506" s="24">
        <v>0</v>
      </c>
      <c r="K506" s="24">
        <v>1</v>
      </c>
      <c r="L506" s="23" t="s">
        <v>995</v>
      </c>
      <c r="M506" s="25">
        <v>12714</v>
      </c>
      <c r="N506" s="25">
        <v>1</v>
      </c>
    </row>
    <row r="507" spans="1:14">
      <c r="A507" s="23" t="s">
        <v>162</v>
      </c>
      <c r="B507" s="23" t="s">
        <v>168</v>
      </c>
      <c r="C507" s="23" t="s">
        <v>994</v>
      </c>
      <c r="D507" s="23" t="s">
        <v>1798</v>
      </c>
      <c r="E507" s="23" t="s">
        <v>1799</v>
      </c>
      <c r="F507" s="25">
        <v>57</v>
      </c>
      <c r="G507" s="25">
        <v>52</v>
      </c>
      <c r="H507" s="24">
        <v>0.91228070175438591</v>
      </c>
      <c r="I507" s="24">
        <v>0.94704264099037139</v>
      </c>
      <c r="J507" s="24">
        <v>0</v>
      </c>
      <c r="K507" s="24">
        <v>1</v>
      </c>
      <c r="L507" s="23" t="s">
        <v>995</v>
      </c>
      <c r="M507" s="25">
        <v>1377</v>
      </c>
      <c r="N507" s="25">
        <v>2</v>
      </c>
    </row>
    <row r="508" spans="1:14">
      <c r="A508" s="23" t="s">
        <v>162</v>
      </c>
      <c r="B508" s="23" t="s">
        <v>168</v>
      </c>
      <c r="C508" s="23" t="s">
        <v>994</v>
      </c>
      <c r="D508" s="23" t="s">
        <v>1800</v>
      </c>
      <c r="E508" s="23" t="s">
        <v>1801</v>
      </c>
      <c r="F508" s="25">
        <v>57</v>
      </c>
      <c r="G508" s="25">
        <v>49</v>
      </c>
      <c r="H508" s="24">
        <v>0.85964912280701755</v>
      </c>
      <c r="I508" s="24">
        <v>1</v>
      </c>
      <c r="J508" s="24">
        <v>0</v>
      </c>
      <c r="K508" s="24">
        <v>0.97959183673469385</v>
      </c>
      <c r="L508" s="23" t="s">
        <v>995</v>
      </c>
      <c r="M508" s="25">
        <v>948</v>
      </c>
      <c r="N508" s="25">
        <v>3</v>
      </c>
    </row>
    <row r="509" spans="1:14">
      <c r="A509" s="23" t="s">
        <v>162</v>
      </c>
      <c r="B509" s="23" t="s">
        <v>168</v>
      </c>
      <c r="C509" s="23" t="s">
        <v>994</v>
      </c>
      <c r="D509" s="23" t="s">
        <v>1802</v>
      </c>
      <c r="E509" s="23" t="s">
        <v>1803</v>
      </c>
      <c r="F509" s="25">
        <v>57</v>
      </c>
      <c r="G509" s="25">
        <v>45</v>
      </c>
      <c r="H509" s="24">
        <v>0.78947368421052633</v>
      </c>
      <c r="I509" s="24">
        <v>0.98568019093078763</v>
      </c>
      <c r="J509" s="24">
        <v>0</v>
      </c>
      <c r="K509" s="24">
        <v>0.68888888888888888</v>
      </c>
      <c r="L509" s="23" t="s">
        <v>1010</v>
      </c>
      <c r="M509" s="25">
        <v>413</v>
      </c>
      <c r="N509" s="25">
        <v>4</v>
      </c>
    </row>
    <row r="510" spans="1:14">
      <c r="A510" s="23" t="s">
        <v>162</v>
      </c>
      <c r="B510" s="23" t="s">
        <v>168</v>
      </c>
      <c r="C510" s="23" t="s">
        <v>994</v>
      </c>
      <c r="D510" s="23" t="s">
        <v>1804</v>
      </c>
      <c r="E510" s="23" t="s">
        <v>1805</v>
      </c>
      <c r="F510" s="25">
        <v>57</v>
      </c>
      <c r="G510" s="25">
        <v>35</v>
      </c>
      <c r="H510" s="24">
        <v>0.61403508771929827</v>
      </c>
      <c r="I510" s="24">
        <v>1</v>
      </c>
      <c r="J510" s="24">
        <v>0</v>
      </c>
      <c r="K510" s="24">
        <v>1</v>
      </c>
      <c r="L510" s="23" t="s">
        <v>995</v>
      </c>
      <c r="M510" s="25">
        <v>5185</v>
      </c>
      <c r="N510" s="25">
        <v>5</v>
      </c>
    </row>
    <row r="511" spans="1:14">
      <c r="A511" s="23" t="s">
        <v>162</v>
      </c>
      <c r="B511" s="23" t="s">
        <v>168</v>
      </c>
      <c r="C511" s="23" t="s">
        <v>994</v>
      </c>
      <c r="D511" s="23" t="s">
        <v>1806</v>
      </c>
      <c r="E511" s="23" t="s">
        <v>1807</v>
      </c>
      <c r="F511" s="25">
        <v>57</v>
      </c>
      <c r="G511" s="25">
        <v>26</v>
      </c>
      <c r="H511" s="24">
        <v>0.45614035087719296</v>
      </c>
      <c r="I511" s="24">
        <v>1</v>
      </c>
      <c r="J511" s="24">
        <v>0</v>
      </c>
      <c r="K511" s="24">
        <v>0.96153846153846156</v>
      </c>
      <c r="L511" s="23" t="s">
        <v>995</v>
      </c>
      <c r="M511" s="25">
        <v>850</v>
      </c>
      <c r="N511" s="25">
        <v>6</v>
      </c>
    </row>
    <row r="512" spans="1:14">
      <c r="A512" s="23" t="s">
        <v>162</v>
      </c>
      <c r="B512" s="23" t="s">
        <v>168</v>
      </c>
      <c r="C512" s="23" t="s">
        <v>994</v>
      </c>
      <c r="D512" s="23" t="s">
        <v>1808</v>
      </c>
      <c r="E512" s="23" t="s">
        <v>1809</v>
      </c>
      <c r="F512" s="25">
        <v>57</v>
      </c>
      <c r="G512" s="25">
        <v>22</v>
      </c>
      <c r="H512" s="24">
        <v>0.38596491228070173</v>
      </c>
      <c r="I512" s="24">
        <v>1</v>
      </c>
      <c r="J512" s="24">
        <v>0</v>
      </c>
      <c r="K512" s="24">
        <v>0.95454545454545459</v>
      </c>
      <c r="L512" s="23" t="s">
        <v>995</v>
      </c>
      <c r="M512" s="25">
        <v>108</v>
      </c>
      <c r="N512" s="25">
        <v>7</v>
      </c>
    </row>
    <row r="513" spans="1:14">
      <c r="A513" s="23" t="s">
        <v>162</v>
      </c>
      <c r="B513" s="23" t="s">
        <v>168</v>
      </c>
      <c r="C513" s="23" t="s">
        <v>994</v>
      </c>
      <c r="D513" s="23" t="s">
        <v>1810</v>
      </c>
      <c r="E513" s="23" t="s">
        <v>1811</v>
      </c>
      <c r="F513" s="25">
        <v>57</v>
      </c>
      <c r="G513" s="25">
        <v>18</v>
      </c>
      <c r="H513" s="24">
        <v>0.31578947368421051</v>
      </c>
      <c r="I513" s="24">
        <v>1</v>
      </c>
      <c r="J513" s="24">
        <v>0</v>
      </c>
      <c r="K513" s="24">
        <v>1</v>
      </c>
      <c r="L513" s="23" t="s">
        <v>995</v>
      </c>
      <c r="M513" s="25">
        <v>312</v>
      </c>
      <c r="N513" s="25">
        <v>8</v>
      </c>
    </row>
    <row r="514" spans="1:14">
      <c r="A514" s="23" t="s">
        <v>162</v>
      </c>
      <c r="B514" s="23" t="s">
        <v>171</v>
      </c>
      <c r="C514" s="23" t="s">
        <v>994</v>
      </c>
      <c r="D514" s="23" t="s">
        <v>785</v>
      </c>
      <c r="E514" s="23" t="s">
        <v>786</v>
      </c>
      <c r="F514" s="25">
        <v>28</v>
      </c>
      <c r="G514" s="25">
        <v>23</v>
      </c>
      <c r="H514" s="24">
        <v>0.8214285714285714</v>
      </c>
      <c r="I514" s="24">
        <v>1</v>
      </c>
      <c r="J514" s="24">
        <v>0</v>
      </c>
      <c r="K514" s="24">
        <v>1</v>
      </c>
      <c r="L514" s="23" t="s">
        <v>995</v>
      </c>
      <c r="M514" s="25">
        <v>3265</v>
      </c>
      <c r="N514" s="25">
        <v>1</v>
      </c>
    </row>
    <row r="515" spans="1:14">
      <c r="A515" s="23" t="s">
        <v>162</v>
      </c>
      <c r="B515" s="23" t="s">
        <v>171</v>
      </c>
      <c r="C515" s="23" t="s">
        <v>994</v>
      </c>
      <c r="D515" s="23" t="s">
        <v>1812</v>
      </c>
      <c r="E515" s="23" t="s">
        <v>1813</v>
      </c>
      <c r="F515" s="25">
        <v>28</v>
      </c>
      <c r="G515" s="25">
        <v>23</v>
      </c>
      <c r="H515" s="24">
        <v>0.8214285714285714</v>
      </c>
      <c r="I515" s="24">
        <v>1</v>
      </c>
      <c r="J515" s="24">
        <v>0</v>
      </c>
      <c r="K515" s="24">
        <v>1</v>
      </c>
      <c r="L515" s="23" t="s">
        <v>995</v>
      </c>
      <c r="M515" s="25">
        <v>2648</v>
      </c>
      <c r="N515" s="25">
        <v>2</v>
      </c>
    </row>
    <row r="516" spans="1:14">
      <c r="A516" s="23" t="s">
        <v>162</v>
      </c>
      <c r="B516" s="23" t="s">
        <v>171</v>
      </c>
      <c r="C516" s="23" t="s">
        <v>994</v>
      </c>
      <c r="D516" s="23" t="s">
        <v>1814</v>
      </c>
      <c r="E516" s="23" t="s">
        <v>1815</v>
      </c>
      <c r="F516" s="25">
        <v>28</v>
      </c>
      <c r="G516" s="25">
        <v>20</v>
      </c>
      <c r="H516" s="24">
        <v>0.7142857142857143</v>
      </c>
      <c r="I516" s="24">
        <v>1</v>
      </c>
      <c r="J516" s="24">
        <v>0</v>
      </c>
      <c r="K516" s="24">
        <v>0.9</v>
      </c>
      <c r="L516" s="23" t="s">
        <v>995</v>
      </c>
      <c r="M516" s="25">
        <v>216</v>
      </c>
      <c r="N516" s="25">
        <v>3</v>
      </c>
    </row>
    <row r="517" spans="1:14">
      <c r="A517" s="23" t="s">
        <v>162</v>
      </c>
      <c r="B517" s="23" t="s">
        <v>171</v>
      </c>
      <c r="C517" s="23" t="s">
        <v>994</v>
      </c>
      <c r="D517" s="23" t="s">
        <v>1816</v>
      </c>
      <c r="E517" s="23" t="s">
        <v>1817</v>
      </c>
      <c r="F517" s="25">
        <v>28</v>
      </c>
      <c r="G517" s="25">
        <v>19</v>
      </c>
      <c r="H517" s="24">
        <v>0.6785714285714286</v>
      </c>
      <c r="I517" s="24">
        <v>1</v>
      </c>
      <c r="J517" s="24">
        <v>0</v>
      </c>
      <c r="K517" s="24">
        <v>1</v>
      </c>
      <c r="L517" s="23" t="s">
        <v>995</v>
      </c>
      <c r="M517" s="25">
        <v>659</v>
      </c>
      <c r="N517" s="25">
        <v>4</v>
      </c>
    </row>
    <row r="518" spans="1:14">
      <c r="A518" s="23" t="s">
        <v>162</v>
      </c>
      <c r="B518" s="23" t="s">
        <v>171</v>
      </c>
      <c r="C518" s="23" t="s">
        <v>994</v>
      </c>
      <c r="D518" s="23" t="s">
        <v>1818</v>
      </c>
      <c r="E518" s="23" t="s">
        <v>1819</v>
      </c>
      <c r="F518" s="25">
        <v>28</v>
      </c>
      <c r="G518" s="25">
        <v>4</v>
      </c>
      <c r="H518" s="24">
        <v>0.14285714285714285</v>
      </c>
      <c r="I518" s="24">
        <v>0.6074074074074074</v>
      </c>
      <c r="J518" s="24">
        <v>0</v>
      </c>
      <c r="K518" s="24">
        <v>1</v>
      </c>
      <c r="L518" s="23" t="s">
        <v>995</v>
      </c>
      <c r="M518" s="25">
        <v>82</v>
      </c>
      <c r="N518" s="25">
        <v>5</v>
      </c>
    </row>
    <row r="519" spans="1:14">
      <c r="A519" s="23" t="s">
        <v>162</v>
      </c>
      <c r="B519" s="23" t="s">
        <v>166</v>
      </c>
      <c r="C519" s="23" t="s">
        <v>994</v>
      </c>
      <c r="D519" s="23" t="s">
        <v>781</v>
      </c>
      <c r="E519" s="23" t="s">
        <v>782</v>
      </c>
      <c r="F519" s="25">
        <v>20</v>
      </c>
      <c r="G519" s="25">
        <v>20</v>
      </c>
      <c r="H519" s="24">
        <v>1</v>
      </c>
      <c r="I519" s="24">
        <v>1</v>
      </c>
      <c r="J519" s="24">
        <v>0</v>
      </c>
      <c r="K519" s="24">
        <v>1</v>
      </c>
      <c r="L519" s="23" t="s">
        <v>995</v>
      </c>
      <c r="M519" s="25">
        <v>1370</v>
      </c>
      <c r="N519" s="25">
        <v>1</v>
      </c>
    </row>
    <row r="520" spans="1:14">
      <c r="A520" s="23" t="s">
        <v>162</v>
      </c>
      <c r="B520" s="23" t="s">
        <v>166</v>
      </c>
      <c r="C520" s="23" t="s">
        <v>994</v>
      </c>
      <c r="D520" s="23" t="s">
        <v>1820</v>
      </c>
      <c r="E520" s="23" t="s">
        <v>1821</v>
      </c>
      <c r="F520" s="25">
        <v>20</v>
      </c>
      <c r="G520" s="25">
        <v>10</v>
      </c>
      <c r="H520" s="24">
        <v>0.5</v>
      </c>
      <c r="I520" s="24">
        <v>1</v>
      </c>
      <c r="J520" s="24">
        <v>0</v>
      </c>
      <c r="K520" s="24">
        <v>0.9</v>
      </c>
      <c r="L520" s="23" t="s">
        <v>995</v>
      </c>
      <c r="M520" s="25">
        <v>122</v>
      </c>
      <c r="N520" s="25">
        <v>2</v>
      </c>
    </row>
    <row r="521" spans="1:14">
      <c r="A521" s="23" t="s">
        <v>162</v>
      </c>
      <c r="B521" s="23" t="s">
        <v>166</v>
      </c>
      <c r="C521" s="23" t="s">
        <v>994</v>
      </c>
      <c r="D521" s="23" t="s">
        <v>1822</v>
      </c>
      <c r="E521" s="23" t="s">
        <v>1823</v>
      </c>
      <c r="F521" s="25">
        <v>20</v>
      </c>
      <c r="G521" s="25">
        <v>2</v>
      </c>
      <c r="H521" s="24">
        <v>0.1</v>
      </c>
      <c r="I521" s="24">
        <v>1</v>
      </c>
      <c r="J521" s="24">
        <v>0</v>
      </c>
      <c r="K521" s="24">
        <v>1</v>
      </c>
      <c r="L521" s="23" t="s">
        <v>995</v>
      </c>
      <c r="M521" s="25">
        <v>886</v>
      </c>
      <c r="N521" s="25">
        <v>3</v>
      </c>
    </row>
    <row r="522" spans="1:14">
      <c r="A522" s="23" t="s">
        <v>162</v>
      </c>
      <c r="B522" s="23" t="s">
        <v>166</v>
      </c>
      <c r="C522" s="23" t="s">
        <v>994</v>
      </c>
      <c r="D522" s="23" t="s">
        <v>1824</v>
      </c>
      <c r="E522" s="23" t="s">
        <v>1825</v>
      </c>
      <c r="F522" s="25">
        <v>20</v>
      </c>
      <c r="G522" s="25">
        <v>2</v>
      </c>
      <c r="H522" s="24">
        <v>0.1</v>
      </c>
      <c r="I522" s="24">
        <v>1</v>
      </c>
      <c r="J522" s="24">
        <v>0</v>
      </c>
      <c r="K522" s="24">
        <v>1</v>
      </c>
      <c r="L522" s="23" t="s">
        <v>995</v>
      </c>
      <c r="M522" s="25">
        <v>8</v>
      </c>
      <c r="N522" s="25">
        <v>4</v>
      </c>
    </row>
    <row r="523" spans="1:14">
      <c r="A523" s="23" t="s">
        <v>162</v>
      </c>
      <c r="B523" s="23" t="s">
        <v>163</v>
      </c>
      <c r="C523" s="23" t="s">
        <v>994</v>
      </c>
      <c r="D523" s="23" t="s">
        <v>777</v>
      </c>
      <c r="E523" s="23" t="s">
        <v>778</v>
      </c>
      <c r="F523" s="25">
        <v>118</v>
      </c>
      <c r="G523" s="25">
        <v>117</v>
      </c>
      <c r="H523" s="24">
        <v>0.99152542372881358</v>
      </c>
      <c r="I523" s="24">
        <v>1</v>
      </c>
      <c r="J523" s="24">
        <v>0</v>
      </c>
      <c r="K523" s="24">
        <v>1</v>
      </c>
      <c r="L523" s="23" t="s">
        <v>995</v>
      </c>
      <c r="M523" s="25">
        <v>6283</v>
      </c>
      <c r="N523" s="25">
        <v>1</v>
      </c>
    </row>
    <row r="524" spans="1:14">
      <c r="A524" s="23" t="s">
        <v>162</v>
      </c>
      <c r="B524" s="23" t="s">
        <v>163</v>
      </c>
      <c r="C524" s="23" t="s">
        <v>994</v>
      </c>
      <c r="D524" s="23" t="s">
        <v>1826</v>
      </c>
      <c r="E524" s="23" t="s">
        <v>1827</v>
      </c>
      <c r="F524" s="25">
        <v>118</v>
      </c>
      <c r="G524" s="25">
        <v>100</v>
      </c>
      <c r="H524" s="24">
        <v>0.84745762711864403</v>
      </c>
      <c r="I524" s="24">
        <v>0.66430394102636803</v>
      </c>
      <c r="J524" s="24">
        <v>0</v>
      </c>
      <c r="K524" s="24">
        <v>0.98</v>
      </c>
      <c r="L524" s="23" t="s">
        <v>995</v>
      </c>
      <c r="M524" s="25">
        <v>2343</v>
      </c>
      <c r="N524" s="25">
        <v>2</v>
      </c>
    </row>
    <row r="525" spans="1:14">
      <c r="A525" s="23" t="s">
        <v>162</v>
      </c>
      <c r="B525" s="23" t="s">
        <v>163</v>
      </c>
      <c r="C525" s="23" t="s">
        <v>994</v>
      </c>
      <c r="D525" s="23" t="s">
        <v>1828</v>
      </c>
      <c r="E525" s="23" t="s">
        <v>1829</v>
      </c>
      <c r="F525" s="25">
        <v>118</v>
      </c>
      <c r="G525" s="25">
        <v>100</v>
      </c>
      <c r="H525" s="24">
        <v>0.84745762711864403</v>
      </c>
      <c r="I525" s="24">
        <v>1</v>
      </c>
      <c r="J525" s="24">
        <v>0</v>
      </c>
      <c r="K525" s="24">
        <v>0.88</v>
      </c>
      <c r="L525" s="23" t="s">
        <v>995</v>
      </c>
      <c r="M525" s="25">
        <v>436</v>
      </c>
      <c r="N525" s="25">
        <v>3</v>
      </c>
    </row>
    <row r="526" spans="1:14">
      <c r="A526" s="23" t="s">
        <v>162</v>
      </c>
      <c r="B526" s="23" t="s">
        <v>163</v>
      </c>
      <c r="C526" s="23" t="s">
        <v>994</v>
      </c>
      <c r="D526" s="23" t="s">
        <v>1830</v>
      </c>
      <c r="E526" s="23" t="s">
        <v>1831</v>
      </c>
      <c r="F526" s="25">
        <v>118</v>
      </c>
      <c r="G526" s="25">
        <v>79</v>
      </c>
      <c r="H526" s="24">
        <v>0.66949152542372881</v>
      </c>
      <c r="I526" s="24">
        <v>1</v>
      </c>
      <c r="J526" s="24">
        <v>0</v>
      </c>
      <c r="K526" s="24">
        <v>1</v>
      </c>
      <c r="L526" s="23" t="s">
        <v>995</v>
      </c>
      <c r="M526" s="25">
        <v>1957</v>
      </c>
      <c r="N526" s="25">
        <v>4</v>
      </c>
    </row>
    <row r="527" spans="1:14">
      <c r="A527" s="23" t="s">
        <v>162</v>
      </c>
      <c r="B527" s="23" t="s">
        <v>163</v>
      </c>
      <c r="C527" s="23" t="s">
        <v>994</v>
      </c>
      <c r="D527" s="23" t="s">
        <v>1832</v>
      </c>
      <c r="E527" s="23" t="s">
        <v>1833</v>
      </c>
      <c r="F527" s="25">
        <v>118</v>
      </c>
      <c r="G527" s="25">
        <v>72</v>
      </c>
      <c r="H527" s="24">
        <v>0.61016949152542377</v>
      </c>
      <c r="I527" s="24">
        <v>0.96327683615819204</v>
      </c>
      <c r="J527" s="24">
        <v>0</v>
      </c>
      <c r="K527" s="24">
        <v>0.98611111111111116</v>
      </c>
      <c r="L527" s="23" t="s">
        <v>995</v>
      </c>
      <c r="M527" s="25">
        <v>341</v>
      </c>
      <c r="N527" s="25">
        <v>5</v>
      </c>
    </row>
    <row r="528" spans="1:14">
      <c r="A528" s="23" t="s">
        <v>162</v>
      </c>
      <c r="B528" s="23" t="s">
        <v>163</v>
      </c>
      <c r="C528" s="23" t="s">
        <v>994</v>
      </c>
      <c r="D528" s="23" t="s">
        <v>1834</v>
      </c>
      <c r="E528" s="23" t="s">
        <v>1835</v>
      </c>
      <c r="F528" s="25">
        <v>118</v>
      </c>
      <c r="G528" s="25">
        <v>65</v>
      </c>
      <c r="H528" s="24">
        <v>0.55084745762711862</v>
      </c>
      <c r="I528" s="24">
        <v>0.57894736842105265</v>
      </c>
      <c r="J528" s="24">
        <v>0</v>
      </c>
      <c r="K528" s="24">
        <v>1</v>
      </c>
      <c r="L528" s="23" t="s">
        <v>995</v>
      </c>
      <c r="M528" s="25">
        <v>154</v>
      </c>
      <c r="N528" s="25">
        <v>6</v>
      </c>
    </row>
    <row r="529" spans="1:14">
      <c r="A529" s="23" t="s">
        <v>162</v>
      </c>
      <c r="B529" s="23" t="s">
        <v>163</v>
      </c>
      <c r="C529" s="23" t="s">
        <v>994</v>
      </c>
      <c r="D529" s="23" t="s">
        <v>1836</v>
      </c>
      <c r="E529" s="23" t="s">
        <v>1837</v>
      </c>
      <c r="F529" s="25">
        <v>118</v>
      </c>
      <c r="G529" s="25">
        <v>53</v>
      </c>
      <c r="H529" s="24">
        <v>0.44915254237288138</v>
      </c>
      <c r="I529" s="24">
        <v>0.60552763819095479</v>
      </c>
      <c r="J529" s="24">
        <v>0</v>
      </c>
      <c r="K529" s="24">
        <v>0.98113207547169812</v>
      </c>
      <c r="L529" s="23" t="s">
        <v>995</v>
      </c>
      <c r="M529" s="25">
        <v>482</v>
      </c>
      <c r="N529" s="25">
        <v>7</v>
      </c>
    </row>
    <row r="530" spans="1:14">
      <c r="A530" s="23" t="s">
        <v>162</v>
      </c>
      <c r="B530" s="23" t="s">
        <v>163</v>
      </c>
      <c r="C530" s="23" t="s">
        <v>994</v>
      </c>
      <c r="D530" s="23" t="s">
        <v>1838</v>
      </c>
      <c r="E530" s="23" t="s">
        <v>1839</v>
      </c>
      <c r="F530" s="25">
        <v>118</v>
      </c>
      <c r="G530" s="25">
        <v>44</v>
      </c>
      <c r="H530" s="24">
        <v>0.3728813559322034</v>
      </c>
      <c r="I530" s="24">
        <v>0.58959537572254339</v>
      </c>
      <c r="J530" s="24">
        <v>0</v>
      </c>
      <c r="K530" s="24">
        <v>0.93181818181818177</v>
      </c>
      <c r="L530" s="23" t="s">
        <v>995</v>
      </c>
      <c r="M530" s="25">
        <v>204</v>
      </c>
      <c r="N530" s="25">
        <v>8</v>
      </c>
    </row>
    <row r="531" spans="1:14">
      <c r="A531" s="23" t="s">
        <v>162</v>
      </c>
      <c r="B531" s="23" t="s">
        <v>163</v>
      </c>
      <c r="C531" s="23" t="s">
        <v>990</v>
      </c>
      <c r="D531" s="23" t="s">
        <v>1840</v>
      </c>
      <c r="E531" s="23" t="s">
        <v>1841</v>
      </c>
      <c r="F531" s="25">
        <v>118</v>
      </c>
      <c r="G531" s="25">
        <v>30</v>
      </c>
      <c r="H531" s="24">
        <v>0.25423728813559321</v>
      </c>
      <c r="I531" s="24">
        <v>0.5074626865671642</v>
      </c>
      <c r="J531" s="24">
        <v>0.20833333333333334</v>
      </c>
      <c r="K531" s="24">
        <v>0</v>
      </c>
      <c r="L531" s="23" t="s">
        <v>1010</v>
      </c>
      <c r="M531" s="25">
        <v>170</v>
      </c>
      <c r="N531" s="25">
        <v>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4"/>
  <sheetViews>
    <sheetView workbookViewId="0"/>
  </sheetViews>
  <sheetFormatPr defaultRowHeight="14.25"/>
  <cols>
    <col min="1" max="1" width="17" customWidth="1"/>
    <col min="2" max="2" width="22" customWidth="1"/>
    <col min="3" max="3" width="9" customWidth="1"/>
    <col min="4" max="4" width="28" customWidth="1"/>
    <col min="5" max="6" width="11" customWidth="1"/>
    <col min="7" max="7" width="28" customWidth="1"/>
    <col min="8" max="9" width="11" customWidth="1"/>
    <col min="10" max="12" width="12" customWidth="1"/>
    <col min="13" max="13" width="24" customWidth="1"/>
    <col min="14" max="14" width="14" customWidth="1"/>
    <col min="15" max="15" width="50" customWidth="1"/>
  </cols>
  <sheetData>
    <row r="1" spans="1:15" ht="32.1" customHeight="1">
      <c r="A1" s="22" t="s">
        <v>23</v>
      </c>
      <c r="B1" s="22" t="s">
        <v>24</v>
      </c>
      <c r="C1" s="22" t="s">
        <v>603</v>
      </c>
      <c r="D1" s="22" t="s">
        <v>1842</v>
      </c>
      <c r="E1" s="22" t="s">
        <v>1843</v>
      </c>
      <c r="F1" s="22" t="s">
        <v>1844</v>
      </c>
      <c r="G1" s="22" t="s">
        <v>1845</v>
      </c>
      <c r="H1" s="22" t="s">
        <v>1846</v>
      </c>
      <c r="I1" s="22" t="s">
        <v>1847</v>
      </c>
      <c r="J1" s="22" t="s">
        <v>1848</v>
      </c>
      <c r="K1" s="22" t="s">
        <v>1849</v>
      </c>
      <c r="L1" s="22" t="s">
        <v>986</v>
      </c>
      <c r="M1" s="22" t="s">
        <v>1850</v>
      </c>
      <c r="N1" s="22" t="s">
        <v>1851</v>
      </c>
      <c r="O1" s="22" t="s">
        <v>1852</v>
      </c>
    </row>
    <row r="2" spans="1:15">
      <c r="A2" s="23" t="s">
        <v>130</v>
      </c>
      <c r="B2" s="23" t="s">
        <v>131</v>
      </c>
      <c r="C2" s="23" t="s">
        <v>994</v>
      </c>
      <c r="D2" s="23" t="s">
        <v>1004</v>
      </c>
      <c r="E2" s="23" t="s">
        <v>1005</v>
      </c>
      <c r="F2" s="24">
        <v>0.34883720930232559</v>
      </c>
      <c r="G2" s="23" t="s">
        <v>1006</v>
      </c>
      <c r="H2" s="23" t="s">
        <v>1007</v>
      </c>
      <c r="I2" s="24">
        <v>0.27906976744186046</v>
      </c>
      <c r="J2" s="25">
        <v>1</v>
      </c>
      <c r="K2" s="24">
        <v>8.3333333333333329E-2</v>
      </c>
      <c r="L2" s="25">
        <v>43</v>
      </c>
      <c r="M2" s="23" t="s">
        <v>1853</v>
      </c>
      <c r="N2" s="23" t="s">
        <v>733</v>
      </c>
      <c r="O2" s="23" t="s">
        <v>1854</v>
      </c>
    </row>
    <row r="3" spans="1:15">
      <c r="A3" s="23" t="s">
        <v>256</v>
      </c>
      <c r="B3" s="23" t="s">
        <v>260</v>
      </c>
      <c r="C3" s="23" t="s">
        <v>990</v>
      </c>
      <c r="D3" s="23" t="s">
        <v>1063</v>
      </c>
      <c r="E3" s="23" t="s">
        <v>1064</v>
      </c>
      <c r="F3" s="24">
        <v>0.4107142857142857</v>
      </c>
      <c r="G3" s="23" t="s">
        <v>1065</v>
      </c>
      <c r="H3" s="23" t="s">
        <v>1066</v>
      </c>
      <c r="I3" s="24">
        <v>0.33035714285714285</v>
      </c>
      <c r="J3" s="25">
        <v>6</v>
      </c>
      <c r="K3" s="24">
        <v>0.16216216216216217</v>
      </c>
      <c r="L3" s="25">
        <v>112</v>
      </c>
      <c r="M3" s="23" t="s">
        <v>1853</v>
      </c>
      <c r="N3" s="23" t="s">
        <v>733</v>
      </c>
      <c r="O3" s="23" t="s">
        <v>1854</v>
      </c>
    </row>
    <row r="4" spans="1:15">
      <c r="A4" s="23" t="s">
        <v>256</v>
      </c>
      <c r="B4" s="23" t="s">
        <v>260</v>
      </c>
      <c r="C4" s="23" t="s">
        <v>990</v>
      </c>
      <c r="D4" s="23" t="s">
        <v>1063</v>
      </c>
      <c r="E4" s="23" t="s">
        <v>1064</v>
      </c>
      <c r="F4" s="24">
        <v>0.4107142857142857</v>
      </c>
      <c r="G4" s="23" t="s">
        <v>1067</v>
      </c>
      <c r="H4" s="23" t="s">
        <v>1068</v>
      </c>
      <c r="I4" s="24">
        <v>0.29464285714285715</v>
      </c>
      <c r="J4" s="25">
        <v>6</v>
      </c>
      <c r="K4" s="24">
        <v>0.18181818181818182</v>
      </c>
      <c r="L4" s="25">
        <v>112</v>
      </c>
      <c r="M4" s="23" t="s">
        <v>1853</v>
      </c>
      <c r="N4" s="23" t="s">
        <v>733</v>
      </c>
      <c r="O4" s="23" t="s">
        <v>1854</v>
      </c>
    </row>
    <row r="5" spans="1:15">
      <c r="A5" s="23" t="s">
        <v>303</v>
      </c>
      <c r="B5" s="23" t="s">
        <v>306</v>
      </c>
      <c r="C5" s="23" t="s">
        <v>994</v>
      </c>
      <c r="D5" s="23" t="s">
        <v>1103</v>
      </c>
      <c r="E5" s="23" t="s">
        <v>1104</v>
      </c>
      <c r="F5" s="24">
        <v>0.57894736842105265</v>
      </c>
      <c r="G5" s="23" t="s">
        <v>1107</v>
      </c>
      <c r="H5" s="23" t="s">
        <v>1108</v>
      </c>
      <c r="I5" s="24">
        <v>0.13157894736842105</v>
      </c>
      <c r="J5" s="25">
        <v>0</v>
      </c>
      <c r="K5" s="24">
        <v>0</v>
      </c>
      <c r="L5" s="25">
        <v>38</v>
      </c>
      <c r="M5" s="23" t="s">
        <v>1853</v>
      </c>
      <c r="N5" s="23" t="s">
        <v>733</v>
      </c>
      <c r="O5" s="23" t="s">
        <v>1854</v>
      </c>
    </row>
    <row r="6" spans="1:15">
      <c r="A6" s="23" t="s">
        <v>303</v>
      </c>
      <c r="B6" s="23" t="s">
        <v>304</v>
      </c>
      <c r="C6" s="23" t="s">
        <v>990</v>
      </c>
      <c r="D6" s="23" t="s">
        <v>1117</v>
      </c>
      <c r="E6" s="23" t="s">
        <v>1118</v>
      </c>
      <c r="F6" s="24">
        <v>0.4107142857142857</v>
      </c>
      <c r="G6" s="23" t="s">
        <v>1121</v>
      </c>
      <c r="H6" s="23" t="s">
        <v>1122</v>
      </c>
      <c r="I6" s="24">
        <v>0.19642857142857142</v>
      </c>
      <c r="J6" s="25">
        <v>1</v>
      </c>
      <c r="K6" s="24">
        <v>9.0909090909090912E-2</v>
      </c>
      <c r="L6" s="25">
        <v>56</v>
      </c>
      <c r="M6" s="23" t="s">
        <v>1853</v>
      </c>
      <c r="N6" s="23" t="s">
        <v>733</v>
      </c>
      <c r="O6" s="23" t="s">
        <v>1854</v>
      </c>
    </row>
    <row r="7" spans="1:15">
      <c r="A7" s="23" t="s">
        <v>303</v>
      </c>
      <c r="B7" s="23" t="s">
        <v>304</v>
      </c>
      <c r="C7" s="23" t="s">
        <v>990</v>
      </c>
      <c r="D7" s="23" t="s">
        <v>1119</v>
      </c>
      <c r="E7" s="23" t="s">
        <v>1120</v>
      </c>
      <c r="F7" s="24">
        <v>0.3392857142857143</v>
      </c>
      <c r="G7" s="23" t="s">
        <v>1123</v>
      </c>
      <c r="H7" s="23" t="s">
        <v>1124</v>
      </c>
      <c r="I7" s="24">
        <v>0.17857142857142858</v>
      </c>
      <c r="J7" s="25">
        <v>1</v>
      </c>
      <c r="K7" s="24">
        <v>0.1</v>
      </c>
      <c r="L7" s="25">
        <v>56</v>
      </c>
      <c r="M7" s="23" t="s">
        <v>1853</v>
      </c>
      <c r="N7" s="23" t="s">
        <v>733</v>
      </c>
      <c r="O7" s="23" t="s">
        <v>1854</v>
      </c>
    </row>
    <row r="8" spans="1:15">
      <c r="A8" s="23" t="s">
        <v>303</v>
      </c>
      <c r="B8" s="23" t="s">
        <v>304</v>
      </c>
      <c r="C8" s="23" t="s">
        <v>990</v>
      </c>
      <c r="D8" s="23" t="s">
        <v>1121</v>
      </c>
      <c r="E8" s="23" t="s">
        <v>1122</v>
      </c>
      <c r="F8" s="24">
        <v>0.19642857142857142</v>
      </c>
      <c r="G8" s="23" t="s">
        <v>1123</v>
      </c>
      <c r="H8" s="23" t="s">
        <v>1124</v>
      </c>
      <c r="I8" s="24">
        <v>0.17857142857142858</v>
      </c>
      <c r="J8" s="25">
        <v>1</v>
      </c>
      <c r="K8" s="24">
        <v>0.1</v>
      </c>
      <c r="L8" s="25">
        <v>56</v>
      </c>
      <c r="M8" s="23" t="s">
        <v>1853</v>
      </c>
      <c r="N8" s="23" t="s">
        <v>733</v>
      </c>
      <c r="O8" s="23" t="s">
        <v>1854</v>
      </c>
    </row>
    <row r="9" spans="1:15">
      <c r="A9" s="23" t="s">
        <v>183</v>
      </c>
      <c r="B9" s="23" t="s">
        <v>186</v>
      </c>
      <c r="C9" s="23" t="s">
        <v>994</v>
      </c>
      <c r="D9" s="23" t="s">
        <v>1131</v>
      </c>
      <c r="E9" s="23" t="s">
        <v>1132</v>
      </c>
      <c r="F9" s="24">
        <v>0.58064516129032262</v>
      </c>
      <c r="G9" s="23" t="s">
        <v>1133</v>
      </c>
      <c r="H9" s="23" t="s">
        <v>1134</v>
      </c>
      <c r="I9" s="24">
        <v>0.25806451612903225</v>
      </c>
      <c r="J9" s="25">
        <v>1</v>
      </c>
      <c r="K9" s="24">
        <v>0.125</v>
      </c>
      <c r="L9" s="25">
        <v>31</v>
      </c>
      <c r="M9" s="23" t="s">
        <v>1853</v>
      </c>
      <c r="N9" s="23" t="s">
        <v>733</v>
      </c>
      <c r="O9" s="23" t="s">
        <v>1854</v>
      </c>
    </row>
    <row r="10" spans="1:15">
      <c r="A10" s="23" t="s">
        <v>152</v>
      </c>
      <c r="B10" s="23" t="s">
        <v>153</v>
      </c>
      <c r="C10" s="23" t="s">
        <v>994</v>
      </c>
      <c r="D10" s="23" t="s">
        <v>1162</v>
      </c>
      <c r="E10" s="23" t="s">
        <v>1163</v>
      </c>
      <c r="F10" s="24">
        <v>0.86065573770491799</v>
      </c>
      <c r="G10" s="23" t="s">
        <v>1174</v>
      </c>
      <c r="H10" s="23" t="s">
        <v>1175</v>
      </c>
      <c r="I10" s="24">
        <v>0.13934426229508196</v>
      </c>
      <c r="J10" s="25">
        <v>3</v>
      </c>
      <c r="K10" s="24">
        <v>0.17647058823529413</v>
      </c>
      <c r="L10" s="25">
        <v>122</v>
      </c>
      <c r="M10" s="23" t="s">
        <v>1853</v>
      </c>
      <c r="N10" s="23" t="s">
        <v>733</v>
      </c>
      <c r="O10" s="23" t="s">
        <v>1854</v>
      </c>
    </row>
    <row r="11" spans="1:15">
      <c r="A11" s="23" t="s">
        <v>152</v>
      </c>
      <c r="B11" s="23" t="s">
        <v>153</v>
      </c>
      <c r="C11" s="23" t="s">
        <v>994</v>
      </c>
      <c r="D11" s="23" t="s">
        <v>1166</v>
      </c>
      <c r="E11" s="23" t="s">
        <v>1167</v>
      </c>
      <c r="F11" s="24">
        <v>0.25409836065573771</v>
      </c>
      <c r="G11" s="23" t="s">
        <v>1168</v>
      </c>
      <c r="H11" s="23" t="s">
        <v>1169</v>
      </c>
      <c r="I11" s="24">
        <v>0.23770491803278687</v>
      </c>
      <c r="J11" s="25">
        <v>4</v>
      </c>
      <c r="K11" s="24">
        <v>0.13793103448275862</v>
      </c>
      <c r="L11" s="25">
        <v>122</v>
      </c>
      <c r="M11" s="23" t="s">
        <v>1853</v>
      </c>
      <c r="N11" s="23" t="s">
        <v>733</v>
      </c>
      <c r="O11" s="23" t="s">
        <v>1854</v>
      </c>
    </row>
    <row r="12" spans="1:15">
      <c r="A12" s="23" t="s">
        <v>152</v>
      </c>
      <c r="B12" s="23" t="s">
        <v>153</v>
      </c>
      <c r="C12" s="23" t="s">
        <v>994</v>
      </c>
      <c r="D12" s="23" t="s">
        <v>1166</v>
      </c>
      <c r="E12" s="23" t="s">
        <v>1167</v>
      </c>
      <c r="F12" s="24">
        <v>0.25409836065573771</v>
      </c>
      <c r="G12" s="23" t="s">
        <v>1174</v>
      </c>
      <c r="H12" s="23" t="s">
        <v>1175</v>
      </c>
      <c r="I12" s="24">
        <v>0.13934426229508196</v>
      </c>
      <c r="J12" s="25">
        <v>3</v>
      </c>
      <c r="K12" s="24">
        <v>0.17647058823529413</v>
      </c>
      <c r="L12" s="25">
        <v>122</v>
      </c>
      <c r="M12" s="23" t="s">
        <v>1853</v>
      </c>
      <c r="N12" s="23" t="s">
        <v>733</v>
      </c>
      <c r="O12" s="23" t="s">
        <v>1854</v>
      </c>
    </row>
    <row r="13" spans="1:15">
      <c r="A13" s="23" t="s">
        <v>152</v>
      </c>
      <c r="B13" s="23" t="s">
        <v>153</v>
      </c>
      <c r="C13" s="23" t="s">
        <v>994</v>
      </c>
      <c r="D13" s="23" t="s">
        <v>1170</v>
      </c>
      <c r="E13" s="23" t="s">
        <v>1171</v>
      </c>
      <c r="F13" s="24">
        <v>0.19672131147540983</v>
      </c>
      <c r="G13" s="23" t="s">
        <v>1174</v>
      </c>
      <c r="H13" s="23" t="s">
        <v>1175</v>
      </c>
      <c r="I13" s="24">
        <v>0.13934426229508196</v>
      </c>
      <c r="J13" s="25">
        <v>2</v>
      </c>
      <c r="K13" s="24">
        <v>0.11764705882352941</v>
      </c>
      <c r="L13" s="25">
        <v>122</v>
      </c>
      <c r="M13" s="23" t="s">
        <v>1853</v>
      </c>
      <c r="N13" s="23" t="s">
        <v>733</v>
      </c>
      <c r="O13" s="23" t="s">
        <v>1854</v>
      </c>
    </row>
    <row r="14" spans="1:15">
      <c r="A14" s="23" t="s">
        <v>152</v>
      </c>
      <c r="B14" s="23" t="s">
        <v>153</v>
      </c>
      <c r="C14" s="23" t="s">
        <v>990</v>
      </c>
      <c r="D14" s="23" t="s">
        <v>1172</v>
      </c>
      <c r="E14" s="23" t="s">
        <v>1173</v>
      </c>
      <c r="F14" s="24">
        <v>0.1721311475409836</v>
      </c>
      <c r="G14" s="23" t="s">
        <v>1176</v>
      </c>
      <c r="H14" s="23" t="s">
        <v>1177</v>
      </c>
      <c r="I14" s="24">
        <v>0.12295081967213115</v>
      </c>
      <c r="J14" s="25">
        <v>2</v>
      </c>
      <c r="K14" s="24">
        <v>0.13333333333333333</v>
      </c>
      <c r="L14" s="25">
        <v>122</v>
      </c>
      <c r="M14" s="23" t="s">
        <v>1853</v>
      </c>
      <c r="N14" s="23" t="s">
        <v>733</v>
      </c>
      <c r="O14" s="23" t="s">
        <v>1854</v>
      </c>
    </row>
    <row r="15" spans="1:15">
      <c r="A15" s="23" t="s">
        <v>152</v>
      </c>
      <c r="B15" s="23" t="s">
        <v>1178</v>
      </c>
      <c r="C15" s="23" t="s">
        <v>994</v>
      </c>
      <c r="D15" s="23" t="s">
        <v>1179</v>
      </c>
      <c r="E15" s="23" t="s">
        <v>1180</v>
      </c>
      <c r="F15" s="24">
        <v>0.66666666666666663</v>
      </c>
      <c r="G15" s="23" t="s">
        <v>1183</v>
      </c>
      <c r="H15" s="23" t="s">
        <v>1184</v>
      </c>
      <c r="I15" s="24">
        <v>0.25</v>
      </c>
      <c r="J15" s="25">
        <v>0</v>
      </c>
      <c r="K15" s="24">
        <v>0</v>
      </c>
      <c r="L15" s="25">
        <v>36</v>
      </c>
      <c r="M15" s="23" t="s">
        <v>1853</v>
      </c>
      <c r="N15" s="23" t="s">
        <v>733</v>
      </c>
      <c r="O15" s="23" t="s">
        <v>1854</v>
      </c>
    </row>
    <row r="16" spans="1:15">
      <c r="A16" s="23" t="s">
        <v>152</v>
      </c>
      <c r="B16" s="23" t="s">
        <v>1178</v>
      </c>
      <c r="C16" s="23" t="s">
        <v>994</v>
      </c>
      <c r="D16" s="23" t="s">
        <v>1181</v>
      </c>
      <c r="E16" s="23" t="s">
        <v>1182</v>
      </c>
      <c r="F16" s="24">
        <v>0.63888888888888884</v>
      </c>
      <c r="G16" s="23" t="s">
        <v>1183</v>
      </c>
      <c r="H16" s="23" t="s">
        <v>1184</v>
      </c>
      <c r="I16" s="24">
        <v>0.25</v>
      </c>
      <c r="J16" s="25">
        <v>0</v>
      </c>
      <c r="K16" s="24">
        <v>0</v>
      </c>
      <c r="L16" s="25">
        <v>36</v>
      </c>
      <c r="M16" s="23" t="s">
        <v>1853</v>
      </c>
      <c r="N16" s="23" t="s">
        <v>733</v>
      </c>
      <c r="O16" s="23" t="s">
        <v>1854</v>
      </c>
    </row>
    <row r="17" spans="1:15">
      <c r="A17" s="23" t="s">
        <v>152</v>
      </c>
      <c r="B17" s="23" t="s">
        <v>1178</v>
      </c>
      <c r="C17" s="23" t="s">
        <v>994</v>
      </c>
      <c r="D17" s="23" t="s">
        <v>1183</v>
      </c>
      <c r="E17" s="23" t="s">
        <v>1184</v>
      </c>
      <c r="F17" s="24">
        <v>0.25</v>
      </c>
      <c r="G17" s="23" t="s">
        <v>1185</v>
      </c>
      <c r="H17" s="23" t="s">
        <v>1186</v>
      </c>
      <c r="I17" s="24">
        <v>0.1388888888888889</v>
      </c>
      <c r="J17" s="25">
        <v>0</v>
      </c>
      <c r="K17" s="24">
        <v>0</v>
      </c>
      <c r="L17" s="25">
        <v>36</v>
      </c>
      <c r="M17" s="23" t="s">
        <v>1853</v>
      </c>
      <c r="N17" s="23" t="s">
        <v>733</v>
      </c>
      <c r="O17" s="23" t="s">
        <v>1854</v>
      </c>
    </row>
    <row r="18" spans="1:15">
      <c r="A18" s="23" t="s">
        <v>152</v>
      </c>
      <c r="B18" s="23" t="s">
        <v>156</v>
      </c>
      <c r="C18" s="23" t="s">
        <v>990</v>
      </c>
      <c r="D18" s="23" t="s">
        <v>1199</v>
      </c>
      <c r="E18" s="23" t="s">
        <v>1200</v>
      </c>
      <c r="F18" s="24">
        <v>0.32846715328467152</v>
      </c>
      <c r="G18" s="23" t="s">
        <v>1201</v>
      </c>
      <c r="H18" s="23" t="s">
        <v>1202</v>
      </c>
      <c r="I18" s="24">
        <v>0.19708029197080293</v>
      </c>
      <c r="J18" s="25">
        <v>4</v>
      </c>
      <c r="K18" s="24">
        <v>0.14814814814814814</v>
      </c>
      <c r="L18" s="25">
        <v>137</v>
      </c>
      <c r="M18" s="23" t="s">
        <v>1853</v>
      </c>
      <c r="N18" s="23" t="s">
        <v>733</v>
      </c>
      <c r="O18" s="23" t="s">
        <v>1854</v>
      </c>
    </row>
    <row r="19" spans="1:15">
      <c r="A19" s="23" t="s">
        <v>152</v>
      </c>
      <c r="B19" s="23" t="s">
        <v>156</v>
      </c>
      <c r="C19" s="23" t="s">
        <v>994</v>
      </c>
      <c r="D19" s="23" t="s">
        <v>1203</v>
      </c>
      <c r="E19" s="23" t="s">
        <v>1204</v>
      </c>
      <c r="F19" s="24">
        <v>0.16788321167883211</v>
      </c>
      <c r="G19" s="23" t="s">
        <v>1207</v>
      </c>
      <c r="H19" s="23" t="s">
        <v>1208</v>
      </c>
      <c r="I19" s="24">
        <v>0.13868613138686131</v>
      </c>
      <c r="J19" s="25">
        <v>3</v>
      </c>
      <c r="K19" s="24">
        <v>0.15789473684210525</v>
      </c>
      <c r="L19" s="25">
        <v>137</v>
      </c>
      <c r="M19" s="23" t="s">
        <v>1853</v>
      </c>
      <c r="N19" s="23" t="s">
        <v>733</v>
      </c>
      <c r="O19" s="23" t="s">
        <v>1854</v>
      </c>
    </row>
    <row r="20" spans="1:15">
      <c r="A20" s="23" t="s">
        <v>204</v>
      </c>
      <c r="B20" s="23" t="s">
        <v>210</v>
      </c>
      <c r="C20" s="23" t="s">
        <v>990</v>
      </c>
      <c r="D20" s="23" t="s">
        <v>1227</v>
      </c>
      <c r="E20" s="23" t="s">
        <v>1228</v>
      </c>
      <c r="F20" s="24">
        <v>0.77419354838709675</v>
      </c>
      <c r="G20" s="23" t="s">
        <v>1241</v>
      </c>
      <c r="H20" s="23" t="s">
        <v>1242</v>
      </c>
      <c r="I20" s="24">
        <v>0.20967741935483872</v>
      </c>
      <c r="J20" s="25">
        <v>1</v>
      </c>
      <c r="K20" s="24">
        <v>7.6923076923076927E-2</v>
      </c>
      <c r="L20" s="25">
        <v>62</v>
      </c>
      <c r="M20" s="23" t="s">
        <v>1853</v>
      </c>
      <c r="N20" s="23" t="s">
        <v>733</v>
      </c>
      <c r="O20" s="23" t="s">
        <v>1854</v>
      </c>
    </row>
    <row r="21" spans="1:15">
      <c r="A21" s="23" t="s">
        <v>204</v>
      </c>
      <c r="B21" s="23" t="s">
        <v>210</v>
      </c>
      <c r="C21" s="23" t="s">
        <v>990</v>
      </c>
      <c r="D21" s="23" t="s">
        <v>1235</v>
      </c>
      <c r="E21" s="23" t="s">
        <v>1236</v>
      </c>
      <c r="F21" s="24">
        <v>0.43548387096774194</v>
      </c>
      <c r="G21" s="23" t="s">
        <v>1241</v>
      </c>
      <c r="H21" s="23" t="s">
        <v>1242</v>
      </c>
      <c r="I21" s="24">
        <v>0.20967741935483872</v>
      </c>
      <c r="J21" s="25">
        <v>1</v>
      </c>
      <c r="K21" s="24">
        <v>7.6923076923076927E-2</v>
      </c>
      <c r="L21" s="25">
        <v>62</v>
      </c>
      <c r="M21" s="23" t="s">
        <v>1853</v>
      </c>
      <c r="N21" s="23" t="s">
        <v>733</v>
      </c>
      <c r="O21" s="23" t="s">
        <v>1854</v>
      </c>
    </row>
    <row r="22" spans="1:15">
      <c r="A22" s="23" t="s">
        <v>204</v>
      </c>
      <c r="B22" s="23" t="s">
        <v>210</v>
      </c>
      <c r="C22" s="23" t="s">
        <v>994</v>
      </c>
      <c r="D22" s="23" t="s">
        <v>1237</v>
      </c>
      <c r="E22" s="23" t="s">
        <v>1238</v>
      </c>
      <c r="F22" s="24">
        <v>0.33870967741935482</v>
      </c>
      <c r="G22" s="23" t="s">
        <v>1239</v>
      </c>
      <c r="H22" s="23" t="s">
        <v>1240</v>
      </c>
      <c r="I22" s="24">
        <v>0.25806451612903225</v>
      </c>
      <c r="J22" s="25">
        <v>2</v>
      </c>
      <c r="K22" s="24">
        <v>0.125</v>
      </c>
      <c r="L22" s="25">
        <v>62</v>
      </c>
      <c r="M22" s="23" t="s">
        <v>1853</v>
      </c>
      <c r="N22" s="23" t="s">
        <v>733</v>
      </c>
      <c r="O22" s="23" t="s">
        <v>1854</v>
      </c>
    </row>
    <row r="23" spans="1:15">
      <c r="A23" s="23" t="s">
        <v>204</v>
      </c>
      <c r="B23" s="23" t="s">
        <v>210</v>
      </c>
      <c r="C23" s="23" t="s">
        <v>990</v>
      </c>
      <c r="D23" s="23" t="s">
        <v>1241</v>
      </c>
      <c r="E23" s="23" t="s">
        <v>1242</v>
      </c>
      <c r="F23" s="24">
        <v>0.20967741935483872</v>
      </c>
      <c r="G23" s="23" t="s">
        <v>1243</v>
      </c>
      <c r="H23" s="23" t="s">
        <v>1244</v>
      </c>
      <c r="I23" s="24">
        <v>0.20967741935483872</v>
      </c>
      <c r="J23" s="25">
        <v>1</v>
      </c>
      <c r="K23" s="24">
        <v>7.6923076923076927E-2</v>
      </c>
      <c r="L23" s="25">
        <v>62</v>
      </c>
      <c r="M23" s="23" t="s">
        <v>1853</v>
      </c>
      <c r="N23" s="23" t="s">
        <v>733</v>
      </c>
      <c r="O23" s="23" t="s">
        <v>1854</v>
      </c>
    </row>
    <row r="24" spans="1:15">
      <c r="A24" s="23" t="s">
        <v>194</v>
      </c>
      <c r="B24" s="23" t="s">
        <v>198</v>
      </c>
      <c r="C24" s="23" t="s">
        <v>990</v>
      </c>
      <c r="D24" s="23" t="s">
        <v>810</v>
      </c>
      <c r="E24" s="23" t="s">
        <v>811</v>
      </c>
      <c r="F24" s="24">
        <v>0.20779220779220781</v>
      </c>
      <c r="G24" s="23" t="s">
        <v>1291</v>
      </c>
      <c r="H24" s="23" t="s">
        <v>1292</v>
      </c>
      <c r="I24" s="24">
        <v>0.18181818181818182</v>
      </c>
      <c r="J24" s="25">
        <v>5</v>
      </c>
      <c r="K24" s="24">
        <v>0.17857142857142858</v>
      </c>
      <c r="L24" s="25">
        <v>154</v>
      </c>
      <c r="M24" s="23" t="s">
        <v>1853</v>
      </c>
      <c r="N24" s="23" t="s">
        <v>733</v>
      </c>
      <c r="O24" s="23" t="s">
        <v>1854</v>
      </c>
    </row>
    <row r="25" spans="1:15">
      <c r="A25" s="23" t="s">
        <v>312</v>
      </c>
      <c r="B25" s="23" t="s">
        <v>313</v>
      </c>
      <c r="C25" s="23" t="s">
        <v>990</v>
      </c>
      <c r="D25" s="23" t="s">
        <v>1303</v>
      </c>
      <c r="E25" s="23" t="s">
        <v>1304</v>
      </c>
      <c r="F25" s="24">
        <v>0.29729729729729731</v>
      </c>
      <c r="G25" s="23" t="s">
        <v>1307</v>
      </c>
      <c r="H25" s="23" t="s">
        <v>1308</v>
      </c>
      <c r="I25" s="24">
        <v>0.24324324324324326</v>
      </c>
      <c r="J25" s="25">
        <v>6</v>
      </c>
      <c r="K25" s="24">
        <v>0.16666666666666666</v>
      </c>
      <c r="L25" s="25">
        <v>148</v>
      </c>
      <c r="M25" s="23" t="s">
        <v>1853</v>
      </c>
      <c r="N25" s="23" t="s">
        <v>733</v>
      </c>
      <c r="O25" s="23" t="s">
        <v>1854</v>
      </c>
    </row>
    <row r="26" spans="1:15">
      <c r="A26" s="23" t="s">
        <v>312</v>
      </c>
      <c r="B26" s="23" t="s">
        <v>319</v>
      </c>
      <c r="C26" s="23" t="s">
        <v>994</v>
      </c>
      <c r="D26" s="23" t="s">
        <v>1325</v>
      </c>
      <c r="E26" s="23" t="s">
        <v>1326</v>
      </c>
      <c r="F26" s="24">
        <v>0.39285714285714285</v>
      </c>
      <c r="G26" s="23" t="s">
        <v>1327</v>
      </c>
      <c r="H26" s="23" t="s">
        <v>1328</v>
      </c>
      <c r="I26" s="24">
        <v>0.35714285714285715</v>
      </c>
      <c r="J26" s="25">
        <v>4</v>
      </c>
      <c r="K26" s="24">
        <v>0.2</v>
      </c>
      <c r="L26" s="25">
        <v>56</v>
      </c>
      <c r="M26" s="23" t="s">
        <v>1853</v>
      </c>
      <c r="N26" s="23" t="s">
        <v>733</v>
      </c>
      <c r="O26" s="23" t="s">
        <v>1854</v>
      </c>
    </row>
    <row r="27" spans="1:15">
      <c r="A27" s="23" t="s">
        <v>312</v>
      </c>
      <c r="B27" s="23" t="s">
        <v>319</v>
      </c>
      <c r="C27" s="23" t="s">
        <v>994</v>
      </c>
      <c r="D27" s="23" t="s">
        <v>1327</v>
      </c>
      <c r="E27" s="23" t="s">
        <v>1328</v>
      </c>
      <c r="F27" s="24">
        <v>0.35714285714285715</v>
      </c>
      <c r="G27" s="23" t="s">
        <v>1331</v>
      </c>
      <c r="H27" s="23" t="s">
        <v>1332</v>
      </c>
      <c r="I27" s="24">
        <v>0.19642857142857142</v>
      </c>
      <c r="J27" s="25">
        <v>2</v>
      </c>
      <c r="K27" s="24">
        <v>0.18181818181818182</v>
      </c>
      <c r="L27" s="25">
        <v>56</v>
      </c>
      <c r="M27" s="23" t="s">
        <v>1853</v>
      </c>
      <c r="N27" s="23" t="s">
        <v>733</v>
      </c>
      <c r="O27" s="23" t="s">
        <v>1854</v>
      </c>
    </row>
    <row r="28" spans="1:15">
      <c r="A28" s="23" t="s">
        <v>312</v>
      </c>
      <c r="B28" s="23" t="s">
        <v>319</v>
      </c>
      <c r="C28" s="23" t="s">
        <v>994</v>
      </c>
      <c r="D28" s="23" t="s">
        <v>1329</v>
      </c>
      <c r="E28" s="23" t="s">
        <v>1330</v>
      </c>
      <c r="F28" s="24">
        <v>0.2857142857142857</v>
      </c>
      <c r="G28" s="23" t="s">
        <v>1331</v>
      </c>
      <c r="H28" s="23" t="s">
        <v>1332</v>
      </c>
      <c r="I28" s="24">
        <v>0.19642857142857142</v>
      </c>
      <c r="J28" s="25">
        <v>0</v>
      </c>
      <c r="K28" s="24">
        <v>0</v>
      </c>
      <c r="L28" s="25">
        <v>56</v>
      </c>
      <c r="M28" s="23" t="s">
        <v>1853</v>
      </c>
      <c r="N28" s="23" t="s">
        <v>733</v>
      </c>
      <c r="O28" s="23" t="s">
        <v>1854</v>
      </c>
    </row>
    <row r="29" spans="1:15">
      <c r="A29" s="23" t="s">
        <v>244</v>
      </c>
      <c r="B29" s="23" t="s">
        <v>245</v>
      </c>
      <c r="C29" s="23" t="s">
        <v>994</v>
      </c>
      <c r="D29" s="23" t="s">
        <v>1390</v>
      </c>
      <c r="E29" s="23" t="s">
        <v>1391</v>
      </c>
      <c r="F29" s="24">
        <v>0.2857142857142857</v>
      </c>
      <c r="G29" s="23" t="s">
        <v>1396</v>
      </c>
      <c r="H29" s="23" t="s">
        <v>1397</v>
      </c>
      <c r="I29" s="24">
        <v>0.14285714285714285</v>
      </c>
      <c r="J29" s="25">
        <v>2</v>
      </c>
      <c r="K29" s="24">
        <v>0.18181818181818182</v>
      </c>
      <c r="L29" s="25">
        <v>77</v>
      </c>
      <c r="M29" s="23" t="s">
        <v>1853</v>
      </c>
      <c r="N29" s="23" t="s">
        <v>733</v>
      </c>
      <c r="O29" s="23" t="s">
        <v>1854</v>
      </c>
    </row>
    <row r="30" spans="1:15">
      <c r="A30" s="23" t="s">
        <v>244</v>
      </c>
      <c r="B30" s="23" t="s">
        <v>245</v>
      </c>
      <c r="C30" s="23" t="s">
        <v>994</v>
      </c>
      <c r="D30" s="23" t="s">
        <v>1390</v>
      </c>
      <c r="E30" s="23" t="s">
        <v>1391</v>
      </c>
      <c r="F30" s="24">
        <v>0.2857142857142857</v>
      </c>
      <c r="G30" s="23" t="s">
        <v>1398</v>
      </c>
      <c r="H30" s="23" t="s">
        <v>1399</v>
      </c>
      <c r="I30" s="24">
        <v>0.12987012987012986</v>
      </c>
      <c r="J30" s="25">
        <v>0</v>
      </c>
      <c r="K30" s="24">
        <v>0</v>
      </c>
      <c r="L30" s="25">
        <v>77</v>
      </c>
      <c r="M30" s="23" t="s">
        <v>1853</v>
      </c>
      <c r="N30" s="23" t="s">
        <v>733</v>
      </c>
      <c r="O30" s="23" t="s">
        <v>1854</v>
      </c>
    </row>
    <row r="31" spans="1:15">
      <c r="A31" s="23" t="s">
        <v>244</v>
      </c>
      <c r="B31" s="23" t="s">
        <v>245</v>
      </c>
      <c r="C31" s="23" t="s">
        <v>994</v>
      </c>
      <c r="D31" s="23" t="s">
        <v>1392</v>
      </c>
      <c r="E31" s="23" t="s">
        <v>1393</v>
      </c>
      <c r="F31" s="24">
        <v>0.24675324675324675</v>
      </c>
      <c r="G31" s="23" t="s">
        <v>1398</v>
      </c>
      <c r="H31" s="23" t="s">
        <v>1399</v>
      </c>
      <c r="I31" s="24">
        <v>0.12987012987012986</v>
      </c>
      <c r="J31" s="25">
        <v>2</v>
      </c>
      <c r="K31" s="24">
        <v>0.2</v>
      </c>
      <c r="L31" s="25">
        <v>77</v>
      </c>
      <c r="M31" s="23" t="s">
        <v>1853</v>
      </c>
      <c r="N31" s="23" t="s">
        <v>733</v>
      </c>
      <c r="O31" s="23" t="s">
        <v>1854</v>
      </c>
    </row>
    <row r="32" spans="1:15">
      <c r="A32" s="23" t="s">
        <v>244</v>
      </c>
      <c r="B32" s="23" t="s">
        <v>245</v>
      </c>
      <c r="C32" s="23" t="s">
        <v>994</v>
      </c>
      <c r="D32" s="23" t="s">
        <v>1394</v>
      </c>
      <c r="E32" s="23" t="s">
        <v>1395</v>
      </c>
      <c r="F32" s="24">
        <v>0.22077922077922077</v>
      </c>
      <c r="G32" s="23" t="s">
        <v>1396</v>
      </c>
      <c r="H32" s="23" t="s">
        <v>1397</v>
      </c>
      <c r="I32" s="24">
        <v>0.14285714285714285</v>
      </c>
      <c r="J32" s="25">
        <v>0</v>
      </c>
      <c r="K32" s="24">
        <v>0</v>
      </c>
      <c r="L32" s="25">
        <v>77</v>
      </c>
      <c r="M32" s="23" t="s">
        <v>1853</v>
      </c>
      <c r="N32" s="23" t="s">
        <v>733</v>
      </c>
      <c r="O32" s="23" t="s">
        <v>1854</v>
      </c>
    </row>
    <row r="33" spans="1:15">
      <c r="A33" s="23" t="s">
        <v>244</v>
      </c>
      <c r="B33" s="23" t="s">
        <v>245</v>
      </c>
      <c r="C33" s="23" t="s">
        <v>994</v>
      </c>
      <c r="D33" s="23" t="s">
        <v>1394</v>
      </c>
      <c r="E33" s="23" t="s">
        <v>1395</v>
      </c>
      <c r="F33" s="24">
        <v>0.22077922077922077</v>
      </c>
      <c r="G33" s="23" t="s">
        <v>1398</v>
      </c>
      <c r="H33" s="23" t="s">
        <v>1399</v>
      </c>
      <c r="I33" s="24">
        <v>0.12987012987012986</v>
      </c>
      <c r="J33" s="25">
        <v>0</v>
      </c>
      <c r="K33" s="24">
        <v>0</v>
      </c>
      <c r="L33" s="25">
        <v>77</v>
      </c>
      <c r="M33" s="23" t="s">
        <v>1853</v>
      </c>
      <c r="N33" s="23" t="s">
        <v>733</v>
      </c>
      <c r="O33" s="23" t="s">
        <v>1854</v>
      </c>
    </row>
    <row r="34" spans="1:15">
      <c r="A34" s="23" t="s">
        <v>244</v>
      </c>
      <c r="B34" s="23" t="s">
        <v>245</v>
      </c>
      <c r="C34" s="23" t="s">
        <v>994</v>
      </c>
      <c r="D34" s="23" t="s">
        <v>1396</v>
      </c>
      <c r="E34" s="23" t="s">
        <v>1397</v>
      </c>
      <c r="F34" s="24">
        <v>0.14285714285714285</v>
      </c>
      <c r="G34" s="23" t="s">
        <v>1398</v>
      </c>
      <c r="H34" s="23" t="s">
        <v>1399</v>
      </c>
      <c r="I34" s="24">
        <v>0.12987012987012986</v>
      </c>
      <c r="J34" s="25">
        <v>2</v>
      </c>
      <c r="K34" s="24">
        <v>0.2</v>
      </c>
      <c r="L34" s="25">
        <v>77</v>
      </c>
      <c r="M34" s="23" t="s">
        <v>1853</v>
      </c>
      <c r="N34" s="23" t="s">
        <v>733</v>
      </c>
      <c r="O34" s="23" t="s">
        <v>1854</v>
      </c>
    </row>
    <row r="35" spans="1:15">
      <c r="A35" s="23" t="s">
        <v>285</v>
      </c>
      <c r="B35" s="23" t="s">
        <v>289</v>
      </c>
      <c r="C35" s="23" t="s">
        <v>994</v>
      </c>
      <c r="D35" s="23" t="s">
        <v>1476</v>
      </c>
      <c r="E35" s="23" t="s">
        <v>1477</v>
      </c>
      <c r="F35" s="24">
        <v>0.38793103448275862</v>
      </c>
      <c r="G35" s="23" t="s">
        <v>1478</v>
      </c>
      <c r="H35" s="23" t="s">
        <v>1479</v>
      </c>
      <c r="I35" s="24">
        <v>0.33620689655172414</v>
      </c>
      <c r="J35" s="25">
        <v>6</v>
      </c>
      <c r="K35" s="24">
        <v>0.15384615384615385</v>
      </c>
      <c r="L35" s="25">
        <v>116</v>
      </c>
      <c r="M35" s="23" t="s">
        <v>1853</v>
      </c>
      <c r="N35" s="23" t="s">
        <v>733</v>
      </c>
      <c r="O35" s="23" t="s">
        <v>1854</v>
      </c>
    </row>
    <row r="36" spans="1:15">
      <c r="A36" s="23" t="s">
        <v>285</v>
      </c>
      <c r="B36" s="23" t="s">
        <v>289</v>
      </c>
      <c r="C36" s="23" t="s">
        <v>994</v>
      </c>
      <c r="D36" s="23" t="s">
        <v>1476</v>
      </c>
      <c r="E36" s="23" t="s">
        <v>1477</v>
      </c>
      <c r="F36" s="24">
        <v>0.38793103448275862</v>
      </c>
      <c r="G36" s="23" t="s">
        <v>1480</v>
      </c>
      <c r="H36" s="23" t="s">
        <v>1481</v>
      </c>
      <c r="I36" s="24">
        <v>0.31896551724137934</v>
      </c>
      <c r="J36" s="25">
        <v>6</v>
      </c>
      <c r="K36" s="24">
        <v>0.16216216216216217</v>
      </c>
      <c r="L36" s="25">
        <v>116</v>
      </c>
      <c r="M36" s="23" t="s">
        <v>1853</v>
      </c>
      <c r="N36" s="23" t="s">
        <v>733</v>
      </c>
      <c r="O36" s="23" t="s">
        <v>1854</v>
      </c>
    </row>
    <row r="37" spans="1:15">
      <c r="A37" s="23" t="s">
        <v>174</v>
      </c>
      <c r="B37" s="23" t="s">
        <v>175</v>
      </c>
      <c r="C37" s="23" t="s">
        <v>994</v>
      </c>
      <c r="D37" s="23" t="s">
        <v>1565</v>
      </c>
      <c r="E37" s="23" t="s">
        <v>1566</v>
      </c>
      <c r="F37" s="24">
        <v>0.54166666666666663</v>
      </c>
      <c r="G37" s="23" t="s">
        <v>1569</v>
      </c>
      <c r="H37" s="23" t="s">
        <v>1570</v>
      </c>
      <c r="I37" s="24">
        <v>0.25</v>
      </c>
      <c r="J37" s="25">
        <v>0</v>
      </c>
      <c r="K37" s="24">
        <v>0</v>
      </c>
      <c r="L37" s="25">
        <v>24</v>
      </c>
      <c r="M37" s="23" t="s">
        <v>1853</v>
      </c>
      <c r="N37" s="23" t="s">
        <v>733</v>
      </c>
      <c r="O37" s="23" t="s">
        <v>1854</v>
      </c>
    </row>
    <row r="38" spans="1:15">
      <c r="A38" s="23" t="s">
        <v>174</v>
      </c>
      <c r="B38" s="23" t="s">
        <v>175</v>
      </c>
      <c r="C38" s="23" t="s">
        <v>994</v>
      </c>
      <c r="D38" s="23" t="s">
        <v>1567</v>
      </c>
      <c r="E38" s="23" t="s">
        <v>1568</v>
      </c>
      <c r="F38" s="24">
        <v>0.54166666666666663</v>
      </c>
      <c r="G38" s="23" t="s">
        <v>1569</v>
      </c>
      <c r="H38" s="23" t="s">
        <v>1570</v>
      </c>
      <c r="I38" s="24">
        <v>0.25</v>
      </c>
      <c r="J38" s="25">
        <v>0</v>
      </c>
      <c r="K38" s="24">
        <v>0</v>
      </c>
      <c r="L38" s="25">
        <v>24</v>
      </c>
      <c r="M38" s="23" t="s">
        <v>1853</v>
      </c>
      <c r="N38" s="23" t="s">
        <v>733</v>
      </c>
      <c r="O38" s="23" t="s">
        <v>1854</v>
      </c>
    </row>
    <row r="39" spans="1:15">
      <c r="A39" s="23" t="s">
        <v>224</v>
      </c>
      <c r="B39" s="23" t="s">
        <v>233</v>
      </c>
      <c r="C39" s="23" t="s">
        <v>994</v>
      </c>
      <c r="D39" s="23" t="s">
        <v>1600</v>
      </c>
      <c r="E39" s="23" t="s">
        <v>1601</v>
      </c>
      <c r="F39" s="24">
        <v>0.42424242424242425</v>
      </c>
      <c r="G39" s="23" t="s">
        <v>1602</v>
      </c>
      <c r="H39" s="23" t="s">
        <v>1603</v>
      </c>
      <c r="I39" s="24">
        <v>0.12121212121212122</v>
      </c>
      <c r="J39" s="25">
        <v>0</v>
      </c>
      <c r="K39" s="24">
        <v>0</v>
      </c>
      <c r="L39" s="25">
        <v>33</v>
      </c>
      <c r="M39" s="23" t="s">
        <v>1853</v>
      </c>
      <c r="N39" s="23" t="s">
        <v>733</v>
      </c>
      <c r="O39" s="23" t="s">
        <v>1854</v>
      </c>
    </row>
    <row r="40" spans="1:15">
      <c r="A40" s="23" t="s">
        <v>236</v>
      </c>
      <c r="B40" s="23" t="s">
        <v>239</v>
      </c>
      <c r="C40" s="23" t="s">
        <v>990</v>
      </c>
      <c r="D40" s="23" t="s">
        <v>1618</v>
      </c>
      <c r="E40" s="23" t="s">
        <v>1619</v>
      </c>
      <c r="F40" s="24">
        <v>0.37278106508875741</v>
      </c>
      <c r="G40" s="23" t="s">
        <v>1622</v>
      </c>
      <c r="H40" s="23" t="s">
        <v>1623</v>
      </c>
      <c r="I40" s="24">
        <v>0.13017751479289941</v>
      </c>
      <c r="J40" s="25">
        <v>0</v>
      </c>
      <c r="K40" s="24">
        <v>0</v>
      </c>
      <c r="L40" s="25">
        <v>169</v>
      </c>
      <c r="M40" s="23" t="s">
        <v>1853</v>
      </c>
      <c r="N40" s="23" t="s">
        <v>733</v>
      </c>
      <c r="O40" s="23" t="s">
        <v>1854</v>
      </c>
    </row>
    <row r="41" spans="1:15">
      <c r="A41" s="23" t="s">
        <v>236</v>
      </c>
      <c r="B41" s="23" t="s">
        <v>239</v>
      </c>
      <c r="C41" s="23" t="s">
        <v>990</v>
      </c>
      <c r="D41" s="23" t="s">
        <v>1620</v>
      </c>
      <c r="E41" s="23" t="s">
        <v>1621</v>
      </c>
      <c r="F41" s="24">
        <v>0.13017751479289941</v>
      </c>
      <c r="G41" s="23" t="s">
        <v>1622</v>
      </c>
      <c r="H41" s="23" t="s">
        <v>1623</v>
      </c>
      <c r="I41" s="24">
        <v>0.13017751479289941</v>
      </c>
      <c r="J41" s="25">
        <v>0</v>
      </c>
      <c r="K41" s="24">
        <v>0</v>
      </c>
      <c r="L41" s="25">
        <v>169</v>
      </c>
      <c r="M41" s="23" t="s">
        <v>1853</v>
      </c>
      <c r="N41" s="23" t="s">
        <v>733</v>
      </c>
      <c r="O41" s="23" t="s">
        <v>1854</v>
      </c>
    </row>
    <row r="42" spans="1:15">
      <c r="A42" s="23" t="s">
        <v>334</v>
      </c>
      <c r="B42" s="23" t="s">
        <v>337</v>
      </c>
      <c r="C42" s="23" t="s">
        <v>994</v>
      </c>
      <c r="D42" s="23" t="s">
        <v>1672</v>
      </c>
      <c r="E42" s="23" t="s">
        <v>1673</v>
      </c>
      <c r="F42" s="24">
        <v>0.44</v>
      </c>
      <c r="G42" s="23" t="s">
        <v>1676</v>
      </c>
      <c r="H42" s="23" t="s">
        <v>1677</v>
      </c>
      <c r="I42" s="24">
        <v>0.34666666666666668</v>
      </c>
      <c r="J42" s="25">
        <v>5</v>
      </c>
      <c r="K42" s="24">
        <v>0.19230769230769232</v>
      </c>
      <c r="L42" s="25">
        <v>75</v>
      </c>
      <c r="M42" s="23" t="s">
        <v>1853</v>
      </c>
      <c r="N42" s="23" t="s">
        <v>733</v>
      </c>
      <c r="O42" s="23" t="s">
        <v>1854</v>
      </c>
    </row>
    <row r="43" spans="1:15">
      <c r="A43" s="23" t="s">
        <v>322</v>
      </c>
      <c r="B43" s="23" t="s">
        <v>328</v>
      </c>
      <c r="C43" s="23" t="s">
        <v>990</v>
      </c>
      <c r="D43" s="23" t="s">
        <v>1692</v>
      </c>
      <c r="E43" s="23" t="s">
        <v>1693</v>
      </c>
      <c r="F43" s="24">
        <v>0.45833333333333331</v>
      </c>
      <c r="G43" s="23" t="s">
        <v>1694</v>
      </c>
      <c r="H43" s="23" t="s">
        <v>1695</v>
      </c>
      <c r="I43" s="24">
        <v>0.125</v>
      </c>
      <c r="J43" s="25">
        <v>1</v>
      </c>
      <c r="K43" s="24">
        <v>8.3333333333333329E-2</v>
      </c>
      <c r="L43" s="25">
        <v>96</v>
      </c>
      <c r="M43" s="23" t="s">
        <v>1853</v>
      </c>
      <c r="N43" s="23" t="s">
        <v>733</v>
      </c>
      <c r="O43" s="23" t="s">
        <v>1854</v>
      </c>
    </row>
    <row r="44" spans="1:15">
      <c r="A44" s="23" t="s">
        <v>142</v>
      </c>
      <c r="B44" s="23" t="s">
        <v>149</v>
      </c>
      <c r="C44" s="23" t="s">
        <v>990</v>
      </c>
      <c r="D44" s="23" t="s">
        <v>1764</v>
      </c>
      <c r="E44" s="23" t="s">
        <v>1765</v>
      </c>
      <c r="F44" s="24">
        <v>0.40186915887850466</v>
      </c>
      <c r="G44" s="23" t="s">
        <v>1766</v>
      </c>
      <c r="H44" s="23" t="s">
        <v>1767</v>
      </c>
      <c r="I44" s="24">
        <v>0.34579439252336447</v>
      </c>
      <c r="J44" s="25">
        <v>6</v>
      </c>
      <c r="K44" s="24">
        <v>0.16216216216216217</v>
      </c>
      <c r="L44" s="25">
        <v>107</v>
      </c>
      <c r="M44" s="23" t="s">
        <v>1853</v>
      </c>
      <c r="N44" s="23" t="s">
        <v>733</v>
      </c>
      <c r="O44" s="23" t="s">
        <v>1854</v>
      </c>
    </row>
  </sheetData>
  <conditionalFormatting sqref="N2:N44">
    <cfRule type="expression" dxfId="2" priority="1">
      <formula>N2="Принято"</formula>
    </cfRule>
    <cfRule type="expression" dxfId="1" priority="2">
      <formula>N2="Отклонено"</formula>
    </cfRule>
    <cfRule type="expression" dxfId="0" priority="3">
      <formula>N2="На проверку"</formula>
    </cfRule>
  </conditionalFormatting>
  <dataValidations count="1">
    <dataValidation type="list" sqref="N2:N44" xr:uid="{00000000-0002-0000-0B00-000000000000}">
      <formula1>"На проверку,Принято,Отклонено,Условно"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83"/>
  <sheetViews>
    <sheetView workbookViewId="0">
      <selection activeCell="M2" sqref="M2"/>
    </sheetView>
  </sheetViews>
  <sheetFormatPr defaultRowHeight="14.25"/>
  <cols>
    <col min="1" max="1" width="17" customWidth="1"/>
    <col min="2" max="2" width="22" customWidth="1"/>
    <col min="3" max="3" width="11" customWidth="1"/>
    <col min="4" max="7" width="9" customWidth="1"/>
    <col min="8" max="8" width="11" customWidth="1"/>
    <col min="9" max="9" width="13" customWidth="1"/>
    <col min="10" max="11" width="12" customWidth="1"/>
    <col min="12" max="12" width="13" customWidth="1"/>
    <col min="13" max="13" width="12" customWidth="1"/>
    <col min="14" max="14" width="13" customWidth="1"/>
    <col min="15" max="16" width="11" customWidth="1"/>
    <col min="17" max="18" width="15" customWidth="1"/>
    <col min="19" max="19" width="13" customWidth="1"/>
    <col min="20" max="20" width="12" customWidth="1"/>
  </cols>
  <sheetData>
    <row r="1" spans="1:20" ht="32.1" customHeight="1">
      <c r="A1" s="22" t="s">
        <v>23</v>
      </c>
      <c r="B1" s="22" t="s">
        <v>24</v>
      </c>
      <c r="C1" s="22" t="s">
        <v>25</v>
      </c>
      <c r="D1" s="22" t="s">
        <v>1855</v>
      </c>
      <c r="E1" s="22" t="s">
        <v>11</v>
      </c>
      <c r="F1" s="22" t="s">
        <v>1856</v>
      </c>
      <c r="G1" s="22" t="s">
        <v>1857</v>
      </c>
      <c r="H1" s="22" t="s">
        <v>1858</v>
      </c>
      <c r="I1" s="22" t="s">
        <v>1859</v>
      </c>
      <c r="J1" s="22" t="s">
        <v>1860</v>
      </c>
      <c r="K1" s="22" t="s">
        <v>1861</v>
      </c>
      <c r="L1" s="22" t="s">
        <v>1862</v>
      </c>
      <c r="M1" s="22" t="s">
        <v>1863</v>
      </c>
      <c r="N1" s="22" t="s">
        <v>1864</v>
      </c>
      <c r="O1" s="22" t="s">
        <v>1865</v>
      </c>
      <c r="P1" s="22" t="s">
        <v>1866</v>
      </c>
      <c r="Q1" s="22" t="s">
        <v>1867</v>
      </c>
      <c r="R1" s="22" t="s">
        <v>1868</v>
      </c>
      <c r="S1" s="22" t="s">
        <v>1869</v>
      </c>
      <c r="T1" s="22" t="s">
        <v>1870</v>
      </c>
    </row>
    <row r="2" spans="1:20">
      <c r="A2" s="23" t="s">
        <v>334</v>
      </c>
      <c r="B2" s="23" t="s">
        <v>335</v>
      </c>
      <c r="C2" s="23" t="s">
        <v>1871</v>
      </c>
      <c r="D2" s="25">
        <v>85</v>
      </c>
      <c r="E2" s="25">
        <v>23</v>
      </c>
      <c r="F2" s="25">
        <v>80</v>
      </c>
      <c r="G2" s="25">
        <v>6</v>
      </c>
      <c r="H2" s="24">
        <v>0.80952380952380953</v>
      </c>
      <c r="I2" s="23">
        <v>6110.0910000000003</v>
      </c>
      <c r="J2" s="23">
        <v>7682.84</v>
      </c>
      <c r="K2" s="23">
        <v>9071.7633999999998</v>
      </c>
      <c r="L2" s="23">
        <v>7.423</v>
      </c>
      <c r="M2" s="23">
        <v>24.045999999999999</v>
      </c>
      <c r="N2" s="23">
        <v>138.02799999999999</v>
      </c>
      <c r="O2" s="24">
        <v>2.3529411764705882E-2</v>
      </c>
      <c r="P2" s="24">
        <v>1</v>
      </c>
      <c r="Q2" s="23">
        <v>5756.6601608497231</v>
      </c>
      <c r="R2" s="26">
        <v>5702.4798299240783</v>
      </c>
      <c r="S2" s="24">
        <v>0.18823529411764706</v>
      </c>
      <c r="T2" s="23">
        <v>61.505000000000003</v>
      </c>
    </row>
    <row r="3" spans="1:20">
      <c r="A3" s="23" t="s">
        <v>276</v>
      </c>
      <c r="B3" s="23" t="s">
        <v>280</v>
      </c>
      <c r="C3" s="23" t="s">
        <v>1871</v>
      </c>
      <c r="D3" s="25">
        <v>173</v>
      </c>
      <c r="E3" s="25">
        <v>44</v>
      </c>
      <c r="F3" s="25">
        <v>145</v>
      </c>
      <c r="G3" s="25">
        <v>6</v>
      </c>
      <c r="H3" s="24">
        <v>0.89637305699481862</v>
      </c>
      <c r="I3" s="23">
        <v>5792.7610000000004</v>
      </c>
      <c r="J3" s="23">
        <v>7391.1580000000004</v>
      </c>
      <c r="K3" s="23">
        <v>8769.4336000000003</v>
      </c>
      <c r="L3" s="23">
        <v>3.9780000000000002</v>
      </c>
      <c r="M3" s="23">
        <v>13.353999999999999</v>
      </c>
      <c r="N3" s="23">
        <v>97.704999999999998</v>
      </c>
      <c r="O3" s="24">
        <v>9.2485549132947972E-2</v>
      </c>
      <c r="P3" s="24">
        <v>1</v>
      </c>
      <c r="Q3" s="23">
        <v>5633.3639113431136</v>
      </c>
      <c r="R3" s="26">
        <v>5424.9620094205939</v>
      </c>
      <c r="S3" s="24">
        <v>0.20809248554913296</v>
      </c>
      <c r="T3" s="23">
        <v>62.35</v>
      </c>
    </row>
    <row r="4" spans="1:20">
      <c r="A4" s="23" t="s">
        <v>267</v>
      </c>
      <c r="B4" s="23" t="s">
        <v>273</v>
      </c>
      <c r="C4" s="23" t="s">
        <v>1871</v>
      </c>
      <c r="D4" s="25">
        <v>69</v>
      </c>
      <c r="E4" s="25">
        <v>19</v>
      </c>
      <c r="F4" s="25">
        <v>61</v>
      </c>
      <c r="G4" s="25">
        <v>6</v>
      </c>
      <c r="H4" s="24">
        <v>0.7752808988764045</v>
      </c>
      <c r="I4" s="23">
        <v>5608.7849999999999</v>
      </c>
      <c r="J4" s="23">
        <v>7630.6080000000002</v>
      </c>
      <c r="K4" s="23">
        <v>9080.1018000000004</v>
      </c>
      <c r="L4" s="23">
        <v>18.498999999999999</v>
      </c>
      <c r="M4" s="23">
        <v>60.972000000000001</v>
      </c>
      <c r="N4" s="23">
        <v>117.758</v>
      </c>
      <c r="O4" s="24">
        <v>0.10144927536231885</v>
      </c>
      <c r="P4" s="24">
        <v>1</v>
      </c>
      <c r="Q4" s="23">
        <v>5304.469066171021</v>
      </c>
      <c r="R4" s="26">
        <v>5089.2152489930668</v>
      </c>
      <c r="S4" s="24">
        <v>0.37681159420289856</v>
      </c>
      <c r="T4" s="23">
        <v>61.71</v>
      </c>
    </row>
    <row r="5" spans="1:20">
      <c r="A5" s="23" t="s">
        <v>294</v>
      </c>
      <c r="B5" s="23" t="s">
        <v>298</v>
      </c>
      <c r="C5" s="23" t="s">
        <v>1871</v>
      </c>
      <c r="D5" s="25">
        <v>106</v>
      </c>
      <c r="E5" s="25">
        <v>24</v>
      </c>
      <c r="F5" s="25">
        <v>80</v>
      </c>
      <c r="G5" s="25">
        <v>6</v>
      </c>
      <c r="H5" s="24">
        <v>0.84126984126984128</v>
      </c>
      <c r="I5" s="23">
        <v>5428.7285000000002</v>
      </c>
      <c r="J5" s="23">
        <v>8145.01</v>
      </c>
      <c r="K5" s="23">
        <v>9242.9475000000002</v>
      </c>
      <c r="L5" s="23">
        <v>23.808</v>
      </c>
      <c r="M5" s="23">
        <v>51.655749999999998</v>
      </c>
      <c r="N5" s="23">
        <v>240.61699999999999</v>
      </c>
      <c r="O5" s="24">
        <v>0.14150943396226415</v>
      </c>
      <c r="P5" s="24">
        <v>1</v>
      </c>
      <c r="Q5" s="23">
        <v>5242.35557848588</v>
      </c>
      <c r="R5" s="26">
        <v>4945.6184702696983</v>
      </c>
      <c r="S5" s="24">
        <v>0.22641509433962265</v>
      </c>
      <c r="T5" s="23">
        <v>61.47</v>
      </c>
    </row>
    <row r="6" spans="1:20">
      <c r="A6" s="23" t="s">
        <v>142</v>
      </c>
      <c r="B6" s="23" t="s">
        <v>146</v>
      </c>
      <c r="C6" s="23" t="s">
        <v>1871</v>
      </c>
      <c r="D6" s="25">
        <v>74</v>
      </c>
      <c r="E6" s="25">
        <v>11</v>
      </c>
      <c r="F6" s="25">
        <v>74</v>
      </c>
      <c r="G6" s="25">
        <v>6</v>
      </c>
      <c r="H6" s="24">
        <v>0.78723404255319152</v>
      </c>
      <c r="I6" s="23">
        <v>6493.0280000000002</v>
      </c>
      <c r="J6" s="23">
        <v>9371.6319999999996</v>
      </c>
      <c r="K6" s="23">
        <v>10330.1129</v>
      </c>
      <c r="L6" s="23">
        <v>13.9985</v>
      </c>
      <c r="M6" s="23">
        <v>21.865000000000002</v>
      </c>
      <c r="N6" s="23">
        <v>128.34399999999999</v>
      </c>
      <c r="O6" s="24">
        <v>0.44594594594594594</v>
      </c>
      <c r="P6" s="24">
        <v>1</v>
      </c>
      <c r="Q6" s="23">
        <v>6016.7622754172435</v>
      </c>
      <c r="R6" s="26">
        <v>4943.5019776401141</v>
      </c>
      <c r="S6" s="24">
        <v>0.33783783783783783</v>
      </c>
      <c r="T6" s="23">
        <v>65.53</v>
      </c>
    </row>
    <row r="7" spans="1:20">
      <c r="A7" s="23" t="s">
        <v>334</v>
      </c>
      <c r="B7" s="23" t="s">
        <v>337</v>
      </c>
      <c r="C7" s="23" t="s">
        <v>1871</v>
      </c>
      <c r="D7" s="25">
        <v>80</v>
      </c>
      <c r="E7" s="25">
        <v>21</v>
      </c>
      <c r="F7" s="25">
        <v>75</v>
      </c>
      <c r="G7" s="25">
        <v>6</v>
      </c>
      <c r="H7" s="24">
        <v>0.8</v>
      </c>
      <c r="I7" s="23">
        <v>5190.2924999999996</v>
      </c>
      <c r="J7" s="23">
        <v>6205.6880000000001</v>
      </c>
      <c r="K7" s="23">
        <v>7502.6436000000031</v>
      </c>
      <c r="L7" s="23">
        <v>2.7989999999999999</v>
      </c>
      <c r="M7" s="23">
        <v>14.902249999999999</v>
      </c>
      <c r="N7" s="23">
        <v>135.76249999999999</v>
      </c>
      <c r="O7" s="24">
        <v>3.7499999999999999E-2</v>
      </c>
      <c r="P7" s="24">
        <v>1</v>
      </c>
      <c r="Q7" s="23">
        <v>5003.1498188922078</v>
      </c>
      <c r="R7" s="26">
        <v>4928.1025716088243</v>
      </c>
      <c r="S7" s="24">
        <v>0.23749999999999999</v>
      </c>
      <c r="T7" s="23">
        <v>59.22</v>
      </c>
    </row>
    <row r="8" spans="1:20">
      <c r="A8" s="23" t="s">
        <v>303</v>
      </c>
      <c r="B8" s="23" t="s">
        <v>309</v>
      </c>
      <c r="C8" s="23" t="s">
        <v>1871</v>
      </c>
      <c r="D8" s="25">
        <v>117</v>
      </c>
      <c r="E8" s="25">
        <v>36</v>
      </c>
      <c r="F8" s="25">
        <v>91</v>
      </c>
      <c r="G8" s="25">
        <v>6</v>
      </c>
      <c r="H8" s="24">
        <v>0.85401459854014594</v>
      </c>
      <c r="I8" s="23">
        <v>5146.2820000000002</v>
      </c>
      <c r="J8" s="23">
        <v>6417.9459999999999</v>
      </c>
      <c r="K8" s="23">
        <v>8423.4756000000016</v>
      </c>
      <c r="L8" s="23">
        <v>7.601</v>
      </c>
      <c r="M8" s="23">
        <v>24.81</v>
      </c>
      <c r="N8" s="23">
        <v>96.379000000000005</v>
      </c>
      <c r="O8" s="24">
        <v>0.10256410256410256</v>
      </c>
      <c r="P8" s="24">
        <v>1</v>
      </c>
      <c r="Q8" s="23">
        <v>5016.1063933519772</v>
      </c>
      <c r="R8" s="26">
        <v>4810.3174131118967</v>
      </c>
      <c r="S8" s="24">
        <v>0.26495726495726496</v>
      </c>
      <c r="T8" s="23">
        <v>59.39</v>
      </c>
    </row>
    <row r="9" spans="1:20">
      <c r="A9" s="23" t="s">
        <v>236</v>
      </c>
      <c r="B9" s="23" t="s">
        <v>239</v>
      </c>
      <c r="C9" s="23" t="s">
        <v>1871</v>
      </c>
      <c r="D9" s="25">
        <v>236</v>
      </c>
      <c r="E9" s="25">
        <v>60</v>
      </c>
      <c r="F9" s="25">
        <v>169</v>
      </c>
      <c r="G9" s="25">
        <v>6</v>
      </c>
      <c r="H9" s="24">
        <v>0.921875</v>
      </c>
      <c r="I9" s="23">
        <v>4676.6129999999994</v>
      </c>
      <c r="J9" s="23">
        <v>6892.1107499999998</v>
      </c>
      <c r="K9" s="23">
        <v>9339</v>
      </c>
      <c r="L9" s="23">
        <v>71.225500000000011</v>
      </c>
      <c r="M9" s="23">
        <v>134.52525</v>
      </c>
      <c r="N9" s="23">
        <v>213.65199999999999</v>
      </c>
      <c r="O9" s="24">
        <v>6.3559322033898302E-2</v>
      </c>
      <c r="P9" s="24">
        <v>1</v>
      </c>
      <c r="Q9" s="23">
        <v>4643.6416011297679</v>
      </c>
      <c r="R9" s="26">
        <v>4525.5829163552817</v>
      </c>
      <c r="S9" s="24">
        <v>0.24152542372881355</v>
      </c>
      <c r="T9" s="23">
        <v>58</v>
      </c>
    </row>
    <row r="10" spans="1:20">
      <c r="A10" s="23" t="s">
        <v>162</v>
      </c>
      <c r="B10" s="23" t="s">
        <v>163</v>
      </c>
      <c r="C10" s="23" t="s">
        <v>1871</v>
      </c>
      <c r="D10" s="25">
        <v>147</v>
      </c>
      <c r="E10" s="25">
        <v>37</v>
      </c>
      <c r="F10" s="25">
        <v>118</v>
      </c>
      <c r="G10" s="25">
        <v>6</v>
      </c>
      <c r="H10" s="24">
        <v>0.88023952095808389</v>
      </c>
      <c r="I10" s="23">
        <v>5098.8509999999997</v>
      </c>
      <c r="J10" s="23">
        <v>6560.5249999999996</v>
      </c>
      <c r="K10" s="23">
        <v>8029.1270000000004</v>
      </c>
      <c r="L10" s="23">
        <v>51.006</v>
      </c>
      <c r="M10" s="23">
        <v>108.3575</v>
      </c>
      <c r="N10" s="23">
        <v>210.65299999999999</v>
      </c>
      <c r="O10" s="24">
        <v>0.25170068027210885</v>
      </c>
      <c r="P10" s="24">
        <v>1</v>
      </c>
      <c r="Q10" s="23">
        <v>4997.7405921510226</v>
      </c>
      <c r="R10" s="26">
        <v>4494.5667094038445</v>
      </c>
      <c r="S10" s="24">
        <v>0.24489795918367346</v>
      </c>
      <c r="T10" s="23">
        <v>61.115000000000002</v>
      </c>
    </row>
    <row r="11" spans="1:20">
      <c r="A11" s="23" t="s">
        <v>152</v>
      </c>
      <c r="B11" s="23" t="s">
        <v>153</v>
      </c>
      <c r="C11" s="23" t="s">
        <v>1871</v>
      </c>
      <c r="D11" s="25">
        <v>165</v>
      </c>
      <c r="E11" s="25">
        <v>49</v>
      </c>
      <c r="F11" s="25">
        <v>122</v>
      </c>
      <c r="G11" s="25">
        <v>6</v>
      </c>
      <c r="H11" s="24">
        <v>0.89189189189189189</v>
      </c>
      <c r="I11" s="23">
        <v>4916.5810000000001</v>
      </c>
      <c r="J11" s="23">
        <v>6113.7359999999999</v>
      </c>
      <c r="K11" s="23">
        <v>7780.0901999999996</v>
      </c>
      <c r="L11" s="23">
        <v>2.7810000000000001</v>
      </c>
      <c r="M11" s="23">
        <v>8.7309999999999999</v>
      </c>
      <c r="N11" s="23">
        <v>111.52200000000001</v>
      </c>
      <c r="O11" s="24">
        <v>0.22424242424242424</v>
      </c>
      <c r="P11" s="24">
        <v>1</v>
      </c>
      <c r="Q11" s="23">
        <v>4845.0132264282211</v>
      </c>
      <c r="R11" s="26">
        <v>4410.4302218758712</v>
      </c>
      <c r="S11" s="24">
        <v>0.22424242424242424</v>
      </c>
      <c r="T11" s="23">
        <v>58.47</v>
      </c>
    </row>
    <row r="12" spans="1:20">
      <c r="A12" s="23" t="s">
        <v>213</v>
      </c>
      <c r="B12" s="23" t="s">
        <v>218</v>
      </c>
      <c r="C12" s="23" t="s">
        <v>1871</v>
      </c>
      <c r="D12" s="25">
        <v>91</v>
      </c>
      <c r="E12" s="25">
        <v>30</v>
      </c>
      <c r="F12" s="25">
        <v>76</v>
      </c>
      <c r="G12" s="25">
        <v>6</v>
      </c>
      <c r="H12" s="24">
        <v>0.81981981981981977</v>
      </c>
      <c r="I12" s="23">
        <v>4710.6040000000003</v>
      </c>
      <c r="J12" s="23">
        <v>5604.0149999999994</v>
      </c>
      <c r="K12" s="23">
        <v>6846.1710000000003</v>
      </c>
      <c r="L12" s="23">
        <v>2.5990000000000002</v>
      </c>
      <c r="M12" s="23">
        <v>14.511500000000002</v>
      </c>
      <c r="N12" s="23">
        <v>73.593000000000004</v>
      </c>
      <c r="O12" s="24">
        <v>0.16483516483516483</v>
      </c>
      <c r="P12" s="24">
        <v>1</v>
      </c>
      <c r="Q12" s="23">
        <v>4628.4373503533416</v>
      </c>
      <c r="R12" s="26">
        <v>4323.2656569234514</v>
      </c>
      <c r="S12" s="24">
        <v>0.2967032967032967</v>
      </c>
      <c r="T12" s="23">
        <v>60.12</v>
      </c>
    </row>
    <row r="13" spans="1:20">
      <c r="A13" s="23" t="s">
        <v>224</v>
      </c>
      <c r="B13" s="23" t="s">
        <v>230</v>
      </c>
      <c r="C13" s="23" t="s">
        <v>1871</v>
      </c>
      <c r="D13" s="25">
        <v>78</v>
      </c>
      <c r="E13" s="25">
        <v>27</v>
      </c>
      <c r="F13" s="25">
        <v>65</v>
      </c>
      <c r="G13" s="25">
        <v>6</v>
      </c>
      <c r="H13" s="24">
        <v>0.79591836734693877</v>
      </c>
      <c r="I13" s="23">
        <v>4540.8410000000003</v>
      </c>
      <c r="J13" s="23">
        <v>5463.0389999999998</v>
      </c>
      <c r="K13" s="23">
        <v>6462.7879000000003</v>
      </c>
      <c r="L13" s="23">
        <v>15.7925</v>
      </c>
      <c r="M13" s="23">
        <v>33.629000000000005</v>
      </c>
      <c r="N13" s="23">
        <v>126.4465</v>
      </c>
      <c r="O13" s="24">
        <v>0.10256410256410256</v>
      </c>
      <c r="P13" s="24">
        <v>1</v>
      </c>
      <c r="Q13" s="23">
        <v>4482.4202029512335</v>
      </c>
      <c r="R13" s="26">
        <v>4298.5260407788755</v>
      </c>
      <c r="S13" s="24">
        <v>0.26923076923076922</v>
      </c>
      <c r="T13" s="23">
        <v>60.29</v>
      </c>
    </row>
    <row r="14" spans="1:20">
      <c r="A14" s="23" t="s">
        <v>174</v>
      </c>
      <c r="B14" s="23" t="s">
        <v>178</v>
      </c>
      <c r="C14" s="23" t="s">
        <v>1871</v>
      </c>
      <c r="D14" s="25">
        <v>93</v>
      </c>
      <c r="E14" s="25">
        <v>31</v>
      </c>
      <c r="F14" s="25">
        <v>86</v>
      </c>
      <c r="G14" s="25">
        <v>6</v>
      </c>
      <c r="H14" s="24">
        <v>0.82300884955752207</v>
      </c>
      <c r="I14" s="23">
        <v>4427.2659999999996</v>
      </c>
      <c r="J14" s="23">
        <v>5763.2920000000004</v>
      </c>
      <c r="K14" s="23">
        <v>8419.8723999999966</v>
      </c>
      <c r="L14" s="23">
        <v>5.0579999999999998</v>
      </c>
      <c r="M14" s="23">
        <v>11.766</v>
      </c>
      <c r="N14" s="23">
        <v>109.749</v>
      </c>
      <c r="O14" s="24">
        <v>6.4516129032258063E-2</v>
      </c>
      <c r="P14" s="24">
        <v>1</v>
      </c>
      <c r="Q14" s="23">
        <v>4396.7019459223084</v>
      </c>
      <c r="R14" s="26">
        <v>4283.2386698985074</v>
      </c>
      <c r="S14" s="24">
        <v>0.30107526881720431</v>
      </c>
      <c r="T14" s="23">
        <v>63.19</v>
      </c>
    </row>
    <row r="15" spans="1:20">
      <c r="A15" s="23" t="s">
        <v>322</v>
      </c>
      <c r="B15" s="23" t="s">
        <v>331</v>
      </c>
      <c r="C15" s="23" t="s">
        <v>1871</v>
      </c>
      <c r="D15" s="25">
        <v>76</v>
      </c>
      <c r="E15" s="25">
        <v>30</v>
      </c>
      <c r="F15" s="25">
        <v>68</v>
      </c>
      <c r="G15" s="25">
        <v>6</v>
      </c>
      <c r="H15" s="24">
        <v>0.79166666666666663</v>
      </c>
      <c r="I15" s="23">
        <v>4520.4395000000004</v>
      </c>
      <c r="J15" s="23">
        <v>5325.5542500000001</v>
      </c>
      <c r="K15" s="23">
        <v>7242.0504999999994</v>
      </c>
      <c r="L15" s="23">
        <v>55.8215</v>
      </c>
      <c r="M15" s="23">
        <v>101.0985</v>
      </c>
      <c r="N15" s="23">
        <v>297.22249999999997</v>
      </c>
      <c r="O15" s="24">
        <v>0.10526315789473684</v>
      </c>
      <c r="P15" s="24">
        <v>1</v>
      </c>
      <c r="Q15" s="23">
        <v>4465.0519155127176</v>
      </c>
      <c r="R15" s="26">
        <v>4277.0497295963924</v>
      </c>
      <c r="S15" s="24">
        <v>0.14473684210526316</v>
      </c>
      <c r="T15" s="23">
        <v>61.94</v>
      </c>
    </row>
    <row r="16" spans="1:20">
      <c r="A16" s="23" t="s">
        <v>142</v>
      </c>
      <c r="B16" s="23" t="s">
        <v>143</v>
      </c>
      <c r="C16" s="23" t="s">
        <v>1871</v>
      </c>
      <c r="D16" s="25">
        <v>105</v>
      </c>
      <c r="E16" s="25">
        <v>36</v>
      </c>
      <c r="F16" s="25">
        <v>89</v>
      </c>
      <c r="G16" s="25">
        <v>6</v>
      </c>
      <c r="H16" s="24">
        <v>0.84</v>
      </c>
      <c r="I16" s="23">
        <v>4542.2269999999999</v>
      </c>
      <c r="J16" s="23">
        <v>5425.9960000000001</v>
      </c>
      <c r="K16" s="23">
        <v>6856.0712000000003</v>
      </c>
      <c r="L16" s="23">
        <v>36.701999999999998</v>
      </c>
      <c r="M16" s="23">
        <v>56.356000000000002</v>
      </c>
      <c r="N16" s="23">
        <v>94.418999999999997</v>
      </c>
      <c r="O16" s="24">
        <v>0.14285714285714285</v>
      </c>
      <c r="P16" s="24">
        <v>1</v>
      </c>
      <c r="Q16" s="23">
        <v>4496.203335113767</v>
      </c>
      <c r="R16" s="26">
        <v>4239.277430250123</v>
      </c>
      <c r="S16" s="24">
        <v>0.31428571428571428</v>
      </c>
      <c r="T16" s="23">
        <v>60.59</v>
      </c>
    </row>
    <row r="17" spans="1:20">
      <c r="A17" s="23" t="s">
        <v>236</v>
      </c>
      <c r="B17" s="23" t="s">
        <v>237</v>
      </c>
      <c r="C17" s="23" t="s">
        <v>1871</v>
      </c>
      <c r="D17" s="25">
        <v>48</v>
      </c>
      <c r="E17" s="25">
        <v>18</v>
      </c>
      <c r="F17" s="25">
        <v>43</v>
      </c>
      <c r="G17" s="25">
        <v>6</v>
      </c>
      <c r="H17" s="24">
        <v>0.70588235294117652</v>
      </c>
      <c r="I17" s="23">
        <v>4541.8065000000006</v>
      </c>
      <c r="J17" s="23">
        <v>5425.0380000000005</v>
      </c>
      <c r="K17" s="23">
        <v>7003.8987000000016</v>
      </c>
      <c r="L17" s="23">
        <v>29.64</v>
      </c>
      <c r="M17" s="23">
        <v>68.219750000000005</v>
      </c>
      <c r="N17" s="23">
        <v>228.61799999999999</v>
      </c>
      <c r="O17" s="24">
        <v>0.125</v>
      </c>
      <c r="P17" s="24">
        <v>1</v>
      </c>
      <c r="Q17" s="23">
        <v>4457.3278513120722</v>
      </c>
      <c r="R17" s="26">
        <v>4234.4614587464685</v>
      </c>
      <c r="S17" s="24">
        <v>0.3125</v>
      </c>
      <c r="T17" s="23">
        <v>59</v>
      </c>
    </row>
    <row r="18" spans="1:20">
      <c r="A18" s="23" t="s">
        <v>312</v>
      </c>
      <c r="B18" s="23" t="s">
        <v>313</v>
      </c>
      <c r="C18" s="23" t="s">
        <v>1871</v>
      </c>
      <c r="D18" s="25">
        <v>184</v>
      </c>
      <c r="E18" s="25">
        <v>65</v>
      </c>
      <c r="F18" s="25">
        <v>148</v>
      </c>
      <c r="G18" s="25">
        <v>6</v>
      </c>
      <c r="H18" s="24">
        <v>0.90196078431372551</v>
      </c>
      <c r="I18" s="23">
        <v>4385.9519999999993</v>
      </c>
      <c r="J18" s="23">
        <v>5880.634</v>
      </c>
      <c r="K18" s="23">
        <v>7854.0432000000001</v>
      </c>
      <c r="L18" s="23">
        <v>81.840499999999992</v>
      </c>
      <c r="M18" s="23">
        <v>187.14375000000001</v>
      </c>
      <c r="N18" s="23">
        <v>196.791</v>
      </c>
      <c r="O18" s="24">
        <v>8.1521739130434784E-2</v>
      </c>
      <c r="P18" s="24">
        <v>1</v>
      </c>
      <c r="Q18" s="23">
        <v>4373.0723033785325</v>
      </c>
      <c r="R18" s="26">
        <v>4230.4721195727107</v>
      </c>
      <c r="S18" s="24">
        <v>0.25543478260869568</v>
      </c>
      <c r="T18" s="23">
        <v>60.5</v>
      </c>
    </row>
    <row r="19" spans="1:20">
      <c r="A19" s="23" t="s">
        <v>256</v>
      </c>
      <c r="B19" s="23" t="s">
        <v>262</v>
      </c>
      <c r="C19" s="23" t="s">
        <v>1871</v>
      </c>
      <c r="D19" s="25">
        <v>14</v>
      </c>
      <c r="E19" s="25">
        <v>5</v>
      </c>
      <c r="F19" s="25">
        <v>14</v>
      </c>
      <c r="G19" s="25">
        <v>6</v>
      </c>
      <c r="H19" s="24">
        <v>0.41176470588235292</v>
      </c>
      <c r="I19" s="23">
        <v>4164.241</v>
      </c>
      <c r="J19" s="23">
        <v>5915.34375</v>
      </c>
      <c r="K19" s="23">
        <v>11235.875600000001</v>
      </c>
      <c r="L19" s="23">
        <v>56.233499999999999</v>
      </c>
      <c r="M19" s="23">
        <v>73.445250000000001</v>
      </c>
      <c r="N19" s="23">
        <v>192.17000000000002</v>
      </c>
      <c r="O19" s="24">
        <v>0</v>
      </c>
      <c r="P19" s="24">
        <v>1</v>
      </c>
      <c r="Q19" s="23">
        <v>4217.3810555653199</v>
      </c>
      <c r="R19" s="26">
        <v>4217.3810555653199</v>
      </c>
      <c r="S19" s="24">
        <v>0.21428571428571427</v>
      </c>
      <c r="T19" s="23">
        <v>62.13</v>
      </c>
    </row>
    <row r="20" spans="1:20">
      <c r="A20" s="23" t="s">
        <v>183</v>
      </c>
      <c r="B20" s="23" t="s">
        <v>192</v>
      </c>
      <c r="C20" s="23" t="s">
        <v>1871</v>
      </c>
      <c r="D20" s="25">
        <v>230</v>
      </c>
      <c r="E20" s="25">
        <v>62</v>
      </c>
      <c r="F20" s="25">
        <v>174</v>
      </c>
      <c r="G20" s="25">
        <v>6</v>
      </c>
      <c r="H20" s="24">
        <v>0.92</v>
      </c>
      <c r="I20" s="23">
        <v>4451.8505000000005</v>
      </c>
      <c r="J20" s="23">
        <v>5735.6450000000004</v>
      </c>
      <c r="K20" s="23">
        <v>6626.0010000000002</v>
      </c>
      <c r="L20" s="23">
        <v>43.718500000000006</v>
      </c>
      <c r="M20" s="23">
        <v>83.173000000000002</v>
      </c>
      <c r="N20" s="23">
        <v>202.10550000000001</v>
      </c>
      <c r="O20" s="24">
        <v>0.14782608695652175</v>
      </c>
      <c r="P20" s="24">
        <v>1</v>
      </c>
      <c r="Q20" s="23">
        <v>4436.0687875568838</v>
      </c>
      <c r="R20" s="26">
        <v>4173.7621114230851</v>
      </c>
      <c r="S20" s="24">
        <v>0.2565217391304348</v>
      </c>
      <c r="T20" s="23">
        <v>60.88</v>
      </c>
    </row>
    <row r="21" spans="1:20">
      <c r="A21" s="23" t="s">
        <v>162</v>
      </c>
      <c r="B21" s="23" t="s">
        <v>166</v>
      </c>
      <c r="C21" s="23" t="s">
        <v>1871</v>
      </c>
      <c r="D21" s="25">
        <v>20</v>
      </c>
      <c r="E21" s="25">
        <v>8</v>
      </c>
      <c r="F21" s="25">
        <v>20</v>
      </c>
      <c r="G21" s="25">
        <v>6</v>
      </c>
      <c r="H21" s="24">
        <v>0.5</v>
      </c>
      <c r="I21" s="23">
        <v>4220.5225</v>
      </c>
      <c r="J21" s="23">
        <v>4521.4369999999999</v>
      </c>
      <c r="K21" s="23">
        <v>5226.7727000000004</v>
      </c>
      <c r="L21" s="23">
        <v>15.499500000000001</v>
      </c>
      <c r="M21" s="23">
        <v>26.3245</v>
      </c>
      <c r="N21" s="23">
        <v>168.3295</v>
      </c>
      <c r="O21" s="24">
        <v>0.05</v>
      </c>
      <c r="P21" s="24">
        <v>1</v>
      </c>
      <c r="Q21" s="23">
        <v>4237.5507972305222</v>
      </c>
      <c r="R21" s="26">
        <v>4152.7997812859121</v>
      </c>
      <c r="S21" s="24">
        <v>0.35</v>
      </c>
      <c r="T21" s="23">
        <v>61.76</v>
      </c>
    </row>
    <row r="22" spans="1:20">
      <c r="A22" s="23" t="s">
        <v>285</v>
      </c>
      <c r="B22" s="23" t="s">
        <v>286</v>
      </c>
      <c r="C22" s="23" t="s">
        <v>1871</v>
      </c>
      <c r="D22" s="25">
        <v>20</v>
      </c>
      <c r="E22" s="25">
        <v>7</v>
      </c>
      <c r="F22" s="25">
        <v>20</v>
      </c>
      <c r="G22" s="25">
        <v>6</v>
      </c>
      <c r="H22" s="24">
        <v>0.5</v>
      </c>
      <c r="I22" s="23">
        <v>4394.5589999999993</v>
      </c>
      <c r="J22" s="23">
        <v>5253.0927499999998</v>
      </c>
      <c r="K22" s="23">
        <v>6227.7266000000009</v>
      </c>
      <c r="L22" s="23">
        <v>26.456499999999998</v>
      </c>
      <c r="M22" s="23">
        <v>69.347000000000008</v>
      </c>
      <c r="N22" s="23">
        <v>219.53399999999999</v>
      </c>
      <c r="O22" s="24">
        <v>0.15</v>
      </c>
      <c r="P22" s="24">
        <v>1</v>
      </c>
      <c r="Q22" s="23">
        <v>4324.5690472305214</v>
      </c>
      <c r="R22" s="26">
        <v>4065.0949043966898</v>
      </c>
      <c r="S22" s="24">
        <v>0.2</v>
      </c>
      <c r="T22" s="23">
        <v>53.305</v>
      </c>
    </row>
    <row r="23" spans="1:20">
      <c r="A23" s="23" t="s">
        <v>183</v>
      </c>
      <c r="B23" s="23" t="s">
        <v>189</v>
      </c>
      <c r="C23" s="23" t="s">
        <v>1871</v>
      </c>
      <c r="D23" s="25">
        <v>12</v>
      </c>
      <c r="E23" s="25">
        <v>9</v>
      </c>
      <c r="F23" s="25">
        <v>11</v>
      </c>
      <c r="G23" s="25">
        <v>6</v>
      </c>
      <c r="H23" s="24">
        <v>0.375</v>
      </c>
      <c r="I23" s="23">
        <v>3715.7460000000001</v>
      </c>
      <c r="J23" s="23">
        <v>4156.7327500000001</v>
      </c>
      <c r="K23" s="23">
        <v>4203.5290000000005</v>
      </c>
      <c r="L23" s="23">
        <v>40.715499999999999</v>
      </c>
      <c r="M23" s="23">
        <v>72.676749999999998</v>
      </c>
      <c r="N23" s="23">
        <v>120.6555</v>
      </c>
      <c r="O23" s="24">
        <v>0</v>
      </c>
      <c r="P23" s="24">
        <v>1</v>
      </c>
      <c r="Q23" s="23">
        <v>4052.5166840381521</v>
      </c>
      <c r="R23" s="26">
        <v>4052.5166840381521</v>
      </c>
      <c r="S23" s="24">
        <v>0.25</v>
      </c>
      <c r="T23" s="23">
        <v>62</v>
      </c>
    </row>
    <row r="24" spans="1:20">
      <c r="A24" s="23" t="s">
        <v>152</v>
      </c>
      <c r="B24" s="23" t="s">
        <v>156</v>
      </c>
      <c r="C24" s="23" t="s">
        <v>1871</v>
      </c>
      <c r="D24" s="25">
        <v>97</v>
      </c>
      <c r="E24" s="25">
        <v>40</v>
      </c>
      <c r="F24" s="25">
        <v>89</v>
      </c>
      <c r="G24" s="25">
        <v>6</v>
      </c>
      <c r="H24" s="24">
        <v>0.82905982905982911</v>
      </c>
      <c r="I24" s="23">
        <v>4036.3780000000002</v>
      </c>
      <c r="J24" s="23">
        <v>4989.0349999999999</v>
      </c>
      <c r="K24" s="23">
        <v>6576.0722000000005</v>
      </c>
      <c r="L24" s="23">
        <v>63.408000000000001</v>
      </c>
      <c r="M24" s="23">
        <v>121.029</v>
      </c>
      <c r="N24" s="23">
        <v>145.28399999999999</v>
      </c>
      <c r="O24" s="24">
        <v>2.0618556701030927E-2</v>
      </c>
      <c r="P24" s="24">
        <v>1</v>
      </c>
      <c r="Q24" s="23">
        <v>4073.6773323865032</v>
      </c>
      <c r="R24" s="26">
        <v>4040.0799935626969</v>
      </c>
      <c r="S24" s="24">
        <v>0.29896907216494845</v>
      </c>
      <c r="T24" s="23">
        <v>58.89</v>
      </c>
    </row>
    <row r="25" spans="1:20">
      <c r="A25" s="23" t="s">
        <v>303</v>
      </c>
      <c r="B25" s="23" t="s">
        <v>306</v>
      </c>
      <c r="C25" s="23" t="s">
        <v>1871</v>
      </c>
      <c r="D25" s="25">
        <v>41</v>
      </c>
      <c r="E25" s="25">
        <v>12</v>
      </c>
      <c r="F25" s="25">
        <v>38</v>
      </c>
      <c r="G25" s="25">
        <v>6</v>
      </c>
      <c r="H25" s="24">
        <v>0.67213114754098358</v>
      </c>
      <c r="I25" s="23">
        <v>4130.84</v>
      </c>
      <c r="J25" s="23">
        <v>4943.0630000000001</v>
      </c>
      <c r="K25" s="23">
        <v>5219.6229999999996</v>
      </c>
      <c r="L25" s="23">
        <v>1.1910000000000001</v>
      </c>
      <c r="M25" s="23">
        <v>15.711</v>
      </c>
      <c r="N25" s="23">
        <v>107.58</v>
      </c>
      <c r="O25" s="24">
        <v>9.7560975609756101E-2</v>
      </c>
      <c r="P25" s="24">
        <v>1</v>
      </c>
      <c r="Q25" s="23">
        <v>4171.4101949052601</v>
      </c>
      <c r="R25" s="26">
        <v>4008.6234555918841</v>
      </c>
      <c r="S25" s="24">
        <v>0.41463414634146339</v>
      </c>
      <c r="T25" s="23">
        <v>62.88</v>
      </c>
    </row>
    <row r="26" spans="1:20">
      <c r="A26" s="23" t="s">
        <v>194</v>
      </c>
      <c r="B26" s="23" t="s">
        <v>195</v>
      </c>
      <c r="C26" s="23" t="s">
        <v>1871</v>
      </c>
      <c r="D26" s="25">
        <v>89</v>
      </c>
      <c r="E26" s="25">
        <v>25</v>
      </c>
      <c r="F26" s="25">
        <v>78</v>
      </c>
      <c r="G26" s="25">
        <v>6</v>
      </c>
      <c r="H26" s="24">
        <v>0.8165137614678899</v>
      </c>
      <c r="I26" s="23">
        <v>4035.3049999999998</v>
      </c>
      <c r="J26" s="23">
        <v>6613.59</v>
      </c>
      <c r="K26" s="23">
        <v>10270.181600000004</v>
      </c>
      <c r="L26" s="23">
        <v>32.115000000000002</v>
      </c>
      <c r="M26" s="23">
        <v>56.783999999999999</v>
      </c>
      <c r="N26" s="23">
        <v>244.23400000000001</v>
      </c>
      <c r="O26" s="24">
        <v>5.6179775280898875E-2</v>
      </c>
      <c r="P26" s="24">
        <v>1</v>
      </c>
      <c r="Q26" s="23">
        <v>4075.5387788001913</v>
      </c>
      <c r="R26" s="26">
        <v>3983.9536377035574</v>
      </c>
      <c r="S26" s="24">
        <v>0.25842696629213485</v>
      </c>
      <c r="T26" s="23">
        <v>61.75</v>
      </c>
    </row>
    <row r="27" spans="1:20">
      <c r="A27" s="23" t="s">
        <v>294</v>
      </c>
      <c r="B27" s="23" t="s">
        <v>300</v>
      </c>
      <c r="C27" s="23" t="s">
        <v>1871</v>
      </c>
      <c r="D27" s="25">
        <v>154</v>
      </c>
      <c r="E27" s="25">
        <v>45</v>
      </c>
      <c r="F27" s="25">
        <v>117</v>
      </c>
      <c r="G27" s="25">
        <v>6</v>
      </c>
      <c r="H27" s="24">
        <v>0.88505747126436785</v>
      </c>
      <c r="I27" s="23">
        <v>4053.3310000000001</v>
      </c>
      <c r="J27" s="23">
        <v>4940.8804999999993</v>
      </c>
      <c r="K27" s="23">
        <v>5917.5871000000025</v>
      </c>
      <c r="L27" s="23">
        <v>11.516999999999999</v>
      </c>
      <c r="M27" s="23">
        <v>32.787999999999997</v>
      </c>
      <c r="N27" s="23">
        <v>185.17399999999998</v>
      </c>
      <c r="O27" s="24">
        <v>8.4415584415584416E-2</v>
      </c>
      <c r="P27" s="24">
        <v>1</v>
      </c>
      <c r="Q27" s="23">
        <v>4076.4629648805799</v>
      </c>
      <c r="R27" s="26">
        <v>3938.8161634690277</v>
      </c>
      <c r="S27" s="24">
        <v>0.32467532467532467</v>
      </c>
      <c r="T27" s="23">
        <v>60.195</v>
      </c>
    </row>
    <row r="28" spans="1:20">
      <c r="A28" s="23" t="s">
        <v>130</v>
      </c>
      <c r="B28" s="23" t="s">
        <v>138</v>
      </c>
      <c r="C28" s="23" t="s">
        <v>1871</v>
      </c>
      <c r="D28" s="25">
        <v>28</v>
      </c>
      <c r="E28" s="25">
        <v>10</v>
      </c>
      <c r="F28" s="25">
        <v>25</v>
      </c>
      <c r="G28" s="25">
        <v>6</v>
      </c>
      <c r="H28" s="24">
        <v>0.58333333333333337</v>
      </c>
      <c r="I28" s="23">
        <v>3761.9414999999999</v>
      </c>
      <c r="J28" s="23">
        <v>4691.1534999999994</v>
      </c>
      <c r="K28" s="23">
        <v>5698.6068999999998</v>
      </c>
      <c r="L28" s="23">
        <v>25.435500000000001</v>
      </c>
      <c r="M28" s="23">
        <v>45.757249999999999</v>
      </c>
      <c r="N28" s="23">
        <v>115.083</v>
      </c>
      <c r="O28" s="24">
        <v>3.5714285714285712E-2</v>
      </c>
      <c r="P28" s="24">
        <v>1</v>
      </c>
      <c r="Q28" s="23">
        <v>3967.2071643587678</v>
      </c>
      <c r="R28" s="26">
        <v>3910.5327762964998</v>
      </c>
      <c r="S28" s="24">
        <v>0.35714285714285715</v>
      </c>
      <c r="T28" s="23">
        <v>62.94</v>
      </c>
    </row>
    <row r="29" spans="1:20">
      <c r="A29" s="23" t="s">
        <v>194</v>
      </c>
      <c r="B29" s="23" t="s">
        <v>198</v>
      </c>
      <c r="C29" s="23" t="s">
        <v>1871</v>
      </c>
      <c r="D29" s="25">
        <v>201</v>
      </c>
      <c r="E29" s="25">
        <v>62</v>
      </c>
      <c r="F29" s="25">
        <v>154</v>
      </c>
      <c r="G29" s="25">
        <v>6</v>
      </c>
      <c r="H29" s="24">
        <v>0.9095022624434389</v>
      </c>
      <c r="I29" s="23">
        <v>3996.038</v>
      </c>
      <c r="J29" s="23">
        <v>5335.1030000000001</v>
      </c>
      <c r="K29" s="23">
        <v>7336.8940000000002</v>
      </c>
      <c r="L29" s="23">
        <v>30.41</v>
      </c>
      <c r="M29" s="23">
        <v>60.856000000000002</v>
      </c>
      <c r="N29" s="23">
        <v>222.24299999999999</v>
      </c>
      <c r="O29" s="24">
        <v>6.965174129353234E-2</v>
      </c>
      <c r="P29" s="24">
        <v>1</v>
      </c>
      <c r="Q29" s="23">
        <v>4019.4353841141215</v>
      </c>
      <c r="R29" s="26">
        <v>3907.4511147059666</v>
      </c>
      <c r="S29" s="24">
        <v>0.24875621890547264</v>
      </c>
      <c r="T29" s="23">
        <v>61</v>
      </c>
    </row>
    <row r="30" spans="1:20">
      <c r="A30" s="23" t="s">
        <v>130</v>
      </c>
      <c r="B30" s="23" t="s">
        <v>134</v>
      </c>
      <c r="C30" s="23" t="s">
        <v>1871</v>
      </c>
      <c r="D30" s="25">
        <v>114</v>
      </c>
      <c r="E30" s="25">
        <v>27</v>
      </c>
      <c r="F30" s="25">
        <v>101</v>
      </c>
      <c r="G30" s="25">
        <v>6</v>
      </c>
      <c r="H30" s="24">
        <v>0.85074626865671643</v>
      </c>
      <c r="I30" s="23">
        <v>4006.0415000000003</v>
      </c>
      <c r="J30" s="23">
        <v>6421.0142500000002</v>
      </c>
      <c r="K30" s="23">
        <v>7130.535100000001</v>
      </c>
      <c r="L30" s="23">
        <v>29.9115</v>
      </c>
      <c r="M30" s="23">
        <v>253.85749999999999</v>
      </c>
      <c r="N30" s="23">
        <v>227.09449999999998</v>
      </c>
      <c r="O30" s="24">
        <v>8.771929824561403E-2</v>
      </c>
      <c r="P30" s="24">
        <v>1</v>
      </c>
      <c r="Q30" s="23">
        <v>4043.1366633523949</v>
      </c>
      <c r="R30" s="26">
        <v>3901.2722190242407</v>
      </c>
      <c r="S30" s="24">
        <v>0.24561403508771928</v>
      </c>
      <c r="T30" s="23">
        <v>60.44</v>
      </c>
    </row>
    <row r="31" spans="1:20">
      <c r="A31" s="23" t="s">
        <v>213</v>
      </c>
      <c r="B31" s="23" t="s">
        <v>221</v>
      </c>
      <c r="C31" s="23" t="s">
        <v>1871</v>
      </c>
      <c r="D31" s="25">
        <v>5</v>
      </c>
      <c r="E31" s="25">
        <v>3</v>
      </c>
      <c r="F31" s="25">
        <v>5</v>
      </c>
      <c r="G31" s="25">
        <v>3</v>
      </c>
      <c r="H31" s="24">
        <v>0.2</v>
      </c>
      <c r="I31" s="23">
        <v>2476.9560000000001</v>
      </c>
      <c r="J31" s="23">
        <v>2484.9029999999998</v>
      </c>
      <c r="K31" s="23">
        <v>3061.2546000000002</v>
      </c>
      <c r="L31" s="23">
        <v>0.65700000000000003</v>
      </c>
      <c r="M31" s="23">
        <v>2.2250000000000001</v>
      </c>
      <c r="N31" s="23">
        <v>122.97499999999999</v>
      </c>
      <c r="O31" s="24">
        <v>0</v>
      </c>
      <c r="P31" s="24">
        <v>1</v>
      </c>
      <c r="Q31" s="23">
        <v>3899.0544755688352</v>
      </c>
      <c r="R31" s="26">
        <v>3899.0544755688352</v>
      </c>
      <c r="S31" s="24">
        <v>0.6</v>
      </c>
      <c r="T31" s="23">
        <v>60.56</v>
      </c>
    </row>
    <row r="32" spans="1:20">
      <c r="A32" s="23" t="s">
        <v>256</v>
      </c>
      <c r="B32" s="23" t="s">
        <v>264</v>
      </c>
      <c r="C32" s="23" t="s">
        <v>1871</v>
      </c>
      <c r="D32" s="25">
        <v>27</v>
      </c>
      <c r="E32" s="25">
        <v>15</v>
      </c>
      <c r="F32" s="25">
        <v>26</v>
      </c>
      <c r="G32" s="25">
        <v>6</v>
      </c>
      <c r="H32" s="24">
        <v>0.57446808510638303</v>
      </c>
      <c r="I32" s="23">
        <v>3641.2379999999998</v>
      </c>
      <c r="J32" s="23">
        <v>4137.3104999999996</v>
      </c>
      <c r="K32" s="23">
        <v>4386.5291999999999</v>
      </c>
      <c r="L32" s="23">
        <v>197.947</v>
      </c>
      <c r="M32" s="23">
        <v>276.05</v>
      </c>
      <c r="N32" s="23">
        <v>339.44900000000001</v>
      </c>
      <c r="O32" s="24">
        <v>3.7037037037037035E-2</v>
      </c>
      <c r="P32" s="24">
        <v>1</v>
      </c>
      <c r="Q32" s="23">
        <v>3902.2342104089548</v>
      </c>
      <c r="R32" s="26">
        <v>3844.4233332177109</v>
      </c>
      <c r="S32" s="24">
        <v>0.29629629629629628</v>
      </c>
      <c r="T32" s="23">
        <v>60.144999999999996</v>
      </c>
    </row>
    <row r="33" spans="1:20">
      <c r="A33" s="23" t="s">
        <v>224</v>
      </c>
      <c r="B33" s="23" t="s">
        <v>227</v>
      </c>
      <c r="C33" s="23" t="s">
        <v>1871</v>
      </c>
      <c r="D33" s="25">
        <v>321</v>
      </c>
      <c r="E33" s="25">
        <v>82</v>
      </c>
      <c r="F33" s="25">
        <v>196</v>
      </c>
      <c r="G33" s="25">
        <v>6</v>
      </c>
      <c r="H33" s="24">
        <v>0.94134897360703818</v>
      </c>
      <c r="I33" s="23">
        <v>3911.8</v>
      </c>
      <c r="J33" s="23">
        <v>4829.5969999999998</v>
      </c>
      <c r="K33" s="23">
        <v>5880.8670000000002</v>
      </c>
      <c r="L33" s="23">
        <v>49.875999999999998</v>
      </c>
      <c r="M33" s="23">
        <v>87.691000000000003</v>
      </c>
      <c r="N33" s="23">
        <v>200.303</v>
      </c>
      <c r="O33" s="24">
        <v>6.5420560747663545E-2</v>
      </c>
      <c r="P33" s="24">
        <v>1</v>
      </c>
      <c r="Q33" s="23">
        <v>3931.9043457161906</v>
      </c>
      <c r="R33" s="26">
        <v>3829.0133908750195</v>
      </c>
      <c r="S33" s="24">
        <v>0.23987538940809969</v>
      </c>
      <c r="T33" s="23">
        <v>60.95</v>
      </c>
    </row>
    <row r="34" spans="1:20">
      <c r="A34" s="23" t="s">
        <v>244</v>
      </c>
      <c r="B34" s="23" t="s">
        <v>245</v>
      </c>
      <c r="C34" s="23" t="s">
        <v>1871</v>
      </c>
      <c r="D34" s="25">
        <v>105</v>
      </c>
      <c r="E34" s="25">
        <v>34</v>
      </c>
      <c r="F34" s="25">
        <v>77</v>
      </c>
      <c r="G34" s="25">
        <v>6</v>
      </c>
      <c r="H34" s="24">
        <v>0.84</v>
      </c>
      <c r="I34" s="23">
        <v>3866.0210000000002</v>
      </c>
      <c r="J34" s="23">
        <v>4926.0569999999998</v>
      </c>
      <c r="K34" s="23">
        <v>6110.4387999999999</v>
      </c>
      <c r="L34" s="23">
        <v>96.76</v>
      </c>
      <c r="M34" s="23">
        <v>258.54899999999998</v>
      </c>
      <c r="N34" s="23">
        <v>176.732</v>
      </c>
      <c r="O34" s="24">
        <v>6.6666666666666666E-2</v>
      </c>
      <c r="P34" s="24">
        <v>1</v>
      </c>
      <c r="Q34" s="23">
        <v>3928.1902951137672</v>
      </c>
      <c r="R34" s="26">
        <v>3823.4385539107334</v>
      </c>
      <c r="S34" s="24">
        <v>0.34285714285714286</v>
      </c>
      <c r="T34" s="23">
        <v>58.924999999999997</v>
      </c>
    </row>
    <row r="35" spans="1:20">
      <c r="A35" s="23" t="s">
        <v>174</v>
      </c>
      <c r="B35" s="23" t="s">
        <v>175</v>
      </c>
      <c r="C35" s="23" t="s">
        <v>1871</v>
      </c>
      <c r="D35" s="25">
        <v>24</v>
      </c>
      <c r="E35" s="25">
        <v>14</v>
      </c>
      <c r="F35" s="25">
        <v>24</v>
      </c>
      <c r="G35" s="25">
        <v>6</v>
      </c>
      <c r="H35" s="24">
        <v>0.54545454545454541</v>
      </c>
      <c r="I35" s="23">
        <v>3353.962</v>
      </c>
      <c r="J35" s="23">
        <v>4072.7694999999999</v>
      </c>
      <c r="K35" s="23">
        <v>5013.2406000000001</v>
      </c>
      <c r="L35" s="23">
        <v>8.6654999999999998</v>
      </c>
      <c r="M35" s="23">
        <v>56.798250000000003</v>
      </c>
      <c r="N35" s="23">
        <v>135.44749999999999</v>
      </c>
      <c r="O35" s="24">
        <v>0</v>
      </c>
      <c r="P35" s="24">
        <v>1</v>
      </c>
      <c r="Q35" s="23">
        <v>3763.3334065732015</v>
      </c>
      <c r="R35" s="26">
        <v>3763.3334065732015</v>
      </c>
      <c r="S35" s="24">
        <v>0.16666666666666666</v>
      </c>
      <c r="T35" s="23">
        <v>61.2</v>
      </c>
    </row>
    <row r="36" spans="1:20">
      <c r="A36" s="23" t="s">
        <v>322</v>
      </c>
      <c r="B36" s="23" t="s">
        <v>323</v>
      </c>
      <c r="C36" s="23" t="s">
        <v>1871</v>
      </c>
      <c r="D36" s="25">
        <v>26</v>
      </c>
      <c r="E36" s="25">
        <v>11</v>
      </c>
      <c r="F36" s="25">
        <v>26</v>
      </c>
      <c r="G36" s="25">
        <v>6</v>
      </c>
      <c r="H36" s="24">
        <v>0.56521739130434778</v>
      </c>
      <c r="I36" s="23">
        <v>3521.431</v>
      </c>
      <c r="J36" s="23">
        <v>4377.0529999999999</v>
      </c>
      <c r="K36" s="23">
        <v>5622.6549999999997</v>
      </c>
      <c r="L36" s="23">
        <v>28.734999999999999</v>
      </c>
      <c r="M36" s="23">
        <v>41.112749999999998</v>
      </c>
      <c r="N36" s="23">
        <v>199.31650000000002</v>
      </c>
      <c r="O36" s="24">
        <v>7.6923076923076927E-2</v>
      </c>
      <c r="P36" s="24">
        <v>1</v>
      </c>
      <c r="Q36" s="23">
        <v>3840.1910410700193</v>
      </c>
      <c r="R36" s="26">
        <v>3722.0313167294034</v>
      </c>
      <c r="S36" s="24">
        <v>0.15384615384615385</v>
      </c>
      <c r="T36" s="23">
        <v>61.49</v>
      </c>
    </row>
    <row r="37" spans="1:20">
      <c r="A37" s="23" t="s">
        <v>244</v>
      </c>
      <c r="B37" s="23" t="s">
        <v>251</v>
      </c>
      <c r="C37" s="23" t="s">
        <v>1871</v>
      </c>
      <c r="D37" s="25">
        <v>26</v>
      </c>
      <c r="E37" s="25">
        <v>8</v>
      </c>
      <c r="F37" s="25">
        <v>26</v>
      </c>
      <c r="G37" s="25">
        <v>6</v>
      </c>
      <c r="H37" s="24">
        <v>0.56521739130434778</v>
      </c>
      <c r="I37" s="23">
        <v>3225.9684999999999</v>
      </c>
      <c r="J37" s="23">
        <v>4420.4567500000003</v>
      </c>
      <c r="K37" s="23">
        <v>5305.5794999999998</v>
      </c>
      <c r="L37" s="23">
        <v>52.883499999999998</v>
      </c>
      <c r="M37" s="23">
        <v>590.65100000000007</v>
      </c>
      <c r="N37" s="23">
        <v>127.9385</v>
      </c>
      <c r="O37" s="24">
        <v>0</v>
      </c>
      <c r="P37" s="24">
        <v>1</v>
      </c>
      <c r="Q37" s="23">
        <v>3673.1904975917582</v>
      </c>
      <c r="R37" s="26">
        <v>3673.1904975917582</v>
      </c>
      <c r="S37" s="24">
        <v>0.15384615384615385</v>
      </c>
      <c r="T37" s="23">
        <v>63.879999999999995</v>
      </c>
    </row>
    <row r="38" spans="1:20">
      <c r="A38" s="23" t="s">
        <v>294</v>
      </c>
      <c r="B38" s="23" t="s">
        <v>295</v>
      </c>
      <c r="C38" s="23" t="s">
        <v>1871</v>
      </c>
      <c r="D38" s="25">
        <v>66</v>
      </c>
      <c r="E38" s="25">
        <v>26</v>
      </c>
      <c r="F38" s="25">
        <v>59</v>
      </c>
      <c r="G38" s="25">
        <v>6</v>
      </c>
      <c r="H38" s="24">
        <v>0.76744186046511631</v>
      </c>
      <c r="I38" s="23">
        <v>3734.6525000000001</v>
      </c>
      <c r="J38" s="23">
        <v>4856.9897499999997</v>
      </c>
      <c r="K38" s="23">
        <v>5252.7960000000003</v>
      </c>
      <c r="L38" s="23">
        <v>4.2545000000000002</v>
      </c>
      <c r="M38" s="23">
        <v>16.784749999999999</v>
      </c>
      <c r="N38" s="23">
        <v>93.966499999999996</v>
      </c>
      <c r="O38" s="24">
        <v>0.15151515151515152</v>
      </c>
      <c r="P38" s="24">
        <v>1</v>
      </c>
      <c r="Q38" s="23">
        <v>3855.5656615025682</v>
      </c>
      <c r="R38" s="26">
        <v>3621.8950153508977</v>
      </c>
      <c r="S38" s="24">
        <v>0.22727272727272727</v>
      </c>
      <c r="T38" s="23">
        <v>60.33</v>
      </c>
    </row>
    <row r="39" spans="1:20">
      <c r="A39" s="23" t="s">
        <v>285</v>
      </c>
      <c r="B39" s="23" t="s">
        <v>289</v>
      </c>
      <c r="C39" s="23" t="s">
        <v>1871</v>
      </c>
      <c r="D39" s="25">
        <v>151</v>
      </c>
      <c r="E39" s="25">
        <v>55</v>
      </c>
      <c r="F39" s="25">
        <v>116</v>
      </c>
      <c r="G39" s="25">
        <v>6</v>
      </c>
      <c r="H39" s="24">
        <v>0.88304093567251463</v>
      </c>
      <c r="I39" s="23">
        <v>3534.2869999999998</v>
      </c>
      <c r="J39" s="23">
        <v>4315.0015000000003</v>
      </c>
      <c r="K39" s="23">
        <v>5046.991</v>
      </c>
      <c r="L39" s="23">
        <v>110.16</v>
      </c>
      <c r="M39" s="23">
        <v>143.34550000000002</v>
      </c>
      <c r="N39" s="23">
        <v>216.7</v>
      </c>
      <c r="O39" s="24">
        <v>0</v>
      </c>
      <c r="P39" s="24">
        <v>1</v>
      </c>
      <c r="Q39" s="23">
        <v>3618.5316894106481</v>
      </c>
      <c r="R39" s="26">
        <v>3618.5316894106481</v>
      </c>
      <c r="S39" s="24">
        <v>0.27152317880794702</v>
      </c>
      <c r="T39" s="23">
        <v>59.65</v>
      </c>
    </row>
    <row r="40" spans="1:20">
      <c r="A40" s="23" t="s">
        <v>312</v>
      </c>
      <c r="B40" s="23" t="s">
        <v>319</v>
      </c>
      <c r="C40" s="23" t="s">
        <v>1871</v>
      </c>
      <c r="D40" s="25">
        <v>56</v>
      </c>
      <c r="E40" s="25">
        <v>17</v>
      </c>
      <c r="F40" s="25">
        <v>56</v>
      </c>
      <c r="G40" s="25">
        <v>6</v>
      </c>
      <c r="H40" s="24">
        <v>0.73684210526315785</v>
      </c>
      <c r="I40" s="23">
        <v>3586.0055000000002</v>
      </c>
      <c r="J40" s="23">
        <v>4501.8534999999993</v>
      </c>
      <c r="K40" s="23">
        <v>5868.6869999999999</v>
      </c>
      <c r="L40" s="23">
        <v>21.594999999999999</v>
      </c>
      <c r="M40" s="23">
        <v>58.720500000000001</v>
      </c>
      <c r="N40" s="23">
        <v>80.253999999999991</v>
      </c>
      <c r="O40" s="24">
        <v>0.10714285714285714</v>
      </c>
      <c r="P40" s="24">
        <v>1</v>
      </c>
      <c r="Q40" s="23">
        <v>3761.9459195950112</v>
      </c>
      <c r="R40" s="26">
        <v>3600.7196658980824</v>
      </c>
      <c r="S40" s="24">
        <v>0.25</v>
      </c>
      <c r="T40" s="23">
        <v>56.5</v>
      </c>
    </row>
    <row r="41" spans="1:20">
      <c r="A41" s="23" t="s">
        <v>162</v>
      </c>
      <c r="B41" s="23" t="s">
        <v>171</v>
      </c>
      <c r="C41" s="23" t="s">
        <v>1871</v>
      </c>
      <c r="D41" s="25">
        <v>28</v>
      </c>
      <c r="E41" s="25">
        <v>14</v>
      </c>
      <c r="F41" s="25">
        <v>28</v>
      </c>
      <c r="G41" s="25">
        <v>6</v>
      </c>
      <c r="H41" s="24">
        <v>0.58333333333333337</v>
      </c>
      <c r="I41" s="23">
        <v>3371.5619999999999</v>
      </c>
      <c r="J41" s="23">
        <v>4340.0439999999999</v>
      </c>
      <c r="K41" s="23">
        <v>5525.5129000000006</v>
      </c>
      <c r="L41" s="23">
        <v>6.0645000000000007</v>
      </c>
      <c r="M41" s="23">
        <v>14.770249999999999</v>
      </c>
      <c r="N41" s="23">
        <v>103.384</v>
      </c>
      <c r="O41" s="24">
        <v>0.10714285714285714</v>
      </c>
      <c r="P41" s="24">
        <v>1</v>
      </c>
      <c r="Q41" s="23">
        <v>3739.4857893587678</v>
      </c>
      <c r="R41" s="26">
        <v>3579.2221126719637</v>
      </c>
      <c r="S41" s="24">
        <v>0.2857142857142857</v>
      </c>
      <c r="T41" s="23">
        <v>60.44</v>
      </c>
    </row>
    <row r="42" spans="1:20">
      <c r="A42" s="23" t="s">
        <v>256</v>
      </c>
      <c r="B42" s="23" t="s">
        <v>257</v>
      </c>
      <c r="C42" s="23" t="s">
        <v>1871</v>
      </c>
      <c r="D42" s="25">
        <v>34</v>
      </c>
      <c r="E42" s="25">
        <v>12</v>
      </c>
      <c r="F42" s="25">
        <v>33</v>
      </c>
      <c r="G42" s="25">
        <v>6</v>
      </c>
      <c r="H42" s="24">
        <v>0.62962962962962965</v>
      </c>
      <c r="I42" s="23">
        <v>3499.1014999999998</v>
      </c>
      <c r="J42" s="23">
        <v>4346.7800000000007</v>
      </c>
      <c r="K42" s="23">
        <v>6708.1297999999979</v>
      </c>
      <c r="L42" s="23">
        <v>175.4315</v>
      </c>
      <c r="M42" s="23">
        <v>217.57275000000001</v>
      </c>
      <c r="N42" s="23">
        <v>153.07749999999999</v>
      </c>
      <c r="O42" s="24">
        <v>0.17647058823529413</v>
      </c>
      <c r="P42" s="24">
        <v>1</v>
      </c>
      <c r="Q42" s="23">
        <v>3778.9080164670531</v>
      </c>
      <c r="R42" s="26">
        <v>3512.1615682458496</v>
      </c>
      <c r="S42" s="24">
        <v>0.35294117647058826</v>
      </c>
      <c r="T42" s="23">
        <v>60.31</v>
      </c>
    </row>
    <row r="43" spans="1:20">
      <c r="A43" s="23" t="s">
        <v>213</v>
      </c>
      <c r="B43" s="23" t="s">
        <v>216</v>
      </c>
      <c r="C43" s="23" t="s">
        <v>1871</v>
      </c>
      <c r="D43" s="25">
        <v>160</v>
      </c>
      <c r="E43" s="25">
        <v>57</v>
      </c>
      <c r="F43" s="25">
        <v>106</v>
      </c>
      <c r="G43" s="25">
        <v>6</v>
      </c>
      <c r="H43" s="24">
        <v>0.88888888888888884</v>
      </c>
      <c r="I43" s="23">
        <v>3515.0439999999999</v>
      </c>
      <c r="J43" s="23">
        <v>4630.2167499999996</v>
      </c>
      <c r="K43" s="23">
        <v>5811.3916999999992</v>
      </c>
      <c r="L43" s="23">
        <v>11.198</v>
      </c>
      <c r="M43" s="23">
        <v>26.267499999999998</v>
      </c>
      <c r="N43" s="23">
        <v>173.08100000000002</v>
      </c>
      <c r="O43" s="24">
        <v>0.1</v>
      </c>
      <c r="P43" s="24">
        <v>1</v>
      </c>
      <c r="Q43" s="23">
        <v>3597.2145660512269</v>
      </c>
      <c r="R43" s="26">
        <v>3453.3259834091778</v>
      </c>
      <c r="S43" s="24">
        <v>0.25624999999999998</v>
      </c>
      <c r="T43" s="23">
        <v>61.63</v>
      </c>
    </row>
    <row r="44" spans="1:20">
      <c r="A44" s="23" t="s">
        <v>285</v>
      </c>
      <c r="B44" s="23" t="s">
        <v>292</v>
      </c>
      <c r="C44" s="23" t="s">
        <v>1871</v>
      </c>
      <c r="D44" s="25">
        <v>6</v>
      </c>
      <c r="E44" s="25">
        <v>5</v>
      </c>
      <c r="F44" s="25">
        <v>6</v>
      </c>
      <c r="G44" s="25">
        <v>5</v>
      </c>
      <c r="H44" s="24">
        <v>0.23076923076923078</v>
      </c>
      <c r="I44" s="23">
        <v>1572.5135</v>
      </c>
      <c r="J44" s="23">
        <v>2095.9485</v>
      </c>
      <c r="K44" s="23">
        <v>3042.4300000000003</v>
      </c>
      <c r="L44" s="23">
        <v>159.60849999999999</v>
      </c>
      <c r="M44" s="23">
        <v>199.72</v>
      </c>
      <c r="N44" s="23">
        <v>321.5745</v>
      </c>
      <c r="O44" s="24">
        <v>0.16666666666666666</v>
      </c>
      <c r="P44" s="24">
        <v>1</v>
      </c>
      <c r="Q44" s="23">
        <v>3635.6408803546487</v>
      </c>
      <c r="R44" s="26">
        <v>3393.2648216643388</v>
      </c>
      <c r="S44" s="24">
        <v>0.16666666666666666</v>
      </c>
      <c r="T44" s="23">
        <v>46.56</v>
      </c>
    </row>
    <row r="45" spans="1:20">
      <c r="A45" s="23" t="s">
        <v>276</v>
      </c>
      <c r="B45" s="23" t="s">
        <v>277</v>
      </c>
      <c r="C45" s="23" t="s">
        <v>1871</v>
      </c>
      <c r="D45" s="25">
        <v>9</v>
      </c>
      <c r="E45" s="25">
        <v>4</v>
      </c>
      <c r="F45" s="25">
        <v>9</v>
      </c>
      <c r="G45" s="25">
        <v>4</v>
      </c>
      <c r="H45" s="24">
        <v>0.31034482758620691</v>
      </c>
      <c r="I45" s="23">
        <v>1945.9749999999999</v>
      </c>
      <c r="J45" s="23">
        <v>2629.018</v>
      </c>
      <c r="K45" s="23">
        <v>5339.5101999999997</v>
      </c>
      <c r="L45" s="23">
        <v>52.292999999999999</v>
      </c>
      <c r="M45" s="23">
        <v>1916.596</v>
      </c>
      <c r="N45" s="23">
        <v>231.995</v>
      </c>
      <c r="O45" s="24">
        <v>0.1111111111111111</v>
      </c>
      <c r="P45" s="24">
        <v>1</v>
      </c>
      <c r="Q45" s="23">
        <v>3538.1157548007195</v>
      </c>
      <c r="R45" s="26">
        <v>3380.8661656984655</v>
      </c>
      <c r="S45" s="24">
        <v>0.22222222222222221</v>
      </c>
      <c r="T45" s="23">
        <v>40.090000000000003</v>
      </c>
    </row>
    <row r="46" spans="1:20">
      <c r="A46" s="23" t="s">
        <v>174</v>
      </c>
      <c r="B46" s="23" t="s">
        <v>180</v>
      </c>
      <c r="C46" s="23" t="s">
        <v>1871</v>
      </c>
      <c r="D46" s="25">
        <v>8</v>
      </c>
      <c r="E46" s="25">
        <v>2</v>
      </c>
      <c r="F46" s="25">
        <v>8</v>
      </c>
      <c r="G46" s="25">
        <v>6</v>
      </c>
      <c r="H46" s="24">
        <v>0.2857142857142857</v>
      </c>
      <c r="I46" s="23">
        <v>2453.3744999999999</v>
      </c>
      <c r="J46" s="23">
        <v>2887.558</v>
      </c>
      <c r="K46" s="23">
        <v>3264.8883999999998</v>
      </c>
      <c r="L46" s="23">
        <v>318.85699999999997</v>
      </c>
      <c r="M46" s="23">
        <v>358.54725000000002</v>
      </c>
      <c r="N46" s="23">
        <v>88.217500000000001</v>
      </c>
      <c r="O46" s="24">
        <v>0.25</v>
      </c>
      <c r="P46" s="24">
        <v>1</v>
      </c>
      <c r="Q46" s="23">
        <v>3739.9492103293164</v>
      </c>
      <c r="R46" s="26">
        <v>3365.954289296385</v>
      </c>
      <c r="S46" s="24">
        <v>0.875</v>
      </c>
      <c r="T46" s="23">
        <v>60.71</v>
      </c>
    </row>
    <row r="47" spans="1:20">
      <c r="A47" s="23" t="s">
        <v>152</v>
      </c>
      <c r="B47" s="23" t="s">
        <v>1178</v>
      </c>
      <c r="C47" s="23" t="s">
        <v>1871</v>
      </c>
      <c r="D47" s="25">
        <v>37</v>
      </c>
      <c r="E47" s="25">
        <v>14</v>
      </c>
      <c r="F47" s="25">
        <v>36</v>
      </c>
      <c r="G47" s="25">
        <v>6</v>
      </c>
      <c r="H47" s="24">
        <v>0.64912280701754388</v>
      </c>
      <c r="I47" s="23">
        <v>3227.3249999999998</v>
      </c>
      <c r="J47" s="23">
        <v>3671.84</v>
      </c>
      <c r="K47" s="23">
        <v>4012.3423999999995</v>
      </c>
      <c r="L47" s="23">
        <v>73.367000000000004</v>
      </c>
      <c r="M47" s="23">
        <v>111.32</v>
      </c>
      <c r="N47" s="23">
        <v>151.53399999999999</v>
      </c>
      <c r="O47" s="24">
        <v>0.16216216216216217</v>
      </c>
      <c r="P47" s="24">
        <v>1</v>
      </c>
      <c r="Q47" s="23">
        <v>3587.7650331442255</v>
      </c>
      <c r="R47" s="26">
        <v>3355.045139102438</v>
      </c>
      <c r="S47" s="24">
        <v>0.1891891891891892</v>
      </c>
      <c r="T47" s="23">
        <v>56.67</v>
      </c>
    </row>
    <row r="48" spans="1:20">
      <c r="A48" s="23" t="s">
        <v>267</v>
      </c>
      <c r="B48" s="23" t="s">
        <v>270</v>
      </c>
      <c r="C48" s="23" t="s">
        <v>1871</v>
      </c>
      <c r="D48" s="25">
        <v>63</v>
      </c>
      <c r="E48" s="25">
        <v>20</v>
      </c>
      <c r="F48" s="25">
        <v>61</v>
      </c>
      <c r="G48" s="25">
        <v>6</v>
      </c>
      <c r="H48" s="24">
        <v>0.75903614457831325</v>
      </c>
      <c r="I48" s="23">
        <v>3186.5189999999998</v>
      </c>
      <c r="J48" s="23">
        <v>4742.0010000000002</v>
      </c>
      <c r="K48" s="23">
        <v>7395.0674000000008</v>
      </c>
      <c r="L48" s="23">
        <v>15.02</v>
      </c>
      <c r="M48" s="23">
        <v>32.003999999999998</v>
      </c>
      <c r="N48" s="23">
        <v>112.67100000000001</v>
      </c>
      <c r="O48" s="24">
        <v>7.9365079365079361E-2</v>
      </c>
      <c r="P48" s="24">
        <v>1</v>
      </c>
      <c r="Q48" s="23">
        <v>3443.8828781833836</v>
      </c>
      <c r="R48" s="26">
        <v>3334.5532630029588</v>
      </c>
      <c r="S48" s="24">
        <v>0.31746031746031744</v>
      </c>
      <c r="T48" s="23">
        <v>60.195</v>
      </c>
    </row>
    <row r="49" spans="1:20">
      <c r="A49" s="23" t="s">
        <v>194</v>
      </c>
      <c r="B49" s="23" t="s">
        <v>201</v>
      </c>
      <c r="C49" s="23" t="s">
        <v>1871</v>
      </c>
      <c r="D49" s="25">
        <v>11</v>
      </c>
      <c r="E49" s="25">
        <v>4</v>
      </c>
      <c r="F49" s="25">
        <v>11</v>
      </c>
      <c r="G49" s="25">
        <v>4</v>
      </c>
      <c r="H49" s="24">
        <v>0.35483870967741937</v>
      </c>
      <c r="I49" s="23">
        <v>1641.9829999999999</v>
      </c>
      <c r="J49" s="23">
        <v>2041.8634999999999</v>
      </c>
      <c r="K49" s="23">
        <v>2955.9079999999999</v>
      </c>
      <c r="L49" s="23">
        <v>32.890999999999998</v>
      </c>
      <c r="M49" s="23">
        <v>73.159500000000008</v>
      </c>
      <c r="N49" s="23">
        <v>257.09199999999998</v>
      </c>
      <c r="O49" s="24">
        <v>0</v>
      </c>
      <c r="P49" s="24">
        <v>1</v>
      </c>
      <c r="Q49" s="23">
        <v>3327.5288673942214</v>
      </c>
      <c r="R49" s="26">
        <v>3327.5288673942214</v>
      </c>
      <c r="S49" s="24">
        <v>0.18181818181818182</v>
      </c>
      <c r="T49" s="23">
        <v>61.24</v>
      </c>
    </row>
    <row r="50" spans="1:20">
      <c r="A50" s="23" t="s">
        <v>244</v>
      </c>
      <c r="B50" s="23" t="s">
        <v>248</v>
      </c>
      <c r="C50" s="23" t="s">
        <v>1871</v>
      </c>
      <c r="D50" s="25">
        <v>6</v>
      </c>
      <c r="E50" s="25">
        <v>4</v>
      </c>
      <c r="F50" s="25">
        <v>6</v>
      </c>
      <c r="G50" s="25">
        <v>3</v>
      </c>
      <c r="H50" s="24">
        <v>0.23076923076923078</v>
      </c>
      <c r="I50" s="23">
        <v>1185.2635</v>
      </c>
      <c r="J50" s="23">
        <v>1404.9884999999999</v>
      </c>
      <c r="K50" s="23">
        <v>1565.8815</v>
      </c>
      <c r="L50" s="23">
        <v>5.7744999999999997</v>
      </c>
      <c r="M50" s="23">
        <v>121.73075</v>
      </c>
      <c r="N50" s="23">
        <v>132.48050000000001</v>
      </c>
      <c r="O50" s="24">
        <v>0.16666666666666666</v>
      </c>
      <c r="P50" s="24">
        <v>1</v>
      </c>
      <c r="Q50" s="23">
        <v>3546.275495739264</v>
      </c>
      <c r="R50" s="26">
        <v>3309.8571293566465</v>
      </c>
      <c r="S50" s="24">
        <v>0.16666666666666666</v>
      </c>
      <c r="T50" s="23">
        <v>36</v>
      </c>
    </row>
    <row r="51" spans="1:20">
      <c r="A51" s="23" t="s">
        <v>236</v>
      </c>
      <c r="B51" s="23" t="s">
        <v>241</v>
      </c>
      <c r="C51" s="23" t="s">
        <v>1871</v>
      </c>
      <c r="D51" s="25">
        <v>14</v>
      </c>
      <c r="E51" s="25">
        <v>5</v>
      </c>
      <c r="F51" s="25">
        <v>14</v>
      </c>
      <c r="G51" s="25">
        <v>6</v>
      </c>
      <c r="H51" s="24">
        <v>0.41176470588235292</v>
      </c>
      <c r="I51" s="23">
        <v>1964.0149999999999</v>
      </c>
      <c r="J51" s="23">
        <v>2181.04475</v>
      </c>
      <c r="K51" s="23">
        <v>4482.7292000000034</v>
      </c>
      <c r="L51" s="23">
        <v>33.185499999999998</v>
      </c>
      <c r="M51" s="23">
        <v>55.180999999999997</v>
      </c>
      <c r="N51" s="23">
        <v>83.899000000000001</v>
      </c>
      <c r="O51" s="24">
        <v>7.1428571428571425E-2</v>
      </c>
      <c r="P51" s="24">
        <v>1</v>
      </c>
      <c r="Q51" s="23">
        <v>3311.4056438006137</v>
      </c>
      <c r="R51" s="26">
        <v>3216.7940539777392</v>
      </c>
      <c r="S51" s="24">
        <v>0.42857142857142855</v>
      </c>
      <c r="T51" s="23">
        <v>55.72</v>
      </c>
    </row>
    <row r="52" spans="1:20">
      <c r="A52" s="23" t="s">
        <v>204</v>
      </c>
      <c r="B52" s="23" t="s">
        <v>205</v>
      </c>
      <c r="C52" s="23" t="s">
        <v>1871</v>
      </c>
      <c r="D52" s="25">
        <v>7</v>
      </c>
      <c r="E52" s="25">
        <v>3</v>
      </c>
      <c r="F52" s="25">
        <v>7</v>
      </c>
      <c r="G52" s="25">
        <v>4</v>
      </c>
      <c r="H52" s="24">
        <v>0.25925925925925924</v>
      </c>
      <c r="I52" s="23">
        <v>815.31399999999996</v>
      </c>
      <c r="J52" s="23">
        <v>855.91949999999997</v>
      </c>
      <c r="K52" s="23">
        <v>901.3922</v>
      </c>
      <c r="L52" s="23">
        <v>0.126</v>
      </c>
      <c r="M52" s="23">
        <v>69.623500000000007</v>
      </c>
      <c r="N52" s="23">
        <v>110.997</v>
      </c>
      <c r="O52" s="24">
        <v>0.14285714285714285</v>
      </c>
      <c r="P52" s="24">
        <v>1</v>
      </c>
      <c r="Q52" s="23">
        <v>3362.917773674847</v>
      </c>
      <c r="R52" s="26">
        <v>3170.7510437505698</v>
      </c>
      <c r="S52" s="24">
        <v>0</v>
      </c>
      <c r="T52" s="23">
        <v>0</v>
      </c>
    </row>
    <row r="53" spans="1:20">
      <c r="A53" s="23" t="s">
        <v>204</v>
      </c>
      <c r="B53" s="23" t="s">
        <v>208</v>
      </c>
      <c r="C53" s="23" t="s">
        <v>1871</v>
      </c>
      <c r="D53" s="25">
        <v>36</v>
      </c>
      <c r="E53" s="25">
        <v>13</v>
      </c>
      <c r="F53" s="25">
        <v>33</v>
      </c>
      <c r="G53" s="25">
        <v>6</v>
      </c>
      <c r="H53" s="24">
        <v>0.6428571428571429</v>
      </c>
      <c r="I53" s="23">
        <v>2778.6244999999999</v>
      </c>
      <c r="J53" s="23">
        <v>3346.8525</v>
      </c>
      <c r="K53" s="23">
        <v>4125.0450000000001</v>
      </c>
      <c r="L53" s="23">
        <v>12.303000000000001</v>
      </c>
      <c r="M53" s="23">
        <v>44.84975</v>
      </c>
      <c r="N53" s="23">
        <v>181.71850000000001</v>
      </c>
      <c r="O53" s="24">
        <v>0.1388888888888889</v>
      </c>
      <c r="P53" s="24">
        <v>1</v>
      </c>
      <c r="Q53" s="23">
        <v>3305.7511408789442</v>
      </c>
      <c r="R53" s="26">
        <v>3122.0982997190026</v>
      </c>
      <c r="S53" s="24">
        <v>0.1111111111111111</v>
      </c>
      <c r="T53" s="23">
        <v>59.56</v>
      </c>
    </row>
    <row r="54" spans="1:20">
      <c r="A54" s="23" t="s">
        <v>224</v>
      </c>
      <c r="B54" s="23" t="s">
        <v>233</v>
      </c>
      <c r="C54" s="23" t="s">
        <v>1871</v>
      </c>
      <c r="D54" s="25">
        <v>14</v>
      </c>
      <c r="E54" s="25">
        <v>6</v>
      </c>
      <c r="F54" s="25">
        <v>14</v>
      </c>
      <c r="G54" s="25">
        <v>6</v>
      </c>
      <c r="H54" s="24">
        <v>0.41176470588235292</v>
      </c>
      <c r="I54" s="23">
        <v>1336.0450000000001</v>
      </c>
      <c r="J54" s="23">
        <v>1940.201</v>
      </c>
      <c r="K54" s="23">
        <v>2123.7057</v>
      </c>
      <c r="L54" s="23">
        <v>66.271500000000003</v>
      </c>
      <c r="M54" s="23">
        <v>211.29775000000001</v>
      </c>
      <c r="N54" s="23">
        <v>118.6905</v>
      </c>
      <c r="O54" s="24">
        <v>0</v>
      </c>
      <c r="P54" s="24">
        <v>1</v>
      </c>
      <c r="Q54" s="23">
        <v>3052.8297614476724</v>
      </c>
      <c r="R54" s="26">
        <v>3052.8297614476724</v>
      </c>
      <c r="S54" s="24">
        <v>0.21428571428571427</v>
      </c>
      <c r="T54" s="23">
        <v>57.18</v>
      </c>
    </row>
    <row r="55" spans="1:20">
      <c r="A55" s="23" t="s">
        <v>162</v>
      </c>
      <c r="B55" s="23" t="s">
        <v>168</v>
      </c>
      <c r="C55" s="23" t="s">
        <v>1871</v>
      </c>
      <c r="D55" s="25">
        <v>10</v>
      </c>
      <c r="E55" s="25">
        <v>6</v>
      </c>
      <c r="F55" s="25">
        <v>10</v>
      </c>
      <c r="G55" s="25">
        <v>4</v>
      </c>
      <c r="H55" s="24">
        <v>0.33333333333333331</v>
      </c>
      <c r="I55" s="23">
        <v>1403.7730000000001</v>
      </c>
      <c r="J55" s="23">
        <v>2310.8595</v>
      </c>
      <c r="K55" s="23">
        <v>2472.9663999999998</v>
      </c>
      <c r="L55" s="23">
        <v>69.823999999999998</v>
      </c>
      <c r="M55" s="23">
        <v>83.89824999999999</v>
      </c>
      <c r="N55" s="23">
        <v>217.8955</v>
      </c>
      <c r="O55" s="24">
        <v>0.3</v>
      </c>
      <c r="P55" s="24">
        <v>1</v>
      </c>
      <c r="Q55" s="23">
        <v>3304.3103963073627</v>
      </c>
      <c r="R55" s="26">
        <v>2907.7931487504793</v>
      </c>
      <c r="S55" s="24">
        <v>0.5</v>
      </c>
      <c r="T55" s="23">
        <v>60.19</v>
      </c>
    </row>
    <row r="56" spans="1:20">
      <c r="A56" s="23" t="s">
        <v>322</v>
      </c>
      <c r="B56" s="23" t="s">
        <v>328</v>
      </c>
      <c r="C56" s="23" t="s">
        <v>1871</v>
      </c>
      <c r="D56" s="25">
        <v>23</v>
      </c>
      <c r="E56" s="25">
        <v>12</v>
      </c>
      <c r="F56" s="25">
        <v>21</v>
      </c>
      <c r="G56" s="25">
        <v>4</v>
      </c>
      <c r="H56" s="24">
        <v>0.53488372093023251</v>
      </c>
      <c r="I56" s="23">
        <v>1572.19</v>
      </c>
      <c r="J56" s="23">
        <v>2001.181</v>
      </c>
      <c r="K56" s="23">
        <v>2142.9585999999999</v>
      </c>
      <c r="L56" s="23">
        <v>28.13</v>
      </c>
      <c r="M56" s="23">
        <v>100.03149999999999</v>
      </c>
      <c r="N56" s="23">
        <v>171.173</v>
      </c>
      <c r="O56" s="24">
        <v>4.3478260869565216E-2</v>
      </c>
      <c r="P56" s="24">
        <v>1</v>
      </c>
      <c r="Q56" s="23">
        <v>2819.8128346330436</v>
      </c>
      <c r="R56" s="26">
        <v>2770.7726114220341</v>
      </c>
      <c r="S56" s="24">
        <v>0.30434782608695654</v>
      </c>
      <c r="T56" s="23">
        <v>60.69</v>
      </c>
    </row>
    <row r="57" spans="1:20">
      <c r="A57" s="23" t="s">
        <v>312</v>
      </c>
      <c r="B57" s="23" t="s">
        <v>316</v>
      </c>
      <c r="C57" s="23" t="s">
        <v>1871</v>
      </c>
      <c r="D57" s="25">
        <v>3</v>
      </c>
      <c r="E57" s="25">
        <v>3</v>
      </c>
      <c r="F57" s="25">
        <v>3</v>
      </c>
      <c r="G57" s="25">
        <v>3</v>
      </c>
      <c r="H57" s="24">
        <v>0.13043478260869565</v>
      </c>
      <c r="I57" s="23">
        <v>2287.663</v>
      </c>
      <c r="J57" s="23">
        <v>3695.9160000000002</v>
      </c>
      <c r="K57" s="23">
        <v>4540.8678</v>
      </c>
      <c r="L57" s="23">
        <v>53.161000000000001</v>
      </c>
      <c r="M57" s="23">
        <v>74.997</v>
      </c>
      <c r="N57" s="23">
        <v>72.721000000000004</v>
      </c>
      <c r="O57" s="24">
        <v>0.66666666666666663</v>
      </c>
      <c r="P57" s="24">
        <v>0.74</v>
      </c>
      <c r="Q57" s="23">
        <v>3998.0248212704728</v>
      </c>
      <c r="R57" s="26">
        <v>2703.197849155009</v>
      </c>
      <c r="S57" s="24">
        <v>0</v>
      </c>
      <c r="T57" s="23">
        <v>0</v>
      </c>
    </row>
    <row r="58" spans="1:20">
      <c r="A58" s="23" t="s">
        <v>183</v>
      </c>
      <c r="B58" s="23" t="s">
        <v>186</v>
      </c>
      <c r="C58" s="23" t="s">
        <v>1871</v>
      </c>
      <c r="D58" s="25">
        <v>16</v>
      </c>
      <c r="E58" s="25">
        <v>5</v>
      </c>
      <c r="F58" s="25">
        <v>16</v>
      </c>
      <c r="G58" s="25">
        <v>6</v>
      </c>
      <c r="H58" s="24">
        <v>0.44444444444444442</v>
      </c>
      <c r="I58" s="23">
        <v>1083.037</v>
      </c>
      <c r="J58" s="23">
        <v>1183.6402500000002</v>
      </c>
      <c r="K58" s="23">
        <v>1502.29</v>
      </c>
      <c r="L58" s="23">
        <v>30.625</v>
      </c>
      <c r="M58" s="23">
        <v>41.866999999999997</v>
      </c>
      <c r="N58" s="23">
        <v>100.10499999999999</v>
      </c>
      <c r="O58" s="24">
        <v>0.125</v>
      </c>
      <c r="P58" s="24">
        <v>1</v>
      </c>
      <c r="Q58" s="23">
        <v>2845.0048302561354</v>
      </c>
      <c r="R58" s="26">
        <v>2702.7545887433284</v>
      </c>
      <c r="S58" s="24">
        <v>0</v>
      </c>
      <c r="T58" s="23">
        <v>0</v>
      </c>
    </row>
    <row r="59" spans="1:20">
      <c r="A59" s="23" t="s">
        <v>204</v>
      </c>
      <c r="B59" s="23" t="s">
        <v>210</v>
      </c>
      <c r="C59" s="23" t="s">
        <v>1871</v>
      </c>
      <c r="D59" s="25">
        <v>69</v>
      </c>
      <c r="E59" s="25">
        <v>22</v>
      </c>
      <c r="F59" s="25">
        <v>62</v>
      </c>
      <c r="G59" s="25">
        <v>6</v>
      </c>
      <c r="H59" s="24">
        <v>0.7752808988764045</v>
      </c>
      <c r="I59" s="23">
        <v>2017.798</v>
      </c>
      <c r="J59" s="23">
        <v>2724.6030000000001</v>
      </c>
      <c r="K59" s="23">
        <v>3600.8514000000009</v>
      </c>
      <c r="L59" s="23">
        <v>21.489000000000001</v>
      </c>
      <c r="M59" s="23">
        <v>58.575000000000003</v>
      </c>
      <c r="N59" s="23">
        <v>177.96899999999999</v>
      </c>
      <c r="O59" s="24">
        <v>4.3478260869565216E-2</v>
      </c>
      <c r="P59" s="24">
        <v>1</v>
      </c>
      <c r="Q59" s="23">
        <v>2520.4454369575378</v>
      </c>
      <c r="R59" s="26">
        <v>2476.6116032713198</v>
      </c>
      <c r="S59" s="24">
        <v>0.33333333333333331</v>
      </c>
      <c r="T59" s="23">
        <v>58.33</v>
      </c>
    </row>
    <row r="60" spans="1:20">
      <c r="A60" s="23" t="s">
        <v>130</v>
      </c>
      <c r="B60" s="23" t="s">
        <v>131</v>
      </c>
      <c r="C60" s="23" t="s">
        <v>1871</v>
      </c>
      <c r="D60" s="25">
        <v>43</v>
      </c>
      <c r="E60" s="25">
        <v>14</v>
      </c>
      <c r="F60" s="25">
        <v>43</v>
      </c>
      <c r="G60" s="25">
        <v>6</v>
      </c>
      <c r="H60" s="24">
        <v>0.68253968253968256</v>
      </c>
      <c r="I60" s="23">
        <v>1727.604</v>
      </c>
      <c r="J60" s="23">
        <v>2129.9859999999999</v>
      </c>
      <c r="K60" s="23">
        <v>2322.6040000000003</v>
      </c>
      <c r="L60" s="23">
        <v>67.533000000000001</v>
      </c>
      <c r="M60" s="23">
        <v>96.019499999999994</v>
      </c>
      <c r="N60" s="23">
        <v>275.12299999999999</v>
      </c>
      <c r="O60" s="24">
        <v>6.9767441860465115E-2</v>
      </c>
      <c r="P60" s="24">
        <v>1</v>
      </c>
      <c r="Q60" s="23">
        <v>2529.8183157019184</v>
      </c>
      <c r="R60" s="26">
        <v>2459.2187347986091</v>
      </c>
      <c r="S60" s="24">
        <v>0.20930232558139536</v>
      </c>
      <c r="T60" s="23">
        <v>60.65</v>
      </c>
    </row>
    <row r="61" spans="1:20">
      <c r="A61" s="23" t="s">
        <v>267</v>
      </c>
      <c r="B61" s="23" t="s">
        <v>268</v>
      </c>
      <c r="C61" s="23" t="s">
        <v>1872</v>
      </c>
      <c r="D61" s="25">
        <v>162</v>
      </c>
      <c r="E61" s="25">
        <v>44</v>
      </c>
      <c r="F61" s="25">
        <v>128</v>
      </c>
      <c r="G61" s="25">
        <v>6</v>
      </c>
      <c r="H61" s="24">
        <v>0.89010989010989006</v>
      </c>
      <c r="I61" s="23">
        <v>352.07249999999999</v>
      </c>
      <c r="J61" s="23">
        <v>559.05324999999993</v>
      </c>
      <c r="K61" s="23">
        <v>732.73810000000026</v>
      </c>
      <c r="L61" s="23">
        <v>1550.5684999999999</v>
      </c>
      <c r="M61" s="23">
        <v>2173.2307500000002</v>
      </c>
      <c r="N61" s="23">
        <v>93.28</v>
      </c>
      <c r="O61" s="24">
        <v>4.9382716049382713E-2</v>
      </c>
      <c r="P61" s="24">
        <v>1</v>
      </c>
      <c r="Q61" s="23">
        <v>1485.745385880819</v>
      </c>
      <c r="R61" s="26">
        <v>1456.3973288757659</v>
      </c>
      <c r="S61" s="24">
        <v>0.27777777777777779</v>
      </c>
      <c r="T61" s="23">
        <v>58.06</v>
      </c>
    </row>
    <row r="62" spans="1:20">
      <c r="A62" s="23" t="s">
        <v>183</v>
      </c>
      <c r="B62" s="23" t="s">
        <v>184</v>
      </c>
      <c r="C62" s="23" t="s">
        <v>1872</v>
      </c>
      <c r="D62" s="25">
        <v>224</v>
      </c>
      <c r="E62" s="25">
        <v>76</v>
      </c>
      <c r="F62" s="25">
        <v>166</v>
      </c>
      <c r="G62" s="25">
        <v>6</v>
      </c>
      <c r="H62" s="24">
        <v>0.91803278688524592</v>
      </c>
      <c r="I62" s="23">
        <v>1062.5095000000001</v>
      </c>
      <c r="J62" s="23">
        <v>1637.4847500000001</v>
      </c>
      <c r="K62" s="23">
        <v>2285.6073000000006</v>
      </c>
      <c r="L62" s="23">
        <v>1018.2059999999999</v>
      </c>
      <c r="M62" s="23">
        <v>1394.5742499999999</v>
      </c>
      <c r="N62" s="23">
        <v>140.54500000000002</v>
      </c>
      <c r="O62" s="24">
        <v>0.12946428571428573</v>
      </c>
      <c r="P62" s="24">
        <v>1</v>
      </c>
      <c r="Q62" s="23">
        <v>1013.490603402906</v>
      </c>
      <c r="R62" s="26">
        <v>961.00626858382691</v>
      </c>
      <c r="S62" s="24">
        <v>0.29910714285714285</v>
      </c>
      <c r="T62" s="23">
        <v>60.5</v>
      </c>
    </row>
    <row r="63" spans="1:20">
      <c r="A63" s="23" t="s">
        <v>224</v>
      </c>
      <c r="B63" s="23" t="s">
        <v>225</v>
      </c>
      <c r="C63" s="23" t="s">
        <v>1872</v>
      </c>
      <c r="D63" s="25">
        <v>83</v>
      </c>
      <c r="E63" s="25">
        <v>33</v>
      </c>
      <c r="F63" s="25">
        <v>58</v>
      </c>
      <c r="G63" s="25">
        <v>6</v>
      </c>
      <c r="H63" s="24">
        <v>0.80582524271844658</v>
      </c>
      <c r="I63" s="23">
        <v>191.04</v>
      </c>
      <c r="J63" s="23">
        <v>298.17999999999995</v>
      </c>
      <c r="K63" s="23">
        <v>375.73539999999997</v>
      </c>
      <c r="L63" s="23">
        <v>909.125</v>
      </c>
      <c r="M63" s="23">
        <v>1241.2335</v>
      </c>
      <c r="N63" s="23">
        <v>130.08500000000001</v>
      </c>
      <c r="O63" s="24">
        <v>4.8192771084337352E-2</v>
      </c>
      <c r="P63" s="24">
        <v>1</v>
      </c>
      <c r="Q63" s="23">
        <v>919.13532262436001</v>
      </c>
      <c r="R63" s="26">
        <v>901.41705134485426</v>
      </c>
      <c r="S63" s="24">
        <v>0.15662650602409639</v>
      </c>
      <c r="T63" s="23">
        <v>61.47</v>
      </c>
    </row>
    <row r="64" spans="1:20">
      <c r="A64" s="23" t="s">
        <v>334</v>
      </c>
      <c r="B64" s="23" t="s">
        <v>339</v>
      </c>
      <c r="C64" s="23" t="s">
        <v>1872</v>
      </c>
      <c r="D64" s="25">
        <v>132</v>
      </c>
      <c r="E64" s="25">
        <v>32</v>
      </c>
      <c r="F64" s="25">
        <v>116</v>
      </c>
      <c r="G64" s="25">
        <v>6</v>
      </c>
      <c r="H64" s="24">
        <v>0.86842105263157898</v>
      </c>
      <c r="I64" s="23">
        <v>817.30649999999991</v>
      </c>
      <c r="J64" s="23">
        <v>1093.18</v>
      </c>
      <c r="K64" s="23">
        <v>1325.4655</v>
      </c>
      <c r="L64" s="23">
        <v>887.90449999999998</v>
      </c>
      <c r="M64" s="23">
        <v>1512.2347499999998</v>
      </c>
      <c r="N64" s="23">
        <v>105.08850000000001</v>
      </c>
      <c r="O64" s="24">
        <v>3.0303030303030304E-2</v>
      </c>
      <c r="P64" s="24">
        <v>1</v>
      </c>
      <c r="Q64" s="23">
        <v>897.47998177834916</v>
      </c>
      <c r="R64" s="26">
        <v>886.6014365446722</v>
      </c>
      <c r="S64" s="24">
        <v>0.19696969696969696</v>
      </c>
      <c r="T64" s="23">
        <v>62.59</v>
      </c>
    </row>
    <row r="65" spans="1:20">
      <c r="A65" s="23" t="s">
        <v>213</v>
      </c>
      <c r="B65" s="23" t="s">
        <v>214</v>
      </c>
      <c r="C65" s="23" t="s">
        <v>1872</v>
      </c>
      <c r="D65" s="25">
        <v>120</v>
      </c>
      <c r="E65" s="25">
        <v>38</v>
      </c>
      <c r="F65" s="25">
        <v>102</v>
      </c>
      <c r="G65" s="25">
        <v>6</v>
      </c>
      <c r="H65" s="24">
        <v>0.8571428571428571</v>
      </c>
      <c r="I65" s="23">
        <v>1173.3220000000001</v>
      </c>
      <c r="J65" s="23">
        <v>1526.75575</v>
      </c>
      <c r="K65" s="23">
        <v>1928.4884000000004</v>
      </c>
      <c r="L65" s="23">
        <v>866.178</v>
      </c>
      <c r="M65" s="23">
        <v>1430.95625</v>
      </c>
      <c r="N65" s="23">
        <v>85.447000000000003</v>
      </c>
      <c r="O65" s="24">
        <v>9.166666666666666E-2</v>
      </c>
      <c r="P65" s="24">
        <v>1</v>
      </c>
      <c r="Q65" s="23">
        <v>879.67802307363627</v>
      </c>
      <c r="R65" s="26">
        <v>847.42316222760303</v>
      </c>
      <c r="S65" s="24">
        <v>0.38333333333333336</v>
      </c>
      <c r="T65" s="23">
        <v>61.155000000000001</v>
      </c>
    </row>
    <row r="66" spans="1:20">
      <c r="A66" s="23" t="s">
        <v>142</v>
      </c>
      <c r="B66" s="23" t="s">
        <v>149</v>
      </c>
      <c r="C66" s="23" t="s">
        <v>1872</v>
      </c>
      <c r="D66" s="25">
        <v>145</v>
      </c>
      <c r="E66" s="25">
        <v>38</v>
      </c>
      <c r="F66" s="25">
        <v>107</v>
      </c>
      <c r="G66" s="25">
        <v>6</v>
      </c>
      <c r="H66" s="24">
        <v>0.87878787878787878</v>
      </c>
      <c r="I66" s="23">
        <v>16.359000000000002</v>
      </c>
      <c r="J66" s="23">
        <v>74.600999999999999</v>
      </c>
      <c r="K66" s="23">
        <v>147.05919999999992</v>
      </c>
      <c r="L66" s="23">
        <v>756.38</v>
      </c>
      <c r="M66" s="23">
        <v>1189.3599999999999</v>
      </c>
      <c r="N66" s="23">
        <v>131.309</v>
      </c>
      <c r="O66" s="24">
        <v>0.13793103448275862</v>
      </c>
      <c r="P66" s="24">
        <v>1</v>
      </c>
      <c r="Q66" s="23">
        <v>781.14341351702478</v>
      </c>
      <c r="R66" s="26">
        <v>738.04584587470617</v>
      </c>
      <c r="S66" s="24">
        <v>0.14482758620689656</v>
      </c>
      <c r="T66" s="23">
        <v>60.82</v>
      </c>
    </row>
    <row r="67" spans="1:20">
      <c r="A67" s="23" t="s">
        <v>322</v>
      </c>
      <c r="B67" s="23" t="s">
        <v>326</v>
      </c>
      <c r="C67" s="23" t="s">
        <v>1872</v>
      </c>
      <c r="D67" s="25">
        <v>66</v>
      </c>
      <c r="E67" s="25">
        <v>30</v>
      </c>
      <c r="F67" s="25">
        <v>59</v>
      </c>
      <c r="G67" s="25">
        <v>6</v>
      </c>
      <c r="H67" s="24">
        <v>0.76744186046511631</v>
      </c>
      <c r="I67" s="23">
        <v>64.748999999999995</v>
      </c>
      <c r="J67" s="23">
        <v>107.14725</v>
      </c>
      <c r="K67" s="23">
        <v>140.60599999999999</v>
      </c>
      <c r="L67" s="23">
        <v>596.68700000000001</v>
      </c>
      <c r="M67" s="23">
        <v>1089.7027499999999</v>
      </c>
      <c r="N67" s="23">
        <v>94.712000000000003</v>
      </c>
      <c r="O67" s="24">
        <v>0.18181818181818182</v>
      </c>
      <c r="P67" s="24">
        <v>1</v>
      </c>
      <c r="Q67" s="23">
        <v>681.33610732917532</v>
      </c>
      <c r="R67" s="26">
        <v>631.78439043250796</v>
      </c>
      <c r="S67" s="24">
        <v>0.30303030303030304</v>
      </c>
      <c r="T67" s="23">
        <v>59</v>
      </c>
    </row>
    <row r="68" spans="1:20">
      <c r="A68" s="23" t="s">
        <v>303</v>
      </c>
      <c r="B68" s="23" t="s">
        <v>304</v>
      </c>
      <c r="C68" s="23" t="s">
        <v>1872</v>
      </c>
      <c r="D68" s="25">
        <v>71</v>
      </c>
      <c r="E68" s="25">
        <v>25</v>
      </c>
      <c r="F68" s="25">
        <v>56</v>
      </c>
      <c r="G68" s="25">
        <v>6</v>
      </c>
      <c r="H68" s="24">
        <v>0.78021978021978022</v>
      </c>
      <c r="I68" s="23">
        <v>13.263999999999999</v>
      </c>
      <c r="J68" s="23">
        <v>53.117000000000004</v>
      </c>
      <c r="K68" s="23">
        <v>109.67700000000001</v>
      </c>
      <c r="L68" s="23">
        <v>544.10400000000004</v>
      </c>
      <c r="M68" s="23">
        <v>810.95299999999997</v>
      </c>
      <c r="N68" s="23">
        <v>96.197999999999993</v>
      </c>
      <c r="O68" s="24">
        <v>0.16901408450704225</v>
      </c>
      <c r="P68" s="24">
        <v>1</v>
      </c>
      <c r="Q68" s="23">
        <v>635.65876077262726</v>
      </c>
      <c r="R68" s="26">
        <v>592.68464736828059</v>
      </c>
      <c r="S68" s="24">
        <v>0.22535211267605634</v>
      </c>
      <c r="T68" s="23">
        <v>61.47</v>
      </c>
    </row>
    <row r="69" spans="1:20">
      <c r="A69" s="23" t="s">
        <v>256</v>
      </c>
      <c r="B69" s="23" t="s">
        <v>260</v>
      </c>
      <c r="C69" s="23" t="s">
        <v>1873</v>
      </c>
      <c r="D69" s="25">
        <v>118</v>
      </c>
      <c r="E69" s="25">
        <v>28</v>
      </c>
      <c r="F69" s="25">
        <v>112</v>
      </c>
      <c r="G69" s="25">
        <v>6</v>
      </c>
      <c r="H69" s="24">
        <v>0.85507246376811596</v>
      </c>
      <c r="I69" s="23">
        <v>3186.5474999999997</v>
      </c>
      <c r="J69" s="23">
        <v>4839.1077499999992</v>
      </c>
      <c r="K69" s="23">
        <v>6990.4993999999997</v>
      </c>
      <c r="L69" s="23">
        <v>689.34050000000002</v>
      </c>
      <c r="M69" s="23">
        <v>980.01575000000003</v>
      </c>
      <c r="N69" s="23">
        <v>208.45500000000001</v>
      </c>
      <c r="O69" s="24">
        <v>9.3220338983050849E-2</v>
      </c>
      <c r="P69" s="24">
        <v>1</v>
      </c>
      <c r="Q69" s="23">
        <v>3089.0254927980791</v>
      </c>
      <c r="R69" s="26">
        <v>2973.8414913717102</v>
      </c>
      <c r="S69" s="24">
        <v>0.20338983050847459</v>
      </c>
      <c r="T69" s="23">
        <v>60.81</v>
      </c>
    </row>
    <row r="70" spans="1:20">
      <c r="A70" s="23" t="s">
        <v>276</v>
      </c>
      <c r="B70" s="23" t="s">
        <v>282</v>
      </c>
      <c r="C70" s="23" t="s">
        <v>1873</v>
      </c>
      <c r="D70" s="25">
        <v>1</v>
      </c>
      <c r="E70" s="25">
        <v>1</v>
      </c>
      <c r="F70" s="25">
        <v>1</v>
      </c>
      <c r="G70" s="25">
        <v>1</v>
      </c>
      <c r="H70" s="24">
        <v>4.7619047619047616E-2</v>
      </c>
      <c r="I70" s="23">
        <v>1862.442</v>
      </c>
      <c r="J70" s="23">
        <v>1862.442</v>
      </c>
      <c r="K70" s="23">
        <v>1862.442</v>
      </c>
      <c r="L70" s="23">
        <v>13.651</v>
      </c>
      <c r="M70" s="23">
        <v>13.651</v>
      </c>
      <c r="N70" s="23">
        <v>487.42500000000001</v>
      </c>
      <c r="O70" s="24">
        <v>0</v>
      </c>
      <c r="P70" s="24">
        <v>1</v>
      </c>
      <c r="Q70" s="23">
        <v>2482.6359526730935</v>
      </c>
      <c r="R70" s="26">
        <v>2482.6359526730935</v>
      </c>
      <c r="S70" s="24">
        <v>0</v>
      </c>
      <c r="T70" s="23">
        <v>0</v>
      </c>
    </row>
    <row r="71" spans="1:20">
      <c r="A71" s="23" t="s">
        <v>244</v>
      </c>
      <c r="B71" s="23" t="s">
        <v>254</v>
      </c>
      <c r="C71" s="23" t="s">
        <v>1873</v>
      </c>
      <c r="D71" s="25">
        <v>207</v>
      </c>
      <c r="E71" s="25">
        <v>56</v>
      </c>
      <c r="F71" s="25">
        <v>174</v>
      </c>
      <c r="G71" s="25">
        <v>6</v>
      </c>
      <c r="H71" s="24">
        <v>0.91189427312775329</v>
      </c>
      <c r="I71" s="23">
        <v>2133.2049999999999</v>
      </c>
      <c r="J71" s="23">
        <v>2850.9255000000003</v>
      </c>
      <c r="K71" s="23">
        <v>3554.5291999999999</v>
      </c>
      <c r="L71" s="23">
        <v>661.428</v>
      </c>
      <c r="M71" s="23">
        <v>1053.038</v>
      </c>
      <c r="N71" s="23">
        <v>192.97300000000001</v>
      </c>
      <c r="O71" s="24">
        <v>2.4154589371980676E-2</v>
      </c>
      <c r="P71" s="24">
        <v>1</v>
      </c>
      <c r="Q71" s="23">
        <v>2166.7240000270262</v>
      </c>
      <c r="R71" s="26">
        <v>2145.7894686257987</v>
      </c>
      <c r="S71" s="24">
        <v>0.28019323671497587</v>
      </c>
      <c r="T71" s="23">
        <v>59.099999999999994</v>
      </c>
    </row>
    <row r="72" spans="1:20">
      <c r="A72" s="23" t="s">
        <v>152</v>
      </c>
      <c r="B72" s="23" t="s">
        <v>156</v>
      </c>
      <c r="C72" s="23" t="s">
        <v>1874</v>
      </c>
      <c r="D72" s="25">
        <v>65</v>
      </c>
      <c r="E72" s="25">
        <v>28</v>
      </c>
      <c r="F72" s="25">
        <v>57</v>
      </c>
      <c r="G72" s="25">
        <v>6</v>
      </c>
      <c r="H72" s="24">
        <v>0.76470588235294112</v>
      </c>
      <c r="I72" s="23">
        <v>3636.83</v>
      </c>
      <c r="J72" s="23">
        <v>4676.817</v>
      </c>
      <c r="K72" s="23">
        <v>5628.9132</v>
      </c>
      <c r="L72" s="23">
        <v>96.864999999999995</v>
      </c>
      <c r="M72" s="23">
        <v>188.78100000000001</v>
      </c>
      <c r="N72" s="23">
        <v>215.05799999999999</v>
      </c>
      <c r="O72" s="24">
        <v>6.1538461538461542E-2</v>
      </c>
      <c r="P72" s="24">
        <v>1</v>
      </c>
      <c r="Q72" s="23">
        <v>268.24359921894069</v>
      </c>
      <c r="R72" s="26">
        <v>359.98284529045401</v>
      </c>
      <c r="S72" s="24">
        <v>0.24615384615384617</v>
      </c>
      <c r="T72" s="23">
        <v>59.314999999999998</v>
      </c>
    </row>
    <row r="73" spans="1:20">
      <c r="A73" s="23" t="s">
        <v>183</v>
      </c>
      <c r="B73" s="23" t="s">
        <v>186</v>
      </c>
      <c r="C73" s="23" t="s">
        <v>1874</v>
      </c>
      <c r="D73" s="25">
        <v>15</v>
      </c>
      <c r="E73" s="25">
        <v>6</v>
      </c>
      <c r="F73" s="25">
        <v>15</v>
      </c>
      <c r="G73" s="25">
        <v>6</v>
      </c>
      <c r="H73" s="24">
        <v>0.42857142857142855</v>
      </c>
      <c r="I73" s="23">
        <v>1042.6099999999999</v>
      </c>
      <c r="J73" s="23">
        <v>1173.7750000000001</v>
      </c>
      <c r="K73" s="23">
        <v>1330.5826</v>
      </c>
      <c r="L73" s="23">
        <v>77.757000000000005</v>
      </c>
      <c r="M73" s="23">
        <v>103.366</v>
      </c>
      <c r="N73" s="23">
        <v>174.51</v>
      </c>
      <c r="O73" s="24">
        <v>6.6666666666666666E-2</v>
      </c>
      <c r="P73" s="24">
        <v>1</v>
      </c>
      <c r="Q73" s="23">
        <v>326.84531238885592</v>
      </c>
      <c r="R73" s="26">
        <v>294.85450306518567</v>
      </c>
      <c r="S73" s="24">
        <v>0.26666666666666666</v>
      </c>
      <c r="T73" s="23">
        <v>63.47</v>
      </c>
    </row>
    <row r="74" spans="1:20">
      <c r="A74" s="23" t="s">
        <v>244</v>
      </c>
      <c r="B74" s="23" t="s">
        <v>248</v>
      </c>
      <c r="C74" s="23" t="s">
        <v>1874</v>
      </c>
      <c r="D74" s="25">
        <v>39</v>
      </c>
      <c r="E74" s="25">
        <v>11</v>
      </c>
      <c r="F74" s="25">
        <v>36</v>
      </c>
      <c r="G74" s="25">
        <v>6</v>
      </c>
      <c r="H74" s="24">
        <v>0.66101694915254239</v>
      </c>
      <c r="I74" s="23">
        <v>1584.316</v>
      </c>
      <c r="J74" s="23">
        <v>2184.1059999999998</v>
      </c>
      <c r="K74" s="23">
        <v>2815.44</v>
      </c>
      <c r="L74" s="23">
        <v>113.28400000000001</v>
      </c>
      <c r="M74" s="23">
        <v>257.51549999999997</v>
      </c>
      <c r="N74" s="23">
        <v>348.13</v>
      </c>
      <c r="O74" s="24">
        <v>0</v>
      </c>
      <c r="P74" s="24">
        <v>1</v>
      </c>
      <c r="Q74" s="23">
        <v>379.64416836627049</v>
      </c>
      <c r="R74" s="26">
        <v>262.71254970016025</v>
      </c>
      <c r="S74" s="24">
        <v>0.30769230769230771</v>
      </c>
      <c r="T74" s="23">
        <v>59.17</v>
      </c>
    </row>
    <row r="75" spans="1:20">
      <c r="A75" s="23" t="s">
        <v>224</v>
      </c>
      <c r="B75" s="23" t="s">
        <v>233</v>
      </c>
      <c r="C75" s="23" t="s">
        <v>1874</v>
      </c>
      <c r="D75" s="25">
        <v>19</v>
      </c>
      <c r="E75" s="25">
        <v>7</v>
      </c>
      <c r="F75" s="25">
        <v>19</v>
      </c>
      <c r="G75" s="25">
        <v>6</v>
      </c>
      <c r="H75" s="24">
        <v>0.48717948717948717</v>
      </c>
      <c r="I75" s="23">
        <v>2177.1350000000002</v>
      </c>
      <c r="J75" s="23">
        <v>2576.8145</v>
      </c>
      <c r="K75" s="23">
        <v>3494.4723999999997</v>
      </c>
      <c r="L75" s="23">
        <v>84.66</v>
      </c>
      <c r="M75" s="23">
        <v>282.81950000000001</v>
      </c>
      <c r="N75" s="23">
        <v>433.03800000000001</v>
      </c>
      <c r="O75" s="24">
        <v>5.2631578947368418E-2</v>
      </c>
      <c r="P75" s="24">
        <v>1</v>
      </c>
      <c r="Q75" s="23">
        <v>437.17071624640914</v>
      </c>
      <c r="R75" s="26">
        <v>222.21571967825346</v>
      </c>
      <c r="S75" s="24">
        <v>5.2631578947368418E-2</v>
      </c>
      <c r="T75" s="23">
        <v>61.61</v>
      </c>
    </row>
    <row r="76" spans="1:20">
      <c r="A76" s="23" t="s">
        <v>322</v>
      </c>
      <c r="B76" s="23" t="s">
        <v>328</v>
      </c>
      <c r="C76" s="23" t="s">
        <v>1874</v>
      </c>
      <c r="D76" s="25">
        <v>97</v>
      </c>
      <c r="E76" s="25">
        <v>32</v>
      </c>
      <c r="F76" s="25">
        <v>80</v>
      </c>
      <c r="G76" s="25">
        <v>6</v>
      </c>
      <c r="H76" s="24">
        <v>0.82905982905982911</v>
      </c>
      <c r="I76" s="23">
        <v>2423.703</v>
      </c>
      <c r="J76" s="23">
        <v>3082.835</v>
      </c>
      <c r="K76" s="23">
        <v>5503.6078000000016</v>
      </c>
      <c r="L76" s="23">
        <v>114.236</v>
      </c>
      <c r="M76" s="23">
        <v>189.84200000000001</v>
      </c>
      <c r="N76" s="23">
        <v>452.041</v>
      </c>
      <c r="O76" s="24">
        <v>3.0927835051546393E-2</v>
      </c>
      <c r="P76" s="24">
        <v>1</v>
      </c>
      <c r="Q76" s="23">
        <v>450.17019601376035</v>
      </c>
      <c r="R76" s="26">
        <v>218.21833338570067</v>
      </c>
      <c r="S76" s="24">
        <v>0.21649484536082475</v>
      </c>
      <c r="T76" s="23">
        <v>61.18</v>
      </c>
    </row>
    <row r="77" spans="1:20">
      <c r="A77" s="23" t="s">
        <v>204</v>
      </c>
      <c r="B77" s="23" t="s">
        <v>205</v>
      </c>
      <c r="C77" s="23" t="s">
        <v>1874</v>
      </c>
      <c r="D77" s="25">
        <v>23</v>
      </c>
      <c r="E77" s="25">
        <v>10</v>
      </c>
      <c r="F77" s="25">
        <v>22</v>
      </c>
      <c r="G77" s="25">
        <v>6</v>
      </c>
      <c r="H77" s="24">
        <v>0.53488372093023251</v>
      </c>
      <c r="I77" s="23">
        <v>764.48299999999995</v>
      </c>
      <c r="J77" s="23">
        <v>956.10450000000003</v>
      </c>
      <c r="K77" s="23">
        <v>1198.9939999999999</v>
      </c>
      <c r="L77" s="23">
        <v>28.184000000000001</v>
      </c>
      <c r="M77" s="23">
        <v>44.228999999999999</v>
      </c>
      <c r="N77" s="23">
        <v>483.29599999999999</v>
      </c>
      <c r="O77" s="24">
        <v>0</v>
      </c>
      <c r="P77" s="24">
        <v>1</v>
      </c>
      <c r="Q77" s="23">
        <v>463.66846357232458</v>
      </c>
      <c r="R77" s="26">
        <v>215.2072022086673</v>
      </c>
      <c r="S77" s="24">
        <v>0.2608695652173913</v>
      </c>
      <c r="T77" s="23">
        <v>57.734999999999999</v>
      </c>
    </row>
    <row r="78" spans="1:20">
      <c r="A78" s="23" t="s">
        <v>213</v>
      </c>
      <c r="B78" s="23" t="s">
        <v>221</v>
      </c>
      <c r="C78" s="23" t="s">
        <v>1874</v>
      </c>
      <c r="D78" s="25">
        <v>22</v>
      </c>
      <c r="E78" s="25">
        <v>5</v>
      </c>
      <c r="F78" s="25">
        <v>22</v>
      </c>
      <c r="G78" s="25">
        <v>6</v>
      </c>
      <c r="H78" s="24">
        <v>0.52380952380952384</v>
      </c>
      <c r="I78" s="23">
        <v>1601.8434999999999</v>
      </c>
      <c r="J78" s="23">
        <v>2208.4854999999998</v>
      </c>
      <c r="K78" s="23">
        <v>2561.5260000000003</v>
      </c>
      <c r="L78" s="23">
        <v>26.804000000000002</v>
      </c>
      <c r="M78" s="23">
        <v>38.313000000000002</v>
      </c>
      <c r="N78" s="23">
        <v>335.29300000000001</v>
      </c>
      <c r="O78" s="24">
        <v>0.40909090909090912</v>
      </c>
      <c r="P78" s="24">
        <v>1</v>
      </c>
      <c r="Q78" s="23">
        <v>385.67576032404662</v>
      </c>
      <c r="R78" s="26">
        <v>205.71616508568553</v>
      </c>
      <c r="S78" s="24">
        <v>0.54545454545454541</v>
      </c>
      <c r="T78" s="23">
        <v>60.56</v>
      </c>
    </row>
    <row r="79" spans="1:20">
      <c r="A79" s="23" t="s">
        <v>162</v>
      </c>
      <c r="B79" s="23" t="s">
        <v>168</v>
      </c>
      <c r="C79" s="23" t="s">
        <v>1874</v>
      </c>
      <c r="D79" s="25">
        <v>52</v>
      </c>
      <c r="E79" s="25">
        <v>17</v>
      </c>
      <c r="F79" s="25">
        <v>50</v>
      </c>
      <c r="G79" s="25">
        <v>6</v>
      </c>
      <c r="H79" s="24">
        <v>0.72222222222222221</v>
      </c>
      <c r="I79" s="23">
        <v>1900.3780000000002</v>
      </c>
      <c r="J79" s="23">
        <v>2408.7402499999998</v>
      </c>
      <c r="K79" s="23">
        <v>2608.8427999999999</v>
      </c>
      <c r="L79" s="23">
        <v>124.94749999999999</v>
      </c>
      <c r="M79" s="23">
        <v>145.61375000000001</v>
      </c>
      <c r="N79" s="23">
        <v>455.76049999999998</v>
      </c>
      <c r="O79" s="24">
        <v>0.19230769230769232</v>
      </c>
      <c r="P79" s="24">
        <v>1</v>
      </c>
      <c r="Q79" s="23">
        <v>451.68724907791608</v>
      </c>
      <c r="R79" s="26">
        <v>199.66238406034378</v>
      </c>
      <c r="S79" s="24">
        <v>0.26923076923076922</v>
      </c>
      <c r="T79" s="23">
        <v>62</v>
      </c>
    </row>
    <row r="80" spans="1:20">
      <c r="A80" s="23" t="s">
        <v>236</v>
      </c>
      <c r="B80" s="23" t="s">
        <v>241</v>
      </c>
      <c r="C80" s="23" t="s">
        <v>1874</v>
      </c>
      <c r="D80" s="25">
        <v>61</v>
      </c>
      <c r="E80" s="25">
        <v>13</v>
      </c>
      <c r="F80" s="25">
        <v>61</v>
      </c>
      <c r="G80" s="25">
        <v>6</v>
      </c>
      <c r="H80" s="24">
        <v>0.75308641975308643</v>
      </c>
      <c r="I80" s="23">
        <v>2744.0340000000001</v>
      </c>
      <c r="J80" s="23">
        <v>3145.3139999999999</v>
      </c>
      <c r="K80" s="23">
        <v>3674.6610000000001</v>
      </c>
      <c r="L80" s="23">
        <v>169.6</v>
      </c>
      <c r="M80" s="23">
        <v>249.05799999999999</v>
      </c>
      <c r="N80" s="23">
        <v>519.66300000000001</v>
      </c>
      <c r="O80" s="24">
        <v>0</v>
      </c>
      <c r="P80" s="24">
        <v>1</v>
      </c>
      <c r="Q80" s="23">
        <v>500.26393745197481</v>
      </c>
      <c r="R80" s="26">
        <v>199.49569982696153</v>
      </c>
      <c r="S80" s="24">
        <v>0.32786885245901637</v>
      </c>
      <c r="T80" s="23">
        <v>59.14</v>
      </c>
    </row>
    <row r="81" spans="1:20">
      <c r="A81" s="23" t="s">
        <v>285</v>
      </c>
      <c r="B81" s="23" t="s">
        <v>292</v>
      </c>
      <c r="C81" s="23" t="s">
        <v>1874</v>
      </c>
      <c r="D81" s="25">
        <v>40</v>
      </c>
      <c r="E81" s="25">
        <v>15</v>
      </c>
      <c r="F81" s="25">
        <v>40</v>
      </c>
      <c r="G81" s="25">
        <v>6</v>
      </c>
      <c r="H81" s="24">
        <v>0.66666666666666663</v>
      </c>
      <c r="I81" s="23">
        <v>1442.193</v>
      </c>
      <c r="J81" s="23">
        <v>2028.1344999999999</v>
      </c>
      <c r="K81" s="23">
        <v>2896.0488</v>
      </c>
      <c r="L81" s="23">
        <v>178.06950000000001</v>
      </c>
      <c r="M81" s="23">
        <v>292.685</v>
      </c>
      <c r="N81" s="23">
        <v>505.11350000000004</v>
      </c>
      <c r="O81" s="24">
        <v>0.1</v>
      </c>
      <c r="P81" s="24">
        <v>1</v>
      </c>
      <c r="Q81" s="23">
        <v>483.77459889349939</v>
      </c>
      <c r="R81" s="26">
        <v>195.96736342382215</v>
      </c>
      <c r="S81" s="24">
        <v>0.3</v>
      </c>
      <c r="T81" s="23">
        <v>59.33</v>
      </c>
    </row>
    <row r="82" spans="1:20">
      <c r="A82" s="23" t="s">
        <v>194</v>
      </c>
      <c r="B82" s="23" t="s">
        <v>201</v>
      </c>
      <c r="C82" s="23" t="s">
        <v>1874</v>
      </c>
      <c r="D82" s="25">
        <v>5</v>
      </c>
      <c r="E82" s="25">
        <v>4</v>
      </c>
      <c r="F82" s="25">
        <v>5</v>
      </c>
      <c r="G82" s="25">
        <v>5</v>
      </c>
      <c r="H82" s="24">
        <v>0.2</v>
      </c>
      <c r="I82" s="23">
        <v>2508.6350000000002</v>
      </c>
      <c r="J82" s="23">
        <v>2522.5419999999999</v>
      </c>
      <c r="K82" s="23">
        <v>2623.57</v>
      </c>
      <c r="L82" s="23">
        <v>97.191999999999993</v>
      </c>
      <c r="M82" s="23">
        <v>106.30200000000001</v>
      </c>
      <c r="N82" s="23">
        <v>794.01199999999994</v>
      </c>
      <c r="O82" s="24">
        <v>0</v>
      </c>
      <c r="P82" s="24">
        <v>1</v>
      </c>
      <c r="Q82" s="23">
        <v>511.67983734439838</v>
      </c>
      <c r="R82" s="26">
        <v>195.05350652755217</v>
      </c>
      <c r="S82" s="24">
        <v>0.4</v>
      </c>
      <c r="T82" s="23">
        <v>58.91</v>
      </c>
    </row>
    <row r="83" spans="1:20">
      <c r="A83" s="23" t="s">
        <v>256</v>
      </c>
      <c r="B83" s="23" t="s">
        <v>264</v>
      </c>
      <c r="C83" s="23" t="s">
        <v>1874</v>
      </c>
      <c r="D83" s="25">
        <v>44</v>
      </c>
      <c r="E83" s="25">
        <v>12</v>
      </c>
      <c r="F83" s="25">
        <v>42</v>
      </c>
      <c r="G83" s="25">
        <v>6</v>
      </c>
      <c r="H83" s="24">
        <v>0.6875</v>
      </c>
      <c r="I83" s="23">
        <v>3734.48</v>
      </c>
      <c r="J83" s="23">
        <v>4845.6797500000002</v>
      </c>
      <c r="K83" s="23">
        <v>6581.6292000000003</v>
      </c>
      <c r="L83" s="23">
        <v>213.45750000000001</v>
      </c>
      <c r="M83" s="23">
        <v>498.56924999999995</v>
      </c>
      <c r="N83" s="23">
        <v>733.94600000000003</v>
      </c>
      <c r="O83" s="24">
        <v>4.5454545454545456E-2</v>
      </c>
      <c r="P83" s="24">
        <v>1</v>
      </c>
      <c r="Q83" s="23">
        <v>642.43062396265555</v>
      </c>
      <c r="R83" s="26">
        <v>151.88470844829541</v>
      </c>
      <c r="S83" s="24">
        <v>0.13636363636363635</v>
      </c>
      <c r="T83" s="23">
        <v>56.36</v>
      </c>
    </row>
  </sheetData>
  <conditionalFormatting sqref="R2:R83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{1DA5B780-2FCF-D55D-5D27-3E47A19AE817}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A5B780-2FCF-D55D-5D27-3E47A19AE817}">
            <x14:dataBar>
              <x14:cfvo type="min"/>
              <x14:cfvo type="max"/>
              <x14:negativeFillColor auto="1"/>
              <x14:axisColor auto="1"/>
            </x14:dataBar>
          </x14:cfRule>
          <xm:sqref>R2:R83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3"/>
  <sheetViews>
    <sheetView workbookViewId="0">
      <selection activeCell="D6" sqref="D6"/>
    </sheetView>
  </sheetViews>
  <sheetFormatPr defaultRowHeight="14.25"/>
  <cols>
    <col min="1" max="1" width="8" customWidth="1"/>
    <col min="2" max="2" width="24" customWidth="1"/>
    <col min="3" max="3" width="32" customWidth="1"/>
    <col min="4" max="4" width="29" bestFit="1" customWidth="1"/>
    <col min="5" max="8" width="18" customWidth="1"/>
    <col min="10" max="10" width="18" customWidth="1"/>
    <col min="11" max="11" width="28" customWidth="1"/>
    <col min="12" max="12" width="11" customWidth="1"/>
    <col min="13" max="13" width="28" customWidth="1"/>
    <col min="14" max="14" width="11" customWidth="1"/>
    <col min="15" max="15" width="13" customWidth="1"/>
    <col min="16" max="16" width="16" customWidth="1"/>
  </cols>
  <sheetData>
    <row r="1" spans="1:8" ht="33.950000000000003" customHeight="1">
      <c r="A1" s="126" t="s">
        <v>1875</v>
      </c>
      <c r="B1" s="126"/>
      <c r="C1" s="126"/>
      <c r="D1" s="126"/>
      <c r="E1" s="126"/>
      <c r="F1" s="126"/>
      <c r="G1" s="126"/>
      <c r="H1" s="126"/>
    </row>
    <row r="2" spans="1:8" ht="33.950000000000003" customHeight="1">
      <c r="A2" s="127" t="s">
        <v>1876</v>
      </c>
      <c r="B2" s="127"/>
      <c r="C2" s="127"/>
      <c r="D2" s="127"/>
      <c r="E2" s="127"/>
      <c r="F2" s="127"/>
      <c r="G2" s="127"/>
      <c r="H2" s="127"/>
    </row>
    <row r="4" spans="1:8" ht="15">
      <c r="A4" s="27" t="s">
        <v>1877</v>
      </c>
      <c r="B4" s="27" t="s">
        <v>632</v>
      </c>
      <c r="D4" s="27" t="s">
        <v>129</v>
      </c>
      <c r="E4" s="27" t="s">
        <v>1878</v>
      </c>
    </row>
    <row r="5" spans="1:8">
      <c r="A5" t="s">
        <v>732</v>
      </c>
      <c r="B5">
        <v>239</v>
      </c>
      <c r="D5" t="s">
        <v>1879</v>
      </c>
      <c r="E5" s="28">
        <v>263</v>
      </c>
    </row>
    <row r="6" spans="1:8">
      <c r="A6" t="s">
        <v>739</v>
      </c>
      <c r="B6">
        <v>81</v>
      </c>
      <c r="D6" t="s">
        <v>1880</v>
      </c>
      <c r="E6" s="28">
        <v>51</v>
      </c>
    </row>
    <row r="7" spans="1:8">
      <c r="A7" t="s">
        <v>776</v>
      </c>
      <c r="B7">
        <v>20</v>
      </c>
      <c r="D7" t="s">
        <v>1881</v>
      </c>
      <c r="E7" s="28">
        <v>12148016</v>
      </c>
    </row>
    <row r="8" spans="1:8">
      <c r="D8" t="s">
        <v>1882</v>
      </c>
      <c r="E8" s="28">
        <v>2240</v>
      </c>
    </row>
    <row r="9" spans="1:8">
      <c r="D9" t="s">
        <v>1883</v>
      </c>
      <c r="E9" s="28">
        <v>340</v>
      </c>
    </row>
    <row r="10" spans="1:8">
      <c r="D10" t="s">
        <v>1884</v>
      </c>
      <c r="E10" s="28">
        <v>43</v>
      </c>
    </row>
    <row r="12" spans="1:8" ht="16.5">
      <c r="A12" s="128" t="s">
        <v>1885</v>
      </c>
      <c r="B12" s="128"/>
      <c r="C12" s="128"/>
      <c r="D12" s="128"/>
      <c r="E12" s="128"/>
      <c r="F12" s="128"/>
      <c r="G12" s="128"/>
      <c r="H12" s="128"/>
    </row>
    <row r="13" spans="1:8" ht="44.1" customHeight="1">
      <c r="A13" s="29" t="s">
        <v>1886</v>
      </c>
      <c r="B13" s="29" t="s">
        <v>1887</v>
      </c>
      <c r="C13" s="121" t="s">
        <v>1888</v>
      </c>
      <c r="D13" s="121"/>
      <c r="E13" s="121"/>
      <c r="F13" s="121"/>
      <c r="G13" s="121"/>
      <c r="H13" s="121"/>
    </row>
    <row r="14" spans="1:8" ht="44.1" customHeight="1">
      <c r="A14" s="29" t="s">
        <v>1889</v>
      </c>
      <c r="B14" s="29" t="s">
        <v>1890</v>
      </c>
      <c r="C14" s="121" t="s">
        <v>1891</v>
      </c>
      <c r="D14" s="121"/>
      <c r="E14" s="121"/>
      <c r="F14" s="121"/>
      <c r="G14" s="121"/>
      <c r="H14" s="121"/>
    </row>
    <row r="15" spans="1:8" ht="44.1" customHeight="1">
      <c r="A15" s="29" t="s">
        <v>1892</v>
      </c>
      <c r="B15" s="29" t="s">
        <v>1893</v>
      </c>
      <c r="C15" s="121" t="s">
        <v>1894</v>
      </c>
      <c r="D15" s="121"/>
      <c r="E15" s="121"/>
      <c r="F15" s="121"/>
      <c r="G15" s="121"/>
      <c r="H15" s="121"/>
    </row>
    <row r="16" spans="1:8" ht="44.1" customHeight="1">
      <c r="A16" s="29" t="s">
        <v>1895</v>
      </c>
      <c r="B16" s="29" t="s">
        <v>1896</v>
      </c>
      <c r="C16" s="121" t="s">
        <v>1897</v>
      </c>
      <c r="D16" s="121"/>
      <c r="E16" s="121"/>
      <c r="F16" s="121"/>
      <c r="G16" s="121"/>
      <c r="H16" s="121"/>
    </row>
    <row r="18" spans="1:16" ht="15">
      <c r="A18" s="129" t="s">
        <v>1898</v>
      </c>
      <c r="B18" s="129"/>
      <c r="C18" s="129"/>
      <c r="D18" s="129"/>
      <c r="E18" s="129"/>
      <c r="F18" s="129"/>
      <c r="G18" s="129"/>
      <c r="H18" s="129"/>
    </row>
    <row r="19" spans="1:16">
      <c r="A19" s="130" t="s">
        <v>1899</v>
      </c>
      <c r="B19" s="130"/>
      <c r="C19" s="130"/>
      <c r="D19" s="130"/>
      <c r="E19" s="130"/>
      <c r="F19" s="130"/>
      <c r="G19" s="130"/>
      <c r="H19" s="130"/>
    </row>
    <row r="20" spans="1:16" ht="15">
      <c r="A20" s="130"/>
      <c r="B20" s="130"/>
      <c r="C20" s="130"/>
      <c r="D20" s="130"/>
      <c r="E20" s="130"/>
      <c r="F20" s="130"/>
      <c r="G20" s="130"/>
      <c r="H20" s="130"/>
      <c r="J20" s="131" t="s">
        <v>1900</v>
      </c>
      <c r="K20" s="131"/>
      <c r="L20" s="131"/>
      <c r="M20" s="131"/>
      <c r="N20" s="131"/>
      <c r="O20" s="131"/>
      <c r="P20" s="131"/>
    </row>
    <row r="21" spans="1:16" ht="30">
      <c r="A21" s="130"/>
      <c r="B21" s="130"/>
      <c r="C21" s="130"/>
      <c r="D21" s="130"/>
      <c r="E21" s="130"/>
      <c r="F21" s="130"/>
      <c r="G21" s="130"/>
      <c r="H21" s="130"/>
      <c r="J21" s="30" t="s">
        <v>579</v>
      </c>
      <c r="K21" s="30" t="s">
        <v>1842</v>
      </c>
      <c r="L21" s="30" t="s">
        <v>1901</v>
      </c>
      <c r="M21" s="30" t="s">
        <v>1845</v>
      </c>
      <c r="N21" s="30" t="s">
        <v>1902</v>
      </c>
      <c r="O21" s="30" t="s">
        <v>1849</v>
      </c>
      <c r="P21" s="30" t="s">
        <v>1903</v>
      </c>
    </row>
    <row r="22" spans="1:16">
      <c r="A22" s="130"/>
      <c r="B22" s="130"/>
      <c r="C22" s="130"/>
      <c r="D22" s="130"/>
      <c r="E22" s="130"/>
      <c r="F22" s="130"/>
      <c r="G22" s="130"/>
      <c r="H22" s="130"/>
      <c r="J22" t="s">
        <v>153</v>
      </c>
      <c r="K22" t="s">
        <v>1162</v>
      </c>
      <c r="L22" s="31">
        <v>0.86065573770491799</v>
      </c>
      <c r="M22" t="s">
        <v>1174</v>
      </c>
      <c r="N22" s="31">
        <v>0.13934426229508196</v>
      </c>
      <c r="O22" s="31">
        <v>0.17647058823529413</v>
      </c>
      <c r="P22" t="s">
        <v>733</v>
      </c>
    </row>
    <row r="23" spans="1:16">
      <c r="J23" t="s">
        <v>153</v>
      </c>
      <c r="K23" t="s">
        <v>1166</v>
      </c>
      <c r="L23" s="31">
        <v>0.25409836065573771</v>
      </c>
      <c r="M23" t="s">
        <v>1168</v>
      </c>
      <c r="N23" s="31">
        <v>0.23770491803278687</v>
      </c>
      <c r="O23" s="31">
        <v>0.13793103448275862</v>
      </c>
      <c r="P23" t="s">
        <v>733</v>
      </c>
    </row>
    <row r="24" spans="1:16">
      <c r="J24" t="s">
        <v>153</v>
      </c>
      <c r="K24" t="s">
        <v>1166</v>
      </c>
      <c r="L24" s="31">
        <v>0.25409836065573771</v>
      </c>
      <c r="M24" t="s">
        <v>1174</v>
      </c>
      <c r="N24" s="31">
        <v>0.13934426229508196</v>
      </c>
      <c r="O24" s="31">
        <v>0.17647058823529413</v>
      </c>
      <c r="P24" t="s">
        <v>733</v>
      </c>
    </row>
    <row r="25" spans="1:16">
      <c r="J25" t="s">
        <v>153</v>
      </c>
      <c r="K25" t="s">
        <v>1170</v>
      </c>
      <c r="L25" s="31">
        <v>0.19672131147540983</v>
      </c>
      <c r="M25" t="s">
        <v>1174</v>
      </c>
      <c r="N25" s="31">
        <v>0.13934426229508196</v>
      </c>
      <c r="O25" s="31">
        <v>0.11764705882352941</v>
      </c>
      <c r="P25" t="s">
        <v>733</v>
      </c>
    </row>
    <row r="26" spans="1:16">
      <c r="J26" t="s">
        <v>153</v>
      </c>
      <c r="K26" t="s">
        <v>1172</v>
      </c>
      <c r="L26" s="31">
        <v>0.1721311475409836</v>
      </c>
      <c r="M26" t="s">
        <v>1176</v>
      </c>
      <c r="N26" s="31">
        <v>0.12295081967213115</v>
      </c>
      <c r="O26" s="31">
        <v>0.13333333333333333</v>
      </c>
      <c r="P26" t="s">
        <v>733</v>
      </c>
    </row>
    <row r="27" spans="1:16">
      <c r="J27" t="s">
        <v>1178</v>
      </c>
      <c r="K27" t="s">
        <v>1179</v>
      </c>
      <c r="L27" s="31">
        <v>0.66666666666666663</v>
      </c>
      <c r="M27" t="s">
        <v>1183</v>
      </c>
      <c r="N27" s="31">
        <v>0.25</v>
      </c>
      <c r="O27" s="31">
        <v>0</v>
      </c>
      <c r="P27" t="s">
        <v>733</v>
      </c>
    </row>
    <row r="28" spans="1:16">
      <c r="J28" t="s">
        <v>1178</v>
      </c>
      <c r="K28" t="s">
        <v>1181</v>
      </c>
      <c r="L28" s="31">
        <v>0.63888888888888884</v>
      </c>
      <c r="M28" t="s">
        <v>1183</v>
      </c>
      <c r="N28" s="31">
        <v>0.25</v>
      </c>
      <c r="O28" s="31">
        <v>0</v>
      </c>
      <c r="P28" t="s">
        <v>733</v>
      </c>
    </row>
    <row r="29" spans="1:16">
      <c r="J29" t="s">
        <v>1178</v>
      </c>
      <c r="K29" t="s">
        <v>1183</v>
      </c>
      <c r="L29" s="31">
        <v>0.25</v>
      </c>
      <c r="M29" t="s">
        <v>1185</v>
      </c>
      <c r="N29" s="31">
        <v>0.1388888888888889</v>
      </c>
      <c r="O29" s="31">
        <v>0</v>
      </c>
      <c r="P29" t="s">
        <v>733</v>
      </c>
    </row>
    <row r="30" spans="1:16">
      <c r="J30" t="s">
        <v>156</v>
      </c>
      <c r="K30" t="s">
        <v>1199</v>
      </c>
      <c r="L30" s="31">
        <v>0.32846715328467152</v>
      </c>
      <c r="M30" t="s">
        <v>1201</v>
      </c>
      <c r="N30" s="31">
        <v>0.19708029197080293</v>
      </c>
      <c r="O30" s="31">
        <v>0.14814814814814814</v>
      </c>
      <c r="P30" t="s">
        <v>733</v>
      </c>
    </row>
    <row r="31" spans="1:16">
      <c r="J31" t="s">
        <v>156</v>
      </c>
      <c r="K31" t="s">
        <v>1203</v>
      </c>
      <c r="L31" s="31">
        <v>0.16788321167883211</v>
      </c>
      <c r="M31" t="s">
        <v>1207</v>
      </c>
      <c r="N31" s="31">
        <v>0.13868613138686131</v>
      </c>
      <c r="O31" s="31">
        <v>0.15789473684210525</v>
      </c>
      <c r="P31" t="s">
        <v>733</v>
      </c>
    </row>
    <row r="33" spans="1:16" ht="15">
      <c r="A33" s="132" t="s">
        <v>1904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</row>
  </sheetData>
  <mergeCells count="11">
    <mergeCell ref="A33:P33"/>
    <mergeCell ref="J20:P20"/>
    <mergeCell ref="C13:H13"/>
    <mergeCell ref="C14:H14"/>
    <mergeCell ref="C15:H15"/>
    <mergeCell ref="C16:H16"/>
    <mergeCell ref="A1:H1"/>
    <mergeCell ref="A2:H2"/>
    <mergeCell ref="A12:H12"/>
    <mergeCell ref="A18:H18"/>
    <mergeCell ref="A19:H22"/>
  </mergeCells>
  <dataValidations count="1">
    <dataValidation type="list" sqref="P22:P31" xr:uid="{00000000-0002-0000-0D00-000000000000}">
      <formula1>"На проверку,Подтверждено,Не эксклюзивно"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X71"/>
  <sheetViews>
    <sheetView workbookViewId="0">
      <selection activeCell="H3" sqref="A3:H3"/>
    </sheetView>
  </sheetViews>
  <sheetFormatPr defaultRowHeight="14.25"/>
  <cols>
    <col min="1" max="1" width="16" customWidth="1"/>
    <col min="2" max="2" width="18" customWidth="1"/>
    <col min="3" max="3" width="16" customWidth="1"/>
    <col min="4" max="4" width="30" customWidth="1"/>
    <col min="5" max="5" width="10" customWidth="1"/>
    <col min="6" max="6" width="8" customWidth="1"/>
    <col min="7" max="7" width="10" customWidth="1"/>
    <col min="8" max="8" width="24" customWidth="1"/>
    <col min="9" max="10" width="10" customWidth="1"/>
    <col min="11" max="20" width="11" customWidth="1"/>
    <col min="21" max="21" width="45" customWidth="1"/>
    <col min="22" max="22" width="65" customWidth="1"/>
    <col min="23" max="25" width="18" customWidth="1"/>
  </cols>
  <sheetData>
    <row r="1" spans="1:76" ht="45">
      <c r="A1" s="33" t="s">
        <v>23</v>
      </c>
      <c r="B1" s="33" t="s">
        <v>24</v>
      </c>
      <c r="C1" s="33" t="s">
        <v>25</v>
      </c>
      <c r="D1" s="33" t="s">
        <v>630</v>
      </c>
      <c r="E1" s="33" t="s">
        <v>1905</v>
      </c>
      <c r="F1" s="33" t="s">
        <v>1855</v>
      </c>
      <c r="G1" s="33" t="s">
        <v>1858</v>
      </c>
      <c r="H1" s="33" t="s">
        <v>1906</v>
      </c>
      <c r="I1" s="33" t="s">
        <v>1907</v>
      </c>
      <c r="J1" s="33" t="s">
        <v>1865</v>
      </c>
      <c r="K1" s="33" t="s">
        <v>1908</v>
      </c>
      <c r="L1" s="33" t="s">
        <v>115</v>
      </c>
      <c r="M1" s="33" t="s">
        <v>1909</v>
      </c>
      <c r="N1" s="33" t="s">
        <v>1910</v>
      </c>
      <c r="O1" s="33" t="s">
        <v>1911</v>
      </c>
      <c r="P1" s="33" t="s">
        <v>1912</v>
      </c>
      <c r="Q1" s="33" t="s">
        <v>1913</v>
      </c>
      <c r="R1" s="33" t="s">
        <v>1914</v>
      </c>
      <c r="S1" s="33" t="s">
        <v>715</v>
      </c>
      <c r="T1" s="33" t="s">
        <v>1915</v>
      </c>
      <c r="U1" s="33" t="s">
        <v>128</v>
      </c>
      <c r="V1" s="33" t="s">
        <v>1916</v>
      </c>
      <c r="W1" t="s">
        <v>1917</v>
      </c>
      <c r="X1" t="s">
        <v>1918</v>
      </c>
      <c r="Y1" t="s">
        <v>1919</v>
      </c>
      <c r="AA1" t="str">
        <f>'РЕЙД-КОНСТРУКТОР'!J6</f>
        <v>10% Stats</v>
      </c>
      <c r="AB1" t="str">
        <f>'РЕЙД-КОНСТРУКТОР'!J7</f>
        <v>Minor Armor and All Stats</v>
      </c>
      <c r="AC1" t="str">
        <f>'РЕЙД-КОНСТРУКТОР'!J8</f>
        <v>Stamina</v>
      </c>
      <c r="AD1" t="str">
        <f>'РЕЙД-КОНСТРУКТОР'!J9</f>
        <v>Strength</v>
      </c>
      <c r="AE1" t="str">
        <f>'РЕЙД-КОНСТРУКТОР'!J10</f>
        <v>Agility</v>
      </c>
      <c r="AF1" t="str">
        <f>'РЕЙД-КОНСТРУКТОР'!J11</f>
        <v>Attack Power</v>
      </c>
      <c r="AG1" t="str">
        <f>'РЕЙД-КОНСТРУКТОР'!J12</f>
        <v>5% Attack Power</v>
      </c>
      <c r="AH1" t="str">
        <f>'РЕЙД-КОНСТРУКТОР'!J13</f>
        <v>10% Melee &amp; Range Haste</v>
      </c>
      <c r="AI1" t="str">
        <f>'РЕЙД-КОНСТРУКТОР'!J14</f>
        <v>Intellect</v>
      </c>
      <c r="AJ1" t="str">
        <f>'РЕЙД-КОНСТРУКТОР'!J15</f>
        <v>Spirit</v>
      </c>
      <c r="AK1" t="str">
        <f>'РЕЙД-КОНСТРУКТОР'!J16</f>
        <v>Spell Power</v>
      </c>
      <c r="AL1" t="str">
        <f>'РЕЙД-КОНСТРУКТОР'!J17</f>
        <v>3% Spell Haste</v>
      </c>
      <c r="AM1" t="str">
        <f>'РЕЙД-КОНСТРУКТОР'!J18</f>
        <v>Mana Regeneration</v>
      </c>
      <c r="AN1" t="str">
        <f>'РЕЙД-КОНСТРУКТОР'!J19</f>
        <v>Replenishment</v>
      </c>
      <c r="AO1" t="str">
        <f>'РЕЙД-КОНСТРУКТОР'!J20</f>
        <v>Strong Mana Cooldown</v>
      </c>
      <c r="AP1" t="str">
        <f>'РЕЙД-КОНСТРУКТОР'!J21</f>
        <v>3% Critical Strike (all)</v>
      </c>
      <c r="AQ1" t="str">
        <f>'РЕЙД-КОНСТРУКТОР'!J22</f>
        <v>3% Damage Done (all)</v>
      </c>
      <c r="AR1" t="str">
        <f>'РЕЙД-КОНСТРУКТОР'!J23</f>
        <v>Small Resistances (all)</v>
      </c>
      <c r="AS1" t="str">
        <f>'РЕЙД-КОНСТРУКТОР'!J24</f>
        <v>Fire Resistance</v>
      </c>
      <c r="AT1" t="str">
        <f>'РЕЙД-КОНСТРУКТОР'!J25</f>
        <v>Frost Resistance</v>
      </c>
      <c r="AU1" t="str">
        <f>'РЕЙД-КОНСТРУКТОР'!J26</f>
        <v>Nature Resistance</v>
      </c>
      <c r="AV1" t="str">
        <f>'РЕЙД-КОНСТРУКТОР'!J27</f>
        <v>Shadow Resistance</v>
      </c>
      <c r="AW1" t="str">
        <f>'РЕЙД-КОНСТРУКТОР'!J28</f>
        <v>Arcane Resistance</v>
      </c>
      <c r="AX1" t="str">
        <f>'РЕЙД-КОНСТРУКТОР'!J29</f>
        <v>5% Resource Reduction</v>
      </c>
      <c r="AY1" t="str">
        <f>'РЕЙД-КОНСТРУКТОР'!J30</f>
        <v>3% Damage Reduction (all)</v>
      </c>
      <c r="AZ1" t="str">
        <f>'РЕЙД-КОНСТРУКТОР'!J31</f>
        <v>6% Healing Done</v>
      </c>
      <c r="BA1" t="str">
        <f>'РЕЙД-КОНСТРУКТОР'!J32</f>
        <v>Concentration</v>
      </c>
      <c r="BB1" t="str">
        <f>'РЕЙД-КОНСТРУКТОР'!J33</f>
        <v>Amplify Magic</v>
      </c>
      <c r="BC1" t="str">
        <f>'РЕЙД-КОНСТРУКТОР'!J34</f>
        <v>Dampen Magic</v>
      </c>
      <c r="BD1" t="str">
        <f>'РЕЙД-КОНСТРУКТОР'!J35</f>
        <v>Armor</v>
      </c>
      <c r="BE1" t="str">
        <f>'РЕЙД-КОНСТРУКТОР'!J36</f>
        <v>Defensive Cooldown (Raid-Wide)</v>
      </c>
      <c r="BF1" t="str">
        <f>'РЕЙД-КОНСТРУКТОР'!J37</f>
        <v>Heroism | Bloodlust</v>
      </c>
      <c r="BG1" t="str">
        <f>'РЕЙД-КОНСТРУКТОР'!J38</f>
        <v>4% Physical Damage</v>
      </c>
      <c r="BH1" t="str">
        <f>'РЕЙД-КОНСТРУКТОР'!J39</f>
        <v>30% Bleed Damage</v>
      </c>
      <c r="BI1" t="str">
        <f>'РЕЙД-КОНСТРУКТОР'!J40</f>
        <v>Armor Reduction</v>
      </c>
      <c r="BJ1" t="str">
        <f>'РЕЙД-КОНСТРУКТОР'!J41</f>
        <v>10% Spell Damage</v>
      </c>
      <c r="BK1" t="str">
        <f>'РЕЙД-КОНСТРУКТОР'!J42</f>
        <v>3% Spell Critical Strike Chance</v>
      </c>
      <c r="BL1" t="str">
        <f>'РЕЙД-КОНСТРУКТОР'!J43</f>
        <v>3% Spell Hit</v>
      </c>
      <c r="BM1" t="str">
        <f>'РЕЙД-КОНСТРУКТОР'!J44</f>
        <v>Resistance Reduction</v>
      </c>
      <c r="BN1" t="str">
        <f>'РЕЙД-КОНСТРУКТОР'!J45</f>
        <v>Attack Power Reduction</v>
      </c>
      <c r="BO1" t="str">
        <f>'РЕЙД-КОНСТРУКТОР'!J46</f>
        <v>Attack Speed Slow</v>
      </c>
      <c r="BP1" t="str">
        <f>'РЕЙД-КОНСТРУКТОР'!J47</f>
        <v>3% Hit Reduction</v>
      </c>
      <c r="BQ1" t="str">
        <f>'РЕЙД-КОНСТРУКТОР'!J48</f>
        <v>Healing Reduction</v>
      </c>
      <c r="BR1" t="str">
        <f>'РЕЙД-КОНСТРУКТОР'!J49</f>
        <v>Cast Speed Slow</v>
      </c>
      <c r="BS1" t="str">
        <f>'РЕЙД-КОНСТРУКТОР'!J50</f>
        <v>Damage Done Reduction (5%)</v>
      </c>
      <c r="BT1" t="s">
        <v>30</v>
      </c>
      <c r="BU1" t="s">
        <v>33</v>
      </c>
      <c r="BV1" t="s">
        <v>1920</v>
      </c>
      <c r="BW1" t="s">
        <v>1921</v>
      </c>
      <c r="BX1" t="s">
        <v>1915</v>
      </c>
    </row>
    <row r="2" spans="1:76">
      <c r="A2" t="s">
        <v>267</v>
      </c>
      <c r="B2" t="s">
        <v>268</v>
      </c>
      <c r="C2" t="s">
        <v>81</v>
      </c>
      <c r="D2" t="s">
        <v>682</v>
      </c>
      <c r="E2" t="s">
        <v>1872</v>
      </c>
      <c r="F2">
        <v>162</v>
      </c>
      <c r="G2" s="34">
        <v>0.89010989010989006</v>
      </c>
      <c r="H2" t="s">
        <v>1966</v>
      </c>
      <c r="I2" s="35">
        <v>94.51</v>
      </c>
      <c r="J2" s="31">
        <v>4.9382716049382713E-2</v>
      </c>
      <c r="K2">
        <f>SUMIF(ТЕХ_Расчет!$A$2:$A$26,D2,ТЕХ_Расчет!$B$2:$B$26)</f>
        <v>0</v>
      </c>
      <c r="L2">
        <f>SUMPRODUCT(ТЕХ_Списки!E47:AW47,$AA$2:$BS$2)</f>
        <v>0</v>
      </c>
      <c r="M2">
        <f>SUMPRODUCT(ТЕХ_Списки!E47:AW47,$AA$3:$BS$3)</f>
        <v>0</v>
      </c>
      <c r="N2">
        <f>SUMPRODUCT(ТЕХ_Списки!E47:AW47,$AA$4:$BS$4)</f>
        <v>0</v>
      </c>
      <c r="O2">
        <f>SUMPRODUCT(ТЕХ_Списки!E47:AW47,$AA$5:$BS$5)</f>
        <v>0</v>
      </c>
      <c r="P2">
        <f>M2*3+N2*2+O2</f>
        <v>0</v>
      </c>
      <c r="Q2">
        <f>IF(C2="Танк",'РЕЙД-КОНСТРУКТОР'!$R$30,IF(C2="Хилер",'РЕЙД-КОНСТРУКТОР'!$R$31,IF(C2="Саппорт",'РЕЙД-КОНСТРУКТОР'!$R$32,'РЕЙД-КОНСТРУКТОР'!$R$33)))</f>
        <v>5</v>
      </c>
      <c r="R2">
        <f>IF(C2="Танк",IF(Q2&gt;0,70,-150),IF(C2="Хилер",IF(Q2&gt;0,55,-120),IF(C2="Саппорт",IF(Q2&gt;0,50,-120),IF(Q2&gt;0,15,-120))))</f>
        <v>55</v>
      </c>
      <c r="S2" s="35">
        <f ca="1">IF(OR('РЕЙД-КОНСТРУКТОР'!$E$3&gt;='РЕЙД-КОНСТРУКТОР'!$R$3,AND('РЕЙД-КОНСТРУКТОР'!$C$3&lt;&gt;"Любая",'РЕЙД-КОНСТРУКТОР'!$C$3&lt;&gt;C2),Y2=0),-999,IF(SUM($AA$3:$BS$3)&gt;0,M2*45+N2*12+O2*2+I2*0.25+R2-X2,IF(SUM($AA$4:$BS$4)&gt;0,N2*25+O2*4+I2*0.5+R2-X2,I2+R2-K2*2-X2)))+0*'РЕЙД-КОНСТРУКТОР'!$N$52</f>
        <v>149.51</v>
      </c>
      <c r="T2">
        <f ca="1">IF(S2&lt;0,"",S2+ROW()/100000)</f>
        <v>149.51002</v>
      </c>
      <c r="U2" t="e">
        <f ca="1">ТЕХ_Расчет!K95</f>
        <v>#NAME?</v>
      </c>
      <c r="V2" t="str">
        <f>IF(SUM($AA$3:$BS$3)&gt;0,"Закрывает "&amp;M2&amp;" крит. и "&amp;N2&amp;" важных; "&amp;IF(Q2&gt;0,"роль нужна","роль уже заполнена")&amp;"; "&amp;H2&amp;", логи "&amp;TEXT(I2,"0")&amp;"/100. "&amp;IF(U2="—","","Эффекты: "&amp;U2)&amp;IF(X2&gt;0,"; повтор: спек "&amp;K2&amp;", класс "&amp;W2&amp;", штраф "&amp;TEXT(X2,"0"),""),IF(SUM($AA$4:$BS$4)&gt;0,"Критичные закрыты; закрывает "&amp;N2&amp;" важных; "&amp;IF(Q2&gt;0,"роль нужна","роль уже заполнена")&amp;"; "&amp;H2&amp;", логи "&amp;TEXT(I2,"0")&amp;"/100."&amp;IF(X2&gt;0," Повтор: спек "&amp;K2&amp;", класс "&amp;W2&amp;", штраф "&amp;TEXT(X2,"0"),""),"Критичные и важные эффекты закрыты — выбор по роли и логам: "&amp;H2&amp;", "&amp;TEXT(I2,"0")&amp;"/100."&amp;IF(X2&gt;0," Повтор: спек "&amp;K2&amp;", класс "&amp;W2&amp;", штраф "&amp;TEXT(X2,"0"),"")))</f>
        <v>Критичные и важные эффекты закрыты — выбор по роли и логам: HPS 1551, 95/100.</v>
      </c>
      <c r="W2">
        <f>SUMIF('РЕЙД-КОНСТРУКТОР'!$C$6:$C$30,A2,ТЕХ_Расчет!$B$2:$B$26)</f>
        <v>0</v>
      </c>
      <c r="X2">
        <f>IF('РЕЙД-КОНСТРУКТОР'!$R$2="Без ограничений",0,IF('РЕЙД-КОНСТРУКТОР'!$R$2="Умеренно",K2*25+W2*6,K2*55+W2*12))</f>
        <v>0</v>
      </c>
      <c r="Y2">
        <f>IF('РЕЙД-КОНСТРУКТОР'!$R$2="Без ограничений",1,IF(OR(K2&gt;='РЕЙД-КОНСТРУКТОР'!$T$2,W2&gt;='РЕЙД-КОНСТРУКТОР'!$V$2),0,1))</f>
        <v>1</v>
      </c>
    </row>
    <row r="3" spans="1:76">
      <c r="A3" t="s">
        <v>276</v>
      </c>
      <c r="B3" t="s">
        <v>280</v>
      </c>
      <c r="C3" t="s">
        <v>139</v>
      </c>
      <c r="D3" t="s">
        <v>686</v>
      </c>
      <c r="E3" t="s">
        <v>1871</v>
      </c>
      <c r="F3">
        <v>173</v>
      </c>
      <c r="G3" s="34">
        <v>0.89637305699481862</v>
      </c>
      <c r="H3" t="s">
        <v>1970</v>
      </c>
      <c r="I3" s="35">
        <v>93.89</v>
      </c>
      <c r="J3" s="31">
        <v>9.2485549132947972E-2</v>
      </c>
      <c r="K3">
        <f>SUMIF(ТЕХ_Расчет!$A$2:$A$26,D3,ТЕХ_Расчет!$B$2:$B$26)</f>
        <v>0</v>
      </c>
      <c r="L3">
        <f>SUMPRODUCT(ТЕХ_Списки!E51:AW51,$AA$2:$BS$2)</f>
        <v>0</v>
      </c>
      <c r="M3">
        <f>SUMPRODUCT(ТЕХ_Списки!E51:AW51,$AA$3:$BS$3)</f>
        <v>0</v>
      </c>
      <c r="N3">
        <f>SUMPRODUCT(ТЕХ_Списки!E51:AW51,$AA$4:$BS$4)</f>
        <v>0</v>
      </c>
      <c r="O3">
        <f>SUMPRODUCT(ТЕХ_Списки!E51:AW51,$AA$5:$BS$5)</f>
        <v>0</v>
      </c>
      <c r="P3">
        <f>M3*3+N3*2+O3</f>
        <v>0</v>
      </c>
      <c r="Q3">
        <f>IF(C3="Танк",'РЕЙД-КОНСТРУКТОР'!$R$30,IF(C3="Хилер",'РЕЙД-КОНСТРУКТОР'!$R$31,IF(C3="Саппорт",'РЕЙД-КОНСТРУКТОР'!$R$32,'РЕЙД-КОНСТРУКТОР'!$R$33)))</f>
        <v>16</v>
      </c>
      <c r="R3">
        <f>IF(C3="Танк",IF(Q3&gt;0,70,-150),IF(C3="Хилер",IF(Q3&gt;0,55,-120),IF(C3="Саппорт",IF(Q3&gt;0,50,-120),IF(Q3&gt;0,15,-120))))</f>
        <v>15</v>
      </c>
      <c r="S3" s="35">
        <f ca="1">IF(OR('РЕЙД-КОНСТРУКТОР'!$E$3&gt;='РЕЙД-КОНСТРУКТОР'!$R$3,AND('РЕЙД-КОНСТРУКТОР'!$C$3&lt;&gt;"Любая",'РЕЙД-КОНСТРУКТОР'!$C$3&lt;&gt;C3),Y3=0),-999,IF(SUM($AA$3:$BS$3)&gt;0,M3*45+N3*12+O3*2+I3*0.25+R3-X3,IF(SUM($AA$4:$BS$4)&gt;0,N3*25+O3*4+I3*0.5+R3-X3,I3+R3-K3*2-X3)))+0*'РЕЙД-КОНСТРУКТОР'!$N$52</f>
        <v>108.89</v>
      </c>
      <c r="T3">
        <f ca="1">IF(S3&lt;0,"",S3+ROW()/100000)</f>
        <v>108.89003</v>
      </c>
      <c r="U3" t="e">
        <f ca="1">ТЕХ_Расчет!K99</f>
        <v>#NAME?</v>
      </c>
      <c r="V3" t="str">
        <f>IF(SUM($AA$3:$BS$3)&gt;0,"Закрывает "&amp;M3&amp;" крит. и "&amp;N3&amp;" важных; "&amp;IF(Q3&gt;0,"роль нужна","роль уже заполнена")&amp;"; "&amp;H3&amp;", логи "&amp;TEXT(I3,"0")&amp;"/100. "&amp;IF(U3="—","","Эффекты: "&amp;U3)&amp;IF(X3&gt;0,"; повтор: спек "&amp;K3&amp;", класс "&amp;W3&amp;", штраф "&amp;TEXT(X3,"0"),""),IF(SUM($AA$4:$BS$4)&gt;0,"Критичные закрыты; закрывает "&amp;N3&amp;" важных; "&amp;IF(Q3&gt;0,"роль нужна","роль уже заполнена")&amp;"; "&amp;H3&amp;", логи "&amp;TEXT(I3,"0")&amp;"/100."&amp;IF(X3&gt;0," Повтор: спек "&amp;K3&amp;", класс "&amp;W3&amp;", штраф "&amp;TEXT(X3,"0"),""),"Критичные и важные эффекты закрыты — выбор по роли и логам: "&amp;H3&amp;", "&amp;TEXT(I3,"0")&amp;"/100."&amp;IF(X3&gt;0," Повтор: спек "&amp;K3&amp;", класс "&amp;W3&amp;", штраф "&amp;TEXT(X3,"0"),"")))</f>
        <v>Критичные и важные эффекты закрыты — выбор по роли и логам: DPS 5793, 94/100.</v>
      </c>
      <c r="W3">
        <f>SUMIF('РЕЙД-КОНСТРУКТОР'!$C$6:$C$30,A3,ТЕХ_Расчет!$B$2:$B$26)</f>
        <v>0</v>
      </c>
      <c r="X3">
        <f>IF('РЕЙД-КОНСТРУКТОР'!$R$2="Без ограничений",0,IF('РЕЙД-КОНСТРУКТОР'!$R$2="Умеренно",K3*25+W3*6,K3*55+W3*12))</f>
        <v>0</v>
      </c>
      <c r="Y3">
        <f>IF('РЕЙД-КОНСТРУКТОР'!$R$2="Без ограничений",1,IF(OR(K3&gt;='РЕЙД-КОНСТРУКТОР'!$T$2,W3&gt;='РЕЙД-КОНСТРУКТОР'!$V$2),0,1))</f>
        <v>1</v>
      </c>
    </row>
    <row r="4" spans="1:76">
      <c r="A4" t="s">
        <v>256</v>
      </c>
      <c r="B4" t="s">
        <v>260</v>
      </c>
      <c r="C4" t="s">
        <v>84</v>
      </c>
      <c r="D4" t="s">
        <v>679</v>
      </c>
      <c r="E4" t="s">
        <v>1873</v>
      </c>
      <c r="F4">
        <v>118</v>
      </c>
      <c r="G4" s="34">
        <v>0.85507246376811596</v>
      </c>
      <c r="H4" t="s">
        <v>1963</v>
      </c>
      <c r="I4" s="35">
        <v>92.75</v>
      </c>
      <c r="J4" s="31">
        <v>9.3220338983050849E-2</v>
      </c>
      <c r="K4">
        <f>SUMIF(ТЕХ_Расчет!$A$2:$A$26,D4,ТЕХ_Расчет!$B$2:$B$26)</f>
        <v>0</v>
      </c>
      <c r="L4">
        <f>SUMPRODUCT(ТЕХ_Списки!E44:AW44,$AA$2:$BS$2)</f>
        <v>0</v>
      </c>
      <c r="M4">
        <f>SUMPRODUCT(ТЕХ_Списки!E44:AW44,$AA$3:$BS$3)</f>
        <v>0</v>
      </c>
      <c r="N4">
        <f>SUMPRODUCT(ТЕХ_Списки!E44:AW44,$AA$4:$BS$4)</f>
        <v>0</v>
      </c>
      <c r="O4">
        <f>SUMPRODUCT(ТЕХ_Списки!E44:AW44,$AA$5:$BS$5)</f>
        <v>0</v>
      </c>
      <c r="P4">
        <f>M4*3+N4*2+O4</f>
        <v>0</v>
      </c>
      <c r="Q4">
        <f>IF(C4="Танк",'РЕЙД-КОНСТРУКТОР'!$R$30,IF(C4="Хилер",'РЕЙД-КОНСТРУКТОР'!$R$31,IF(C4="Саппорт",'РЕЙД-КОНСТРУКТОР'!$R$32,'РЕЙД-КОНСТРУКТОР'!$R$33)))</f>
        <v>2</v>
      </c>
      <c r="R4">
        <f>IF(C4="Танк",IF(Q4&gt;0,70,-150),IF(C4="Хилер",IF(Q4&gt;0,55,-120),IF(C4="Саппорт",IF(Q4&gt;0,50,-120),IF(Q4&gt;0,15,-120))))</f>
        <v>50</v>
      </c>
      <c r="S4" s="35">
        <f ca="1">IF(OR('РЕЙД-КОНСТРУКТОР'!$E$3&gt;='РЕЙД-КОНСТРУКТОР'!$R$3,AND('РЕЙД-КОНСТРУКТОР'!$C$3&lt;&gt;"Любая",'РЕЙД-КОНСТРУКТОР'!$C$3&lt;&gt;C4),Y4=0),-999,IF(SUM($AA$3:$BS$3)&gt;0,M4*45+N4*12+O4*2+I4*0.25+R4-X4,IF(SUM($AA$4:$BS$4)&gt;0,N4*25+O4*4+I4*0.5+R4-X4,I4+R4-K4*2-X4)))+0*'РЕЙД-КОНСТРУКТОР'!$N$52</f>
        <v>142.75</v>
      </c>
      <c r="T4">
        <f ca="1">IF(S4&lt;0,"",S4+ROW()/100000)</f>
        <v>142.75004000000001</v>
      </c>
      <c r="U4" t="e">
        <f ca="1">ТЕХ_Расчет!K92</f>
        <v>#NAME?</v>
      </c>
      <c r="V4" t="str">
        <f>IF(SUM($AA$3:$BS$3)&gt;0,"Закрывает "&amp;M4&amp;" крит. и "&amp;N4&amp;" важных; "&amp;IF(Q4&gt;0,"роль нужна","роль уже заполнена")&amp;"; "&amp;H4&amp;", логи "&amp;TEXT(I4,"0")&amp;"/100. "&amp;IF(U4="—","","Эффекты: "&amp;U4)&amp;IF(X4&gt;0,"; повтор: спек "&amp;K4&amp;", класс "&amp;W4&amp;", штраф "&amp;TEXT(X4,"0"),""),IF(SUM($AA$4:$BS$4)&gt;0,"Критичные закрыты; закрывает "&amp;N4&amp;" важных; "&amp;IF(Q4&gt;0,"роль нужна","роль уже заполнена")&amp;"; "&amp;H4&amp;", логи "&amp;TEXT(I4,"0")&amp;"/100."&amp;IF(X4&gt;0," Повтор: спек "&amp;K4&amp;", класс "&amp;W4&amp;", штраф "&amp;TEXT(X4,"0"),""),"Критичные и важные эффекты закрыты — выбор по роли и логам: "&amp;H4&amp;", "&amp;TEXT(I4,"0")&amp;"/100."&amp;IF(X4&gt;0," Повтор: спек "&amp;K4&amp;", класс "&amp;W4&amp;", штраф "&amp;TEXT(X4,"0"),"")))</f>
        <v>Критичные и важные эффекты закрыты — выбор по роли и логам: балл роли 2974, 93/100.</v>
      </c>
      <c r="W4">
        <f>SUMIF('РЕЙД-КОНСТРУКТОР'!$C$6:$C$30,A4,ТЕХ_Расчет!$B$2:$B$26)</f>
        <v>0</v>
      </c>
      <c r="X4">
        <f>IF('РЕЙД-КОНСТРУКТОР'!$R$2="Без ограничений",0,IF('РЕЙД-КОНСТРУКТОР'!$R$2="Умеренно",K4*25+W4*6,K4*55+W4*12))</f>
        <v>0</v>
      </c>
      <c r="Y4">
        <f>IF('РЕЙД-КОНСТРУКТОР'!$R$2="Без ограничений",1,IF(OR(K4&gt;='РЕЙД-КОНСТРУКТОР'!$T$2,W4&gt;='РЕЙД-КОНСТРУКТОР'!$V$2),0,1))</f>
        <v>1</v>
      </c>
      <c r="BT4" t="str">
        <f>'РЕЙД-КОНСТРУКТОР'!J48</f>
        <v>Healing Reduction</v>
      </c>
      <c r="BU4" t="str">
        <f>'РЕЙД-КОНСТРУКТОР'!M48</f>
        <v>Опционально</v>
      </c>
      <c r="BV4">
        <f>'СПРАВОЧНИК ЭФФЕКТОВ'!F46</f>
        <v>20</v>
      </c>
      <c r="BW4" t="str">
        <f>'СПРАВОЧНИК ЭФФЕКТОВ'!L46</f>
        <v>Necromancer — любой спек; Pyromancer — любой спек; Runemaster — любой спек; Barbarian — Headhunting; + ещё 10 классов</v>
      </c>
      <c r="BX4">
        <f>IF('РЕЙД-КОНСТРУКТОР'!K48&gt;0,"",IF(BU4="Критично",3000,IF(BU4="Важно",2000,1000))+(100-MIN(BV4,99))+ROW()/100000)</f>
        <v>1080.0000399999999</v>
      </c>
    </row>
    <row r="5" spans="1:76">
      <c r="A5" t="s">
        <v>334</v>
      </c>
      <c r="B5" t="s">
        <v>335</v>
      </c>
      <c r="C5" t="s">
        <v>139</v>
      </c>
      <c r="D5" t="s">
        <v>704</v>
      </c>
      <c r="E5" t="s">
        <v>1871</v>
      </c>
      <c r="F5">
        <v>85</v>
      </c>
      <c r="G5" s="34">
        <v>0.80952380952380953</v>
      </c>
      <c r="H5" t="s">
        <v>1988</v>
      </c>
      <c r="I5" s="35">
        <v>90.48</v>
      </c>
      <c r="J5" s="31">
        <v>2.3529411764705882E-2</v>
      </c>
      <c r="K5">
        <f>SUMIF(ТЕХ_Расчет!$A$2:$A$26,D5,ТЕХ_Расчет!$B$2:$B$26)</f>
        <v>0</v>
      </c>
      <c r="L5">
        <f>SUMPRODUCT(ТЕХ_Списки!E69:AW69,$AA$2:$BS$2)</f>
        <v>0</v>
      </c>
      <c r="M5">
        <f>SUMPRODUCT(ТЕХ_Списки!E69:AW69,$AA$3:$BS$3)</f>
        <v>0</v>
      </c>
      <c r="N5">
        <f>SUMPRODUCT(ТЕХ_Списки!E69:AW69,$AA$4:$BS$4)</f>
        <v>0</v>
      </c>
      <c r="O5">
        <f>SUMPRODUCT(ТЕХ_Списки!E69:AW69,$AA$5:$BS$5)</f>
        <v>0</v>
      </c>
      <c r="P5">
        <f>M5*3+N5*2+O5</f>
        <v>0</v>
      </c>
      <c r="Q5">
        <f>IF(C5="Танк",'РЕЙД-КОНСТРУКТОР'!$R$30,IF(C5="Хилер",'РЕЙД-КОНСТРУКТОР'!$R$31,IF(C5="Саппорт",'РЕЙД-КОНСТРУКТОР'!$R$32,'РЕЙД-КОНСТРУКТОР'!$R$33)))</f>
        <v>16</v>
      </c>
      <c r="R5">
        <f>IF(C5="Танк",IF(Q5&gt;0,70,-150),IF(C5="Хилер",IF(Q5&gt;0,55,-120),IF(C5="Саппорт",IF(Q5&gt;0,50,-120),IF(Q5&gt;0,15,-120))))</f>
        <v>15</v>
      </c>
      <c r="S5" s="35">
        <f ca="1">IF(OR('РЕЙД-КОНСТРУКТОР'!$E$3&gt;='РЕЙД-КОНСТРУКТОР'!$R$3,AND('РЕЙД-КОНСТРУКТОР'!$C$3&lt;&gt;"Любая",'РЕЙД-КОНСТРУКТОР'!$C$3&lt;&gt;C5),Y5=0),-999,IF(SUM($AA$3:$BS$3)&gt;0,M5*45+N5*12+O5*2+I5*0.25+R5-X5,IF(SUM($AA$4:$BS$4)&gt;0,N5*25+O5*4+I5*0.5+R5-X5,I5+R5-K5*2-X5)))+0*'РЕЙД-КОНСТРУКТОР'!$N$52</f>
        <v>105.48</v>
      </c>
      <c r="T5">
        <f ca="1">IF(S5&lt;0,"",S5+ROW()/100000)</f>
        <v>105.48005000000001</v>
      </c>
      <c r="U5" t="e">
        <f ca="1">ТЕХ_Расчет!K117</f>
        <v>#NAME?</v>
      </c>
      <c r="V5" t="str">
        <f>IF(SUM($AA$3:$BS$3)&gt;0,"Закрывает "&amp;M5&amp;" крит. и "&amp;N5&amp;" важных; "&amp;IF(Q5&gt;0,"роль нужна","роль уже заполнена")&amp;"; "&amp;H5&amp;", логи "&amp;TEXT(I5,"0")&amp;"/100. "&amp;IF(U5="—","","Эффекты: "&amp;U5)&amp;IF(X5&gt;0,"; повтор: спек "&amp;K5&amp;", класс "&amp;W5&amp;", штраф "&amp;TEXT(X5,"0"),""),IF(SUM($AA$4:$BS$4)&gt;0,"Критичные закрыты; закрывает "&amp;N5&amp;" важных; "&amp;IF(Q5&gt;0,"роль нужна","роль уже заполнена")&amp;"; "&amp;H5&amp;", логи "&amp;TEXT(I5,"0")&amp;"/100."&amp;IF(X5&gt;0," Повтор: спек "&amp;K5&amp;", класс "&amp;W5&amp;", штраф "&amp;TEXT(X5,"0"),""),"Критичные и важные эффекты закрыты — выбор по роли и логам: "&amp;H5&amp;", "&amp;TEXT(I5,"0")&amp;"/100."&amp;IF(X5&gt;0," Повтор: спек "&amp;K5&amp;", класс "&amp;W5&amp;", штраф "&amp;TEXT(X5,"0"),"")))</f>
        <v>Критичные и важные эффекты закрыты — выбор по роли и логам: DPS 6110, 90/100.</v>
      </c>
      <c r="W5">
        <f>SUMIF('РЕЙД-КОНСТРУКТОР'!$C$6:$C$30,A5,ТЕХ_Расчет!$B$2:$B$26)</f>
        <v>0</v>
      </c>
      <c r="X5">
        <f>IF('РЕЙД-КОНСТРУКТОР'!$R$2="Без ограничений",0,IF('РЕЙД-КОНСТРУКТОР'!$R$2="Умеренно",K5*25+W5*6,K5*55+W5*12))</f>
        <v>0</v>
      </c>
      <c r="Y5">
        <f>IF('РЕЙД-КОНСТРУКТОР'!$R$2="Без ограничений",1,IF(OR(K5&gt;='РЕЙД-КОНСТРУКТОР'!$T$2,W5&gt;='РЕЙД-КОНСТРУКТОР'!$V$2),0,1))</f>
        <v>1</v>
      </c>
    </row>
    <row r="6" spans="1:76">
      <c r="A6" t="s">
        <v>294</v>
      </c>
      <c r="B6" t="s">
        <v>298</v>
      </c>
      <c r="C6" t="s">
        <v>135</v>
      </c>
      <c r="D6" t="s">
        <v>692</v>
      </c>
      <c r="E6" t="s">
        <v>1871</v>
      </c>
      <c r="F6">
        <v>106</v>
      </c>
      <c r="G6" s="34">
        <v>0.84126984126984128</v>
      </c>
      <c r="H6" t="s">
        <v>1976</v>
      </c>
      <c r="I6" s="35">
        <v>89.45</v>
      </c>
      <c r="J6" s="31">
        <v>0.14150943396226415</v>
      </c>
      <c r="K6">
        <f>SUMIF(ТЕХ_Расчет!$A$2:$A$26,D6,ТЕХ_Расчет!$B$2:$B$26)</f>
        <v>0</v>
      </c>
      <c r="L6">
        <f>SUMPRODUCT(ТЕХ_Списки!E57:AW57,$AA$2:$BS$2)</f>
        <v>0</v>
      </c>
      <c r="M6">
        <f>SUMPRODUCT(ТЕХ_Списки!E57:AW57,$AA$3:$BS$3)</f>
        <v>0</v>
      </c>
      <c r="N6">
        <f>SUMPRODUCT(ТЕХ_Списки!E57:AW57,$AA$4:$BS$4)</f>
        <v>0</v>
      </c>
      <c r="O6">
        <f>SUMPRODUCT(ТЕХ_Списки!E57:AW57,$AA$5:$BS$5)</f>
        <v>0</v>
      </c>
      <c r="P6">
        <f>M6*3+N6*2+O6</f>
        <v>0</v>
      </c>
      <c r="Q6">
        <f>IF(C6="Танк",'РЕЙД-КОНСТРУКТОР'!$R$30,IF(C6="Хилер",'РЕЙД-КОНСТРУКТОР'!$R$31,IF(C6="Саппорт",'РЕЙД-КОНСТРУКТОР'!$R$32,'РЕЙД-КОНСТРУКТОР'!$R$33)))</f>
        <v>16</v>
      </c>
      <c r="R6">
        <f>IF(C6="Танк",IF(Q6&gt;0,70,-150),IF(C6="Хилер",IF(Q6&gt;0,55,-120),IF(C6="Саппорт",IF(Q6&gt;0,50,-120),IF(Q6&gt;0,15,-120))))</f>
        <v>15</v>
      </c>
      <c r="S6" s="35">
        <f ca="1">IF(OR('РЕЙД-КОНСТРУКТОР'!$E$3&gt;='РЕЙД-КОНСТРУКТОР'!$R$3,AND('РЕЙД-КОНСТРУКТОР'!$C$3&lt;&gt;"Любая",'РЕЙД-КОНСТРУКТОР'!$C$3&lt;&gt;C6),Y6=0),-999,IF(SUM($AA$3:$BS$3)&gt;0,M6*45+N6*12+O6*2+I6*0.25+R6-X6,IF(SUM($AA$4:$BS$4)&gt;0,N6*25+O6*4+I6*0.5+R6-X6,I6+R6-K6*2-X6)))+0*'РЕЙД-КОНСТРУКТОР'!$N$52</f>
        <v>104.45</v>
      </c>
      <c r="T6">
        <f ca="1">IF(S6&lt;0,"",S6+ROW()/100000)</f>
        <v>104.45006000000001</v>
      </c>
      <c r="U6" t="e">
        <f ca="1">ТЕХ_Расчет!K105</f>
        <v>#NAME?</v>
      </c>
      <c r="V6" t="str">
        <f>IF(SUM($AA$3:$BS$3)&gt;0,"Закрывает "&amp;M6&amp;" крит. и "&amp;N6&amp;" важных; "&amp;IF(Q6&gt;0,"роль нужна","роль уже заполнена")&amp;"; "&amp;H6&amp;", логи "&amp;TEXT(I6,"0")&amp;"/100. "&amp;IF(U6="—","","Эффекты: "&amp;U6)&amp;IF(X6&gt;0,"; повтор: спек "&amp;K6&amp;", класс "&amp;W6&amp;", штраф "&amp;TEXT(X6,"0"),""),IF(SUM($AA$4:$BS$4)&gt;0,"Критичные закрыты; закрывает "&amp;N6&amp;" важных; "&amp;IF(Q6&gt;0,"роль нужна","роль уже заполнена")&amp;"; "&amp;H6&amp;", логи "&amp;TEXT(I6,"0")&amp;"/100."&amp;IF(X6&gt;0," Повтор: спек "&amp;K6&amp;", класс "&amp;W6&amp;", штраф "&amp;TEXT(X6,"0"),""),"Критичные и важные эффекты закрыты — выбор по роли и логам: "&amp;H6&amp;", "&amp;TEXT(I6,"0")&amp;"/100."&amp;IF(X6&gt;0," Повтор: спек "&amp;K6&amp;", класс "&amp;W6&amp;", штраф "&amp;TEXT(X6,"0"),"")))</f>
        <v>Критичные и важные эффекты закрыты — выбор по роли и логам: DPS 5429, 89/100.</v>
      </c>
      <c r="W6">
        <f>SUMIF('РЕЙД-КОНСТРУКТОР'!$C$6:$C$30,A6,ТЕХ_Расчет!$B$2:$B$26)</f>
        <v>0</v>
      </c>
      <c r="X6">
        <f>IF('РЕЙД-КОНСТРУКТОР'!$R$2="Без ограничений",0,IF('РЕЙД-КОНСТРУКТОР'!$R$2="Умеренно",K6*25+W6*6,K6*55+W6*12))</f>
        <v>0</v>
      </c>
      <c r="Y6">
        <f>IF('РЕЙД-КОНСТРУКТОР'!$R$2="Без ограничений",1,IF(OR(K6&gt;='РЕЙД-КОНСТРУКТОР'!$T$2,W6&gt;='РЕЙД-КОНСТРУКТОР'!$V$2),0,1))</f>
        <v>1</v>
      </c>
    </row>
    <row r="7" spans="1:76">
      <c r="A7" t="s">
        <v>236</v>
      </c>
      <c r="B7" t="s">
        <v>239</v>
      </c>
      <c r="C7" t="s">
        <v>135</v>
      </c>
      <c r="D7" t="s">
        <v>672</v>
      </c>
      <c r="E7" t="s">
        <v>1871</v>
      </c>
      <c r="F7">
        <v>236</v>
      </c>
      <c r="G7" s="34">
        <v>0.921875</v>
      </c>
      <c r="H7" t="s">
        <v>1956</v>
      </c>
      <c r="I7" s="35">
        <v>89.42</v>
      </c>
      <c r="J7" s="31">
        <v>6.3559322033898302E-2</v>
      </c>
      <c r="K7">
        <f>SUMIF(ТЕХ_Расчет!$A$2:$A$26,D7,ТЕХ_Расчет!$B$2:$B$26)</f>
        <v>0</v>
      </c>
      <c r="L7">
        <f>SUMPRODUCT(ТЕХ_Списки!E37:AW37,$AA$2:$BS$2)</f>
        <v>0</v>
      </c>
      <c r="M7">
        <f>SUMPRODUCT(ТЕХ_Списки!E37:AW37,$AA$3:$BS$3)</f>
        <v>0</v>
      </c>
      <c r="N7">
        <f>SUMPRODUCT(ТЕХ_Списки!E37:AW37,$AA$4:$BS$4)</f>
        <v>0</v>
      </c>
      <c r="O7">
        <f>SUMPRODUCT(ТЕХ_Списки!E37:AW37,$AA$5:$BS$5)</f>
        <v>0</v>
      </c>
      <c r="P7">
        <f>M7*3+N7*2+O7</f>
        <v>0</v>
      </c>
      <c r="Q7">
        <f>IF(C7="Танк",'РЕЙД-КОНСТРУКТОР'!$R$30,IF(C7="Хилер",'РЕЙД-КОНСТРУКТОР'!$R$31,IF(C7="Саппорт",'РЕЙД-КОНСТРУКТОР'!$R$32,'РЕЙД-КОНСТРУКТОР'!$R$33)))</f>
        <v>16</v>
      </c>
      <c r="R7">
        <f>IF(C7="Танк",IF(Q7&gt;0,70,-150),IF(C7="Хилер",IF(Q7&gt;0,55,-120),IF(C7="Саппорт",IF(Q7&gt;0,50,-120),IF(Q7&gt;0,15,-120))))</f>
        <v>15</v>
      </c>
      <c r="S7" s="35">
        <f ca="1">IF(OR('РЕЙД-КОНСТРУКТОР'!$E$3&gt;='РЕЙД-КОНСТРУКТОР'!$R$3,AND('РЕЙД-КОНСТРУКТОР'!$C$3&lt;&gt;"Любая",'РЕЙД-КОНСТРУКТОР'!$C$3&lt;&gt;C7),Y7=0),-999,IF(SUM($AA$3:$BS$3)&gt;0,M7*45+N7*12+O7*2+I7*0.25+R7-X7,IF(SUM($AA$4:$BS$4)&gt;0,N7*25+O7*4+I7*0.5+R7-X7,I7+R7-K7*2-X7)))+0*'РЕЙД-КОНСТРУКТОР'!$N$52</f>
        <v>104.42</v>
      </c>
      <c r="T7">
        <f ca="1">IF(S7&lt;0,"",S7+ROW()/100000)</f>
        <v>104.42007</v>
      </c>
      <c r="U7" t="e">
        <f ca="1">ТЕХ_Расчет!K85</f>
        <v>#NAME?</v>
      </c>
      <c r="V7" t="str">
        <f>IF(SUM($AA$3:$BS$3)&gt;0,"Закрывает "&amp;M7&amp;" крит. и "&amp;N7&amp;" важных; "&amp;IF(Q7&gt;0,"роль нужна","роль уже заполнена")&amp;"; "&amp;H7&amp;", логи "&amp;TEXT(I7,"0")&amp;"/100. "&amp;IF(U7="—","","Эффекты: "&amp;U7)&amp;IF(X7&gt;0,"; повтор: спек "&amp;K7&amp;", класс "&amp;W7&amp;", штраф "&amp;TEXT(X7,"0"),""),IF(SUM($AA$4:$BS$4)&gt;0,"Критичные закрыты; закрывает "&amp;N7&amp;" важных; "&amp;IF(Q7&gt;0,"роль нужна","роль уже заполнена")&amp;"; "&amp;H7&amp;", логи "&amp;TEXT(I7,"0")&amp;"/100."&amp;IF(X7&gt;0," Повтор: спек "&amp;K7&amp;", класс "&amp;W7&amp;", штраф "&amp;TEXT(X7,"0"),""),"Критичные и важные эффекты закрыты — выбор по роли и логам: "&amp;H7&amp;", "&amp;TEXT(I7,"0")&amp;"/100."&amp;IF(X7&gt;0," Повтор: спек "&amp;K7&amp;", класс "&amp;W7&amp;", штраф "&amp;TEXT(X7,"0"),"")))</f>
        <v>Критичные и важные эффекты закрыты — выбор по роли и логам: DPS 4677, 89/100.</v>
      </c>
      <c r="W7">
        <f>SUMIF('РЕЙД-КОНСТРУКТОР'!$C$6:$C$30,A7,ТЕХ_Расчет!$B$2:$B$26)</f>
        <v>0</v>
      </c>
      <c r="X7">
        <f>IF('РЕЙД-КОНСТРУКТОР'!$R$2="Без ограничений",0,IF('РЕЙД-КОНСТРУКТОР'!$R$2="Умеренно",K7*25+W7*6,K7*55+W7*12))</f>
        <v>0</v>
      </c>
      <c r="Y7">
        <f>IF('РЕЙД-КОНСТРУКТОР'!$R$2="Без ограничений",1,IF(OR(K7&gt;='РЕЙД-КОНСТРУКТОР'!$T$2,W7&gt;='РЕЙД-КОНСТРУКТОР'!$V$2),0,1))</f>
        <v>1</v>
      </c>
      <c r="BT7" t="str">
        <f>'РЕЙД-КОНСТРУКТОР'!J41</f>
        <v>10% Spell Damage</v>
      </c>
      <c r="BU7" t="str">
        <f>'РЕЙД-КОНСТРУКТОР'!M41</f>
        <v>Критично</v>
      </c>
      <c r="BV7">
        <f>'СПРАВОЧНИК ЭФФЕКТОВ'!F39</f>
        <v>11</v>
      </c>
      <c r="BW7" t="str">
        <f>'СПРАВОЧНИК ЭФФЕКТОВ'!L39</f>
        <v>Chronomancer — Infinite; Cultist — Godblade; Felsworn — Infernal; Knight of Xoroth — Defiance; + ещё 6 классов</v>
      </c>
      <c r="BX7">
        <f>IF('РЕЙД-КОНСТРУКТОР'!K41&gt;0,"",IF(BU7="Критично",3000,IF(BU7="Важно",2000,1000))+(100-MIN(BV7,99))+ROW()/100000)</f>
        <v>3089.0000700000001</v>
      </c>
    </row>
    <row r="8" spans="1:76">
      <c r="A8" t="s">
        <v>152</v>
      </c>
      <c r="B8" t="s">
        <v>156</v>
      </c>
      <c r="C8" t="s">
        <v>78</v>
      </c>
      <c r="D8" t="s">
        <v>644</v>
      </c>
      <c r="E8" t="s">
        <v>1874</v>
      </c>
      <c r="F8">
        <v>65</v>
      </c>
      <c r="G8" s="34">
        <v>0.76470588235294112</v>
      </c>
      <c r="H8" t="s">
        <v>1929</v>
      </c>
      <c r="I8" s="35">
        <v>88.24</v>
      </c>
      <c r="J8" s="31">
        <v>6.1538461538461542E-2</v>
      </c>
      <c r="K8">
        <f>SUMIF(ТЕХ_Расчет!$A$2:$A$26,D8,ТЕХ_Расчет!$B$2:$B$26)</f>
        <v>0</v>
      </c>
      <c r="L8">
        <f>SUMPRODUCT(ТЕХ_Списки!E9:AW9,$AA$2:$BS$2)</f>
        <v>0</v>
      </c>
      <c r="M8">
        <f>SUMPRODUCT(ТЕХ_Списки!E9:AW9,$AA$3:$BS$3)</f>
        <v>0</v>
      </c>
      <c r="N8">
        <f>SUMPRODUCT(ТЕХ_Списки!E9:AW9,$AA$4:$BS$4)</f>
        <v>0</v>
      </c>
      <c r="O8">
        <f>SUMPRODUCT(ТЕХ_Списки!E9:AW9,$AA$5:$BS$5)</f>
        <v>0</v>
      </c>
      <c r="P8">
        <f>M8*3+N8*2+O8</f>
        <v>0</v>
      </c>
      <c r="Q8">
        <f>IF(C8="Танк",'РЕЙД-КОНСТРУКТОР'!$R$30,IF(C8="Хилер",'РЕЙД-КОНСТРУКТОР'!$R$31,IF(C8="Саппорт",'РЕЙД-КОНСТРУКТОР'!$R$32,'РЕЙД-КОНСТРУКТОР'!$R$33)))</f>
        <v>2</v>
      </c>
      <c r="R8">
        <f>IF(C8="Танк",IF(Q8&gt;0,70,-150),IF(C8="Хилер",IF(Q8&gt;0,55,-120),IF(C8="Саппорт",IF(Q8&gt;0,50,-120),IF(Q8&gt;0,15,-120))))</f>
        <v>70</v>
      </c>
      <c r="S8" s="35">
        <f ca="1">IF(OR('РЕЙД-КОНСТРУКТОР'!$E$3&gt;='РЕЙД-КОНСТРУКТОР'!$R$3,AND('РЕЙД-КОНСТРУКТОР'!$C$3&lt;&gt;"Любая",'РЕЙД-КОНСТРУКТОР'!$C$3&lt;&gt;C8),Y8=0),-999,IF(SUM($AA$3:$BS$3)&gt;0,M8*45+N8*12+O8*2+I8*0.25+R8-X8,IF(SUM($AA$4:$BS$4)&gt;0,N8*25+O8*4+I8*0.5+R8-X8,I8+R8-K8*2-X8)))+0*'РЕЙД-КОНСТРУКТОР'!$N$52</f>
        <v>158.24</v>
      </c>
      <c r="T8">
        <f ca="1">IF(S8&lt;0,"",S8+ROW()/100000)</f>
        <v>158.24008000000001</v>
      </c>
      <c r="U8" t="e">
        <f ca="1">ТЕХ_Расчет!K57</f>
        <v>#NAME?</v>
      </c>
      <c r="V8" t="str">
        <f>IF(SUM($AA$3:$BS$3)&gt;0,"Закрывает "&amp;M8&amp;" крит. и "&amp;N8&amp;" важных; "&amp;IF(Q8&gt;0,"роль нужна","роль уже заполнена")&amp;"; "&amp;H8&amp;", логи "&amp;TEXT(I8,"0")&amp;"/100. "&amp;IF(U8="—","","Эффекты: "&amp;U8)&amp;IF(X8&gt;0,"; повтор: спек "&amp;K8&amp;", класс "&amp;W8&amp;", штраф "&amp;TEXT(X8,"0"),""),IF(SUM($AA$4:$BS$4)&gt;0,"Критичные закрыты; закрывает "&amp;N8&amp;" важных; "&amp;IF(Q8&gt;0,"роль нужна","роль уже заполнена")&amp;"; "&amp;H8&amp;", логи "&amp;TEXT(I8,"0")&amp;"/100."&amp;IF(X8&gt;0," Повтор: спек "&amp;K8&amp;", класс "&amp;W8&amp;", штраф "&amp;TEXT(X8,"0"),""),"Критичные и важные эффекты закрыты — выбор по роли и логам: "&amp;H8&amp;", "&amp;TEXT(I8,"0")&amp;"/100."&amp;IF(X8&gt;0," Повтор: спек "&amp;K8&amp;", класс "&amp;W8&amp;", штраф "&amp;TEXT(X8,"0"),"")))</f>
        <v>Критичные и важные эффекты закрыты — выбор по роли и логам: DTPS 215, 88/100.</v>
      </c>
      <c r="W8">
        <f>SUMIF('РЕЙД-КОНСТРУКТОР'!$C$6:$C$30,A8,ТЕХ_Расчет!$B$2:$B$26)</f>
        <v>0</v>
      </c>
      <c r="X8">
        <f>IF('РЕЙД-КОНСТРУКТОР'!$R$2="Без ограничений",0,IF('РЕЙД-КОНСТРУКТОР'!$R$2="Умеренно",K8*25+W8*6,K8*55+W8*12))</f>
        <v>0</v>
      </c>
      <c r="Y8">
        <f>IF('РЕЙД-КОНСТРУКТОР'!$R$2="Без ограничений",1,IF(OR(K8&gt;='РЕЙД-КОНСТРУКТОР'!$T$2,W8&gt;='РЕЙД-КОНСТРУКТОР'!$V$2),0,1))</f>
        <v>1</v>
      </c>
      <c r="BT8" t="str">
        <f>'РЕЙД-КОНСТРУКТОР'!J13</f>
        <v>10% Melee &amp; Range Haste</v>
      </c>
      <c r="BU8" t="str">
        <f>'РЕЙД-КОНСТРУКТОР'!M13</f>
        <v>Критично</v>
      </c>
      <c r="BV8">
        <f>'СПРАВОЧНИК ЭФФЕКТОВ'!F11</f>
        <v>11</v>
      </c>
      <c r="BW8" t="str">
        <f>'СПРАВОЧНИК ЭФФЕКТОВ'!L11</f>
        <v>Ranger — любой спек; Runemaster — Engravement; Starcaller — Sentinel; Templar — Zealot; + ещё 4 классов</v>
      </c>
      <c r="BX8">
        <f>IF('РЕЙД-КОНСТРУКТОР'!K13&gt;0,"",IF(BU8="Критично",3000,IF(BU8="Важно",2000,1000))+(100-MIN(BV8,99))+ROW()/100000)</f>
        <v>3089.0000799999998</v>
      </c>
    </row>
    <row r="9" spans="1:76">
      <c r="A9" t="s">
        <v>183</v>
      </c>
      <c r="B9" t="s">
        <v>184</v>
      </c>
      <c r="C9" t="s">
        <v>81</v>
      </c>
      <c r="D9" t="s">
        <v>653</v>
      </c>
      <c r="E9" t="s">
        <v>1872</v>
      </c>
      <c r="F9">
        <v>224</v>
      </c>
      <c r="G9" s="34">
        <v>0.91803278688524592</v>
      </c>
      <c r="H9" t="s">
        <v>1938</v>
      </c>
      <c r="I9" s="35">
        <v>88.03</v>
      </c>
      <c r="J9" s="31">
        <v>0.12946428571428573</v>
      </c>
      <c r="K9">
        <f>SUMIF(ТЕХ_Расчет!$A$2:$A$26,D9,ТЕХ_Расчет!$B$2:$B$26)</f>
        <v>0</v>
      </c>
      <c r="L9">
        <f>SUMPRODUCT(ТЕХ_Списки!E18:AW18,$AA$2:$BS$2)</f>
        <v>0</v>
      </c>
      <c r="M9">
        <f>SUMPRODUCT(ТЕХ_Списки!E18:AW18,$AA$3:$BS$3)</f>
        <v>0</v>
      </c>
      <c r="N9">
        <f>SUMPRODUCT(ТЕХ_Списки!E18:AW18,$AA$4:$BS$4)</f>
        <v>0</v>
      </c>
      <c r="O9">
        <f>SUMPRODUCT(ТЕХ_Списки!E18:AW18,$AA$5:$BS$5)</f>
        <v>0</v>
      </c>
      <c r="P9">
        <f>M9*3+N9*2+O9</f>
        <v>0</v>
      </c>
      <c r="Q9">
        <f>IF(C9="Танк",'РЕЙД-КОНСТРУКТОР'!$R$30,IF(C9="Хилер",'РЕЙД-КОНСТРУКТОР'!$R$31,IF(C9="Саппорт",'РЕЙД-КОНСТРУКТОР'!$R$32,'РЕЙД-КОНСТРУКТОР'!$R$33)))</f>
        <v>5</v>
      </c>
      <c r="R9">
        <f>IF(C9="Танк",IF(Q9&gt;0,70,-150),IF(C9="Хилер",IF(Q9&gt;0,55,-120),IF(C9="Саппорт",IF(Q9&gt;0,50,-120),IF(Q9&gt;0,15,-120))))</f>
        <v>55</v>
      </c>
      <c r="S9" s="35">
        <f ca="1">IF(OR('РЕЙД-КОНСТРУКТОР'!$E$3&gt;='РЕЙД-КОНСТРУКТОР'!$R$3,AND('РЕЙД-КОНСТРУКТОР'!$C$3&lt;&gt;"Любая",'РЕЙД-КОНСТРУКТОР'!$C$3&lt;&gt;C9),Y9=0),-999,IF(SUM($AA$3:$BS$3)&gt;0,M9*45+N9*12+O9*2+I9*0.25+R9-X9,IF(SUM($AA$4:$BS$4)&gt;0,N9*25+O9*4+I9*0.5+R9-X9,I9+R9-K9*2-X9)))+0*'РЕЙД-КОНСТРУКТОР'!$N$52</f>
        <v>143.03</v>
      </c>
      <c r="T9">
        <f ca="1">IF(S9&lt;0,"",S9+ROW()/100000)</f>
        <v>143.03009</v>
      </c>
      <c r="U9" t="e">
        <f ca="1">ТЕХ_Расчет!K66</f>
        <v>#NAME?</v>
      </c>
      <c r="V9" t="str">
        <f>IF(SUM($AA$3:$BS$3)&gt;0,"Закрывает "&amp;M9&amp;" крит. и "&amp;N9&amp;" важных; "&amp;IF(Q9&gt;0,"роль нужна","роль уже заполнена")&amp;"; "&amp;H9&amp;", логи "&amp;TEXT(I9,"0")&amp;"/100. "&amp;IF(U9="—","","Эффекты: "&amp;U9)&amp;IF(X9&gt;0,"; повтор: спек "&amp;K9&amp;", класс "&amp;W9&amp;", штраф "&amp;TEXT(X9,"0"),""),IF(SUM($AA$4:$BS$4)&gt;0,"Критичные закрыты; закрывает "&amp;N9&amp;" важных; "&amp;IF(Q9&gt;0,"роль нужна","роль уже заполнена")&amp;"; "&amp;H9&amp;", логи "&amp;TEXT(I9,"0")&amp;"/100."&amp;IF(X9&gt;0," Повтор: спек "&amp;K9&amp;", класс "&amp;W9&amp;", штраф "&amp;TEXT(X9,"0"),""),"Критичные и важные эффекты закрыты — выбор по роли и логам: "&amp;H9&amp;", "&amp;TEXT(I9,"0")&amp;"/100."&amp;IF(X9&gt;0," Повтор: спек "&amp;K9&amp;", класс "&amp;W9&amp;", штраф "&amp;TEXT(X9,"0"),"")))</f>
        <v>Критичные и важные эффекты закрыты — выбор по роли и логам: HPS 1018, 88/100.</v>
      </c>
      <c r="W9">
        <f>SUMIF('РЕЙД-КОНСТРУКТОР'!$C$6:$C$30,A9,ТЕХ_Расчет!$B$2:$B$26)</f>
        <v>0</v>
      </c>
      <c r="X9">
        <f>IF('РЕЙД-КОНСТРУКТОР'!$R$2="Без ограничений",0,IF('РЕЙД-КОНСТРУКТОР'!$R$2="Умеренно",K9*25+W9*6,K9*55+W9*12))</f>
        <v>0</v>
      </c>
      <c r="Y9">
        <f>IF('РЕЙД-КОНСТРУКТОР'!$R$2="Без ограничений",1,IF(OR(K9&gt;='РЕЙД-КОНСТРУКТОР'!$T$2,W9&gt;='РЕЙД-КОНСТРУКТОР'!$V$2),0,1))</f>
        <v>1</v>
      </c>
      <c r="BT9" t="str">
        <f>'РЕЙД-КОНСТРУКТОР'!J22</f>
        <v>3% Damage Done (all)</v>
      </c>
      <c r="BU9" t="str">
        <f>'РЕЙД-КОНСТРУКТОР'!M22</f>
        <v>Критично</v>
      </c>
      <c r="BV9">
        <f>'СПРАВОЧНИК ЭФФЕКТОВ'!F20</f>
        <v>9</v>
      </c>
      <c r="BW9" t="str">
        <f>'СПРАВОЧНИК ЭФФЕКТОВ'!L20</f>
        <v>Chronomancer — Infinite; Felsworn — Tyrant; Knight of Xoroth — Hellfire; Necromancer — Animation; + ещё 5 классов</v>
      </c>
      <c r="BX9">
        <f>IF('РЕЙД-КОНСТРУКТОР'!K22&gt;0,"",IF(BU9="Критично",3000,IF(BU9="Важно",2000,1000))+(100-MIN(BV9,99))+ROW()/100000)</f>
        <v>3091.00009</v>
      </c>
    </row>
    <row r="10" spans="1:76">
      <c r="A10" t="s">
        <v>303</v>
      </c>
      <c r="B10" t="s">
        <v>309</v>
      </c>
      <c r="C10" t="s">
        <v>139</v>
      </c>
      <c r="D10" t="s">
        <v>696</v>
      </c>
      <c r="E10" t="s">
        <v>1871</v>
      </c>
      <c r="F10">
        <v>117</v>
      </c>
      <c r="G10" s="34">
        <v>0.85401459854014594</v>
      </c>
      <c r="H10" t="s">
        <v>1980</v>
      </c>
      <c r="I10" s="35">
        <v>87.4</v>
      </c>
      <c r="J10" s="31">
        <v>0.10256410256410256</v>
      </c>
      <c r="K10">
        <f>SUMIF(ТЕХ_Расчет!$A$2:$A$26,D10,ТЕХ_Расчет!$B$2:$B$26)</f>
        <v>0</v>
      </c>
      <c r="L10">
        <f>SUMPRODUCT(ТЕХ_Списки!E61:AW61,$AA$2:$BS$2)</f>
        <v>0</v>
      </c>
      <c r="M10">
        <f>SUMPRODUCT(ТЕХ_Списки!E61:AW61,$AA$3:$BS$3)</f>
        <v>0</v>
      </c>
      <c r="N10">
        <f>SUMPRODUCT(ТЕХ_Списки!E61:AW61,$AA$4:$BS$4)</f>
        <v>0</v>
      </c>
      <c r="O10">
        <f>SUMPRODUCT(ТЕХ_Списки!E61:AW61,$AA$5:$BS$5)</f>
        <v>0</v>
      </c>
      <c r="P10">
        <f>M10*3+N10*2+O10</f>
        <v>0</v>
      </c>
      <c r="Q10">
        <f>IF(C10="Танк",'РЕЙД-КОНСТРУКТОР'!$R$30,IF(C10="Хилер",'РЕЙД-КОНСТРУКТОР'!$R$31,IF(C10="Саппорт",'РЕЙД-КОНСТРУКТОР'!$R$32,'РЕЙД-КОНСТРУКТОР'!$R$33)))</f>
        <v>16</v>
      </c>
      <c r="R10">
        <f>IF(C10="Танк",IF(Q10&gt;0,70,-150),IF(C10="Хилер",IF(Q10&gt;0,55,-120),IF(C10="Саппорт",IF(Q10&gt;0,50,-120),IF(Q10&gt;0,15,-120))))</f>
        <v>15</v>
      </c>
      <c r="S10" s="35">
        <f ca="1">IF(OR('РЕЙД-КОНСТРУКТОР'!$E$3&gt;='РЕЙД-КОНСТРУКТОР'!$R$3,AND('РЕЙД-КОНСТРУКТОР'!$C$3&lt;&gt;"Любая",'РЕЙД-КОНСТРУКТОР'!$C$3&lt;&gt;C10),Y10=0),-999,IF(SUM($AA$3:$BS$3)&gt;0,M10*45+N10*12+O10*2+I10*0.25+R10-X10,IF(SUM($AA$4:$BS$4)&gt;0,N10*25+O10*4+I10*0.5+R10-X10,I10+R10-K10*2-X10)))+0*'РЕЙД-КОНСТРУКТОР'!$N$52</f>
        <v>102.4</v>
      </c>
      <c r="T10">
        <f ca="1">IF(S10&lt;0,"",S10+ROW()/100000)</f>
        <v>102.40010000000001</v>
      </c>
      <c r="U10" t="e">
        <f ca="1">ТЕХ_Расчет!K109</f>
        <v>#NAME?</v>
      </c>
      <c r="V10" t="str">
        <f>IF(SUM($AA$3:$BS$3)&gt;0,"Закрывает "&amp;M10&amp;" крит. и "&amp;N10&amp;" важных; "&amp;IF(Q10&gt;0,"роль нужна","роль уже заполнена")&amp;"; "&amp;H10&amp;", логи "&amp;TEXT(I10,"0")&amp;"/100. "&amp;IF(U10="—","","Эффекты: "&amp;U10)&amp;IF(X10&gt;0,"; повтор: спек "&amp;K10&amp;", класс "&amp;W10&amp;", штраф "&amp;TEXT(X10,"0"),""),IF(SUM($AA$4:$BS$4)&gt;0,"Критичные закрыты; закрывает "&amp;N10&amp;" важных; "&amp;IF(Q10&gt;0,"роль нужна","роль уже заполнена")&amp;"; "&amp;H10&amp;", логи "&amp;TEXT(I10,"0")&amp;"/100."&amp;IF(X10&gt;0," Повтор: спек "&amp;K10&amp;", класс "&amp;W10&amp;", штраф "&amp;TEXT(X10,"0"),""),"Критичные и важные эффекты закрыты — выбор по роли и логам: "&amp;H10&amp;", "&amp;TEXT(I10,"0")&amp;"/100."&amp;IF(X10&gt;0," Повтор: спек "&amp;K10&amp;", класс "&amp;W10&amp;", штраф "&amp;TEXT(X10,"0"),"")))</f>
        <v>Критичные и важные эффекты закрыты — выбор по роли и логам: DPS 5146, 87/100.</v>
      </c>
      <c r="W10">
        <f>SUMIF('РЕЙД-КОНСТРУКТОР'!$C$6:$C$30,A10,ТЕХ_Расчет!$B$2:$B$26)</f>
        <v>0</v>
      </c>
      <c r="X10">
        <f>IF('РЕЙД-КОНСТРУКТОР'!$R$2="Без ограничений",0,IF('РЕЙД-КОНСТРУКТОР'!$R$2="Умеренно",K10*25+W10*6,K10*55+W10*12))</f>
        <v>0</v>
      </c>
      <c r="Y10">
        <f>IF('РЕЙД-КОНСТРУКТОР'!$R$2="Без ограничений",1,IF(OR(K10&gt;='РЕЙД-КОНСТРУКТОР'!$T$2,W10&gt;='РЕЙД-КОНСТРУКТОР'!$V$2),0,1))</f>
        <v>1</v>
      </c>
    </row>
    <row r="11" spans="1:76">
      <c r="A11" t="s">
        <v>267</v>
      </c>
      <c r="B11" t="s">
        <v>273</v>
      </c>
      <c r="C11" t="s">
        <v>139</v>
      </c>
      <c r="D11" t="s">
        <v>684</v>
      </c>
      <c r="E11" t="s">
        <v>1871</v>
      </c>
      <c r="F11">
        <v>69</v>
      </c>
      <c r="G11" s="34">
        <v>0.7752808988764045</v>
      </c>
      <c r="H11" t="s">
        <v>1968</v>
      </c>
      <c r="I11" s="35">
        <v>87.16</v>
      </c>
      <c r="J11" s="31">
        <v>0.10144927536231885</v>
      </c>
      <c r="K11">
        <f>SUMIF(ТЕХ_Расчет!$A$2:$A$26,D11,ТЕХ_Расчет!$B$2:$B$26)</f>
        <v>0</v>
      </c>
      <c r="L11">
        <f>SUMPRODUCT(ТЕХ_Списки!E49:AW49,$AA$2:$BS$2)</f>
        <v>0</v>
      </c>
      <c r="M11">
        <f>SUMPRODUCT(ТЕХ_Списки!E49:AW49,$AA$3:$BS$3)</f>
        <v>0</v>
      </c>
      <c r="N11">
        <f>SUMPRODUCT(ТЕХ_Списки!E49:AW49,$AA$4:$BS$4)</f>
        <v>0</v>
      </c>
      <c r="O11">
        <f>SUMPRODUCT(ТЕХ_Списки!E49:AW49,$AA$5:$BS$5)</f>
        <v>0</v>
      </c>
      <c r="P11">
        <f>M11*3+N11*2+O11</f>
        <v>0</v>
      </c>
      <c r="Q11">
        <f>IF(C11="Танк",'РЕЙД-КОНСТРУКТОР'!$R$30,IF(C11="Хилер",'РЕЙД-КОНСТРУКТОР'!$R$31,IF(C11="Саппорт",'РЕЙД-КОНСТРУКТОР'!$R$32,'РЕЙД-КОНСТРУКТОР'!$R$33)))</f>
        <v>16</v>
      </c>
      <c r="R11">
        <f>IF(C11="Танк",IF(Q11&gt;0,70,-150),IF(C11="Хилер",IF(Q11&gt;0,55,-120),IF(C11="Саппорт",IF(Q11&gt;0,50,-120),IF(Q11&gt;0,15,-120))))</f>
        <v>15</v>
      </c>
      <c r="S11" s="35">
        <f ca="1">IF(OR('РЕЙД-КОНСТРУКТОР'!$E$3&gt;='РЕЙД-КОНСТРУКТОР'!$R$3,AND('РЕЙД-КОНСТРУКТОР'!$C$3&lt;&gt;"Любая",'РЕЙД-КОНСТРУКТОР'!$C$3&lt;&gt;C11),Y11=0),-999,IF(SUM($AA$3:$BS$3)&gt;0,M11*45+N11*12+O11*2+I11*0.25+R11-X11,IF(SUM($AA$4:$BS$4)&gt;0,N11*25+O11*4+I11*0.5+R11-X11,I11+R11-K11*2-X11)))+0*'РЕЙД-КОНСТРУКТОР'!$N$52</f>
        <v>102.16</v>
      </c>
      <c r="T11">
        <f ca="1">IF(S11&lt;0,"",S11+ROW()/100000)</f>
        <v>102.16011</v>
      </c>
      <c r="U11" t="e">
        <f ca="1">ТЕХ_Расчет!K97</f>
        <v>#NAME?</v>
      </c>
      <c r="V11" t="str">
        <f>IF(SUM($AA$3:$BS$3)&gt;0,"Закрывает "&amp;M11&amp;" крит. и "&amp;N11&amp;" важных; "&amp;IF(Q11&gt;0,"роль нужна","роль уже заполнена")&amp;"; "&amp;H11&amp;", логи "&amp;TEXT(I11,"0")&amp;"/100. "&amp;IF(U11="—","","Эффекты: "&amp;U11)&amp;IF(X11&gt;0,"; повтор: спек "&amp;K11&amp;", класс "&amp;W11&amp;", штраф "&amp;TEXT(X11,"0"),""),IF(SUM($AA$4:$BS$4)&gt;0,"Критичные закрыты; закрывает "&amp;N11&amp;" важных; "&amp;IF(Q11&gt;0,"роль нужна","роль уже заполнена")&amp;"; "&amp;H11&amp;", логи "&amp;TEXT(I11,"0")&amp;"/100."&amp;IF(X11&gt;0," Повтор: спек "&amp;K11&amp;", класс "&amp;W11&amp;", штраф "&amp;TEXT(X11,"0"),""),"Критичные и важные эффекты закрыты — выбор по роли и логам: "&amp;H11&amp;", "&amp;TEXT(I11,"0")&amp;"/100."&amp;IF(X11&gt;0," Повтор: спек "&amp;K11&amp;", класс "&amp;W11&amp;", штраф "&amp;TEXT(X11,"0"),"")))</f>
        <v>Критичные и важные эффекты закрыты — выбор по роли и логам: DPS 5609, 87/100.</v>
      </c>
      <c r="W11">
        <f>SUMIF('РЕЙД-КОНСТРУКТОР'!$C$6:$C$30,A11,ТЕХ_Расчет!$B$2:$B$26)</f>
        <v>0</v>
      </c>
      <c r="X11">
        <f>IF('РЕЙД-КОНСТРУКТОР'!$R$2="Без ограничений",0,IF('РЕЙД-КОНСТРУКТОР'!$R$2="Умеренно",K11*25+W11*6,K11*55+W11*12))</f>
        <v>0</v>
      </c>
      <c r="Y11">
        <f>IF('РЕЙД-КОНСТРУКТОР'!$R$2="Без ограничений",1,IF(OR(K11&gt;='РЕЙД-КОНСТРУКТОР'!$T$2,W11&gt;='РЕЙД-КОНСТРУКТОР'!$V$2),0,1))</f>
        <v>1</v>
      </c>
    </row>
    <row r="12" spans="1:76">
      <c r="A12" t="s">
        <v>162</v>
      </c>
      <c r="B12" t="s">
        <v>163</v>
      </c>
      <c r="C12" t="s">
        <v>135</v>
      </c>
      <c r="D12" t="s">
        <v>646</v>
      </c>
      <c r="E12" t="s">
        <v>1871</v>
      </c>
      <c r="F12">
        <v>147</v>
      </c>
      <c r="G12" s="34">
        <v>0.88023952095808389</v>
      </c>
      <c r="H12" t="s">
        <v>1931</v>
      </c>
      <c r="I12" s="35">
        <v>86.73</v>
      </c>
      <c r="J12" s="31">
        <v>0.25170068027210885</v>
      </c>
      <c r="K12">
        <f>SUMIF(ТЕХ_Расчет!$A$2:$A$26,D12,ТЕХ_Расчет!$B$2:$B$26)</f>
        <v>0</v>
      </c>
      <c r="L12">
        <f>SUMPRODUCT(ТЕХ_Списки!E11:AW11,$AA$2:$BS$2)</f>
        <v>0</v>
      </c>
      <c r="M12">
        <f>SUMPRODUCT(ТЕХ_Списки!E11:AW11,$AA$3:$BS$3)</f>
        <v>0</v>
      </c>
      <c r="N12">
        <f>SUMPRODUCT(ТЕХ_Списки!E11:AW11,$AA$4:$BS$4)</f>
        <v>0</v>
      </c>
      <c r="O12">
        <f>SUMPRODUCT(ТЕХ_Списки!E11:AW11,$AA$5:$BS$5)</f>
        <v>0</v>
      </c>
      <c r="P12">
        <f>M12*3+N12*2+O12</f>
        <v>0</v>
      </c>
      <c r="Q12">
        <f>IF(C12="Танк",'РЕЙД-КОНСТРУКТОР'!$R$30,IF(C12="Хилер",'РЕЙД-КОНСТРУКТОР'!$R$31,IF(C12="Саппорт",'РЕЙД-КОНСТРУКТОР'!$R$32,'РЕЙД-КОНСТРУКТОР'!$R$33)))</f>
        <v>16</v>
      </c>
      <c r="R12">
        <f>IF(C12="Танк",IF(Q12&gt;0,70,-150),IF(C12="Хилер",IF(Q12&gt;0,55,-120),IF(C12="Саппорт",IF(Q12&gt;0,50,-120),IF(Q12&gt;0,15,-120))))</f>
        <v>15</v>
      </c>
      <c r="S12" s="35">
        <f ca="1">IF(OR('РЕЙД-КОНСТРУКТОР'!$E$3&gt;='РЕЙД-КОНСТРУКТОР'!$R$3,AND('РЕЙД-КОНСТРУКТОР'!$C$3&lt;&gt;"Любая",'РЕЙД-КОНСТРУКТОР'!$C$3&lt;&gt;C12),Y12=0),-999,IF(SUM($AA$3:$BS$3)&gt;0,M12*45+N12*12+O12*2+I12*0.25+R12-X12,IF(SUM($AA$4:$BS$4)&gt;0,N12*25+O12*4+I12*0.5+R12-X12,I12+R12-K12*2-X12)))+0*'РЕЙД-КОНСТРУКТОР'!$N$52</f>
        <v>101.73</v>
      </c>
      <c r="T12">
        <f ca="1">IF(S12&lt;0,"",S12+ROW()/100000)</f>
        <v>101.73012</v>
      </c>
      <c r="U12" t="e">
        <f ca="1">ТЕХ_Расчет!K59</f>
        <v>#NAME?</v>
      </c>
      <c r="V12" t="str">
        <f>IF(SUM($AA$3:$BS$3)&gt;0,"Закрывает "&amp;M12&amp;" крит. и "&amp;N12&amp;" важных; "&amp;IF(Q12&gt;0,"роль нужна","роль уже заполнена")&amp;"; "&amp;H12&amp;", логи "&amp;TEXT(I12,"0")&amp;"/100. "&amp;IF(U12="—","","Эффекты: "&amp;U12)&amp;IF(X12&gt;0,"; повтор: спек "&amp;K12&amp;", класс "&amp;W12&amp;", штраф "&amp;TEXT(X12,"0"),""),IF(SUM($AA$4:$BS$4)&gt;0,"Критичные закрыты; закрывает "&amp;N12&amp;" важных; "&amp;IF(Q12&gt;0,"роль нужна","роль уже заполнена")&amp;"; "&amp;H12&amp;", логи "&amp;TEXT(I12,"0")&amp;"/100."&amp;IF(X12&gt;0," Повтор: спек "&amp;K12&amp;", класс "&amp;W12&amp;", штраф "&amp;TEXT(X12,"0"),""),"Критичные и важные эффекты закрыты — выбор по роли и логам: "&amp;H12&amp;", "&amp;TEXT(I12,"0")&amp;"/100."&amp;IF(X12&gt;0," Повтор: спек "&amp;K12&amp;", класс "&amp;W12&amp;", штраф "&amp;TEXT(X12,"0"),"")))</f>
        <v>Критичные и важные эффекты закрыты — выбор по роли и логам: DPS 5099, 87/100.</v>
      </c>
      <c r="W12">
        <f>SUMIF('РЕЙД-КОНСТРУКТОР'!$C$6:$C$30,A12,ТЕХ_Расчет!$B$2:$B$26)</f>
        <v>0</v>
      </c>
      <c r="X12">
        <f>IF('РЕЙД-КОНСТРУКТОР'!$R$2="Без ограничений",0,IF('РЕЙД-КОНСТРУКТОР'!$R$2="Умеренно",K12*25+W12*6,K12*55+W12*12))</f>
        <v>0</v>
      </c>
      <c r="Y12">
        <f>IF('РЕЙД-КОНСТРУКТОР'!$R$2="Без ограничений",1,IF(OR(K12&gt;='РЕЙД-КОНСТРУКТОР'!$T$2,W12&gt;='РЕЙД-КОНСТРУКТОР'!$V$2),0,1))</f>
        <v>1</v>
      </c>
      <c r="BT12" t="str">
        <f>'РЕЙД-КОНСТРУКТОР'!J15</f>
        <v>Spirit</v>
      </c>
      <c r="BU12" t="str">
        <f>'РЕЙД-КОНСТРУКТОР'!M15</f>
        <v>Важно</v>
      </c>
      <c r="BV12">
        <f>'СПРАВОЧНИК ЭФФЕКТОВ'!F13</f>
        <v>21</v>
      </c>
      <c r="BW12" t="str">
        <f>'СПРАВОЧНИК ЭФФЕКТОВ'!L13</f>
        <v>Chronomancer — любой спек; Cultist — любой спек; Primalist — любой спек; Pyromancer — любой спек; + ещё 2 классов</v>
      </c>
      <c r="BX12">
        <f>IF('РЕЙД-КОНСТРУКТОР'!K15&gt;0,"",IF(BU12="Критично",3000,IF(BU12="Важно",2000,1000))+(100-MIN(BV12,99))+ROW()/100000)</f>
        <v>2079.0001200000002</v>
      </c>
    </row>
    <row r="13" spans="1:76">
      <c r="A13" t="s">
        <v>152</v>
      </c>
      <c r="B13" t="s">
        <v>153</v>
      </c>
      <c r="C13" t="s">
        <v>139</v>
      </c>
      <c r="D13" t="s">
        <v>643</v>
      </c>
      <c r="E13" t="s">
        <v>1871</v>
      </c>
      <c r="F13">
        <v>165</v>
      </c>
      <c r="G13" s="34">
        <v>0.89189189189189189</v>
      </c>
      <c r="H13" t="s">
        <v>1928</v>
      </c>
      <c r="I13" s="35">
        <v>86.29</v>
      </c>
      <c r="J13" s="31">
        <v>0.22424242424242424</v>
      </c>
      <c r="K13">
        <f>SUMIF(ТЕХ_Расчет!$A$2:$A$26,D13,ТЕХ_Расчет!$B$2:$B$26)</f>
        <v>0</v>
      </c>
      <c r="L13">
        <f>SUMPRODUCT(ТЕХ_Списки!E8:AW8,$AA$2:$BS$2)</f>
        <v>0</v>
      </c>
      <c r="M13">
        <f>SUMPRODUCT(ТЕХ_Списки!E8:AW8,$AA$3:$BS$3)</f>
        <v>0</v>
      </c>
      <c r="N13">
        <f>SUMPRODUCT(ТЕХ_Списки!E8:AW8,$AA$4:$BS$4)</f>
        <v>0</v>
      </c>
      <c r="O13">
        <f>SUMPRODUCT(ТЕХ_Списки!E8:AW8,$AA$5:$BS$5)</f>
        <v>0</v>
      </c>
      <c r="P13">
        <f>M13*3+N13*2+O13</f>
        <v>0</v>
      </c>
      <c r="Q13">
        <f>IF(C13="Танк",'РЕЙД-КОНСТРУКТОР'!$R$30,IF(C13="Хилер",'РЕЙД-КОНСТРУКТОР'!$R$31,IF(C13="Саппорт",'РЕЙД-КОНСТРУКТОР'!$R$32,'РЕЙД-КОНСТРУКТОР'!$R$33)))</f>
        <v>16</v>
      </c>
      <c r="R13">
        <f>IF(C13="Танк",IF(Q13&gt;0,70,-150),IF(C13="Хилер",IF(Q13&gt;0,55,-120),IF(C13="Саппорт",IF(Q13&gt;0,50,-120),IF(Q13&gt;0,15,-120))))</f>
        <v>15</v>
      </c>
      <c r="S13" s="35">
        <f ca="1">IF(OR('РЕЙД-КОНСТРУКТОР'!$E$3&gt;='РЕЙД-КОНСТРУКТОР'!$R$3,AND('РЕЙД-КОНСТРУКТОР'!$C$3&lt;&gt;"Любая",'РЕЙД-КОНСТРУКТОР'!$C$3&lt;&gt;C13),Y13=0),-999,IF(SUM($AA$3:$BS$3)&gt;0,M13*45+N13*12+O13*2+I13*0.25+R13-X13,IF(SUM($AA$4:$BS$4)&gt;0,N13*25+O13*4+I13*0.5+R13-X13,I13+R13-K13*2-X13)))+0*'РЕЙД-КОНСТРУКТОР'!$N$52</f>
        <v>101.29</v>
      </c>
      <c r="T13">
        <f ca="1">IF(S13&lt;0,"",S13+ROW()/100000)</f>
        <v>101.29013</v>
      </c>
      <c r="U13" t="e">
        <f ca="1">ТЕХ_Расчет!K56</f>
        <v>#NAME?</v>
      </c>
      <c r="V13" t="str">
        <f>IF(SUM($AA$3:$BS$3)&gt;0,"Закрывает "&amp;M13&amp;" крит. и "&amp;N13&amp;" важных; "&amp;IF(Q13&gt;0,"роль нужна","роль уже заполнена")&amp;"; "&amp;H13&amp;", логи "&amp;TEXT(I13,"0")&amp;"/100. "&amp;IF(U13="—","","Эффекты: "&amp;U13)&amp;IF(X13&gt;0,"; повтор: спек "&amp;K13&amp;", класс "&amp;W13&amp;", штраф "&amp;TEXT(X13,"0"),""),IF(SUM($AA$4:$BS$4)&gt;0,"Критичные закрыты; закрывает "&amp;N13&amp;" важных; "&amp;IF(Q13&gt;0,"роль нужна","роль уже заполнена")&amp;"; "&amp;H13&amp;", логи "&amp;TEXT(I13,"0")&amp;"/100."&amp;IF(X13&gt;0," Повтор: спек "&amp;K13&amp;", класс "&amp;W13&amp;", штраф "&amp;TEXT(X13,"0"),""),"Критичные и важные эффекты закрыты — выбор по роли и логам: "&amp;H13&amp;", "&amp;TEXT(I13,"0")&amp;"/100."&amp;IF(X13&gt;0," Повтор: спек "&amp;K13&amp;", класс "&amp;W13&amp;", штраф "&amp;TEXT(X13,"0"),"")))</f>
        <v>Критичные и важные эффекты закрыты — выбор по роли и логам: DPS 4917, 86/100.</v>
      </c>
      <c r="W13">
        <f>SUMIF('РЕЙД-КОНСТРУКТОР'!$C$6:$C$30,A13,ТЕХ_Расчет!$B$2:$B$26)</f>
        <v>0</v>
      </c>
      <c r="X13">
        <f>IF('РЕЙД-КОНСТРУКТОР'!$R$2="Без ограничений",0,IF('РЕЙД-КОНСТРУКТОР'!$R$2="Умеренно",K13*25+W13*6,K13*55+W13*12))</f>
        <v>0</v>
      </c>
      <c r="Y13">
        <f>IF('РЕЙД-КОНСТРУКТОР'!$R$2="Без ограничений",1,IF(OR(K13&gt;='РЕЙД-КОНСТРУКТОР'!$T$2,W13&gt;='РЕЙД-КОНСТРУКТОР'!$V$2),0,1))</f>
        <v>1</v>
      </c>
      <c r="BT13" t="str">
        <f>'РЕЙД-КОНСТРУКТОР'!J12</f>
        <v>5% Attack Power</v>
      </c>
      <c r="BU13" t="str">
        <f>'РЕЙД-КОНСТРУКТОР'!M12</f>
        <v>Критично</v>
      </c>
      <c r="BV13">
        <f>'СПРАВОЧНИК ЭФФЕКТОВ'!F10</f>
        <v>10</v>
      </c>
      <c r="BW13" t="str">
        <f>'СПРАВОЧНИК ЭФФЕКТОВ'!L10</f>
        <v>Bloodmage — Eternal; Guardian — Gladiator; Knight of Xoroth — Hellfire; Primalist — Wildwalker; + ещё 5 классов</v>
      </c>
      <c r="BX13">
        <f>IF('РЕЙД-КОНСТРУКТОР'!K12&gt;0,"",IF(BU13="Критично",3000,IF(BU13="Важно",2000,1000))+(100-MIN(BV13,99))+ROW()/100000)</f>
        <v>3090.0001299999999</v>
      </c>
    </row>
    <row r="14" spans="1:76">
      <c r="A14" t="s">
        <v>142</v>
      </c>
      <c r="B14" t="s">
        <v>146</v>
      </c>
      <c r="C14" t="s">
        <v>139</v>
      </c>
      <c r="D14" t="s">
        <v>641</v>
      </c>
      <c r="E14" t="s">
        <v>1871</v>
      </c>
      <c r="F14">
        <v>74</v>
      </c>
      <c r="G14" s="34">
        <v>0.78723404255319152</v>
      </c>
      <c r="H14" t="s">
        <v>1926</v>
      </c>
      <c r="I14" s="35">
        <v>86.1</v>
      </c>
      <c r="J14" s="31">
        <v>0.44594594594594594</v>
      </c>
      <c r="K14">
        <f>SUMIF(ТЕХ_Расчет!$A$2:$A$26,D14,ТЕХ_Расчет!$B$2:$B$26)</f>
        <v>0</v>
      </c>
      <c r="L14">
        <f>SUMPRODUCT(ТЕХ_Списки!E6:AW6,$AA$2:$BS$2)</f>
        <v>0</v>
      </c>
      <c r="M14">
        <f>SUMPRODUCT(ТЕХ_Списки!E6:AW6,$AA$3:$BS$3)</f>
        <v>0</v>
      </c>
      <c r="N14">
        <f>SUMPRODUCT(ТЕХ_Списки!E6:AW6,$AA$4:$BS$4)</f>
        <v>0</v>
      </c>
      <c r="O14">
        <f>SUMPRODUCT(ТЕХ_Списки!E6:AW6,$AA$5:$BS$5)</f>
        <v>0</v>
      </c>
      <c r="P14">
        <f>M14*3+N14*2+O14</f>
        <v>0</v>
      </c>
      <c r="Q14">
        <f>IF(C14="Танк",'РЕЙД-КОНСТРУКТОР'!$R$30,IF(C14="Хилер",'РЕЙД-КОНСТРУКТОР'!$R$31,IF(C14="Саппорт",'РЕЙД-КОНСТРУКТОР'!$R$32,'РЕЙД-КОНСТРУКТОР'!$R$33)))</f>
        <v>16</v>
      </c>
      <c r="R14">
        <f>IF(C14="Танк",IF(Q14&gt;0,70,-150),IF(C14="Хилер",IF(Q14&gt;0,55,-120),IF(C14="Саппорт",IF(Q14&gt;0,50,-120),IF(Q14&gt;0,15,-120))))</f>
        <v>15</v>
      </c>
      <c r="S14" s="35">
        <f ca="1">IF(OR('РЕЙД-КОНСТРУКТОР'!$E$3&gt;='РЕЙД-КОНСТРУКТОР'!$R$3,AND('РЕЙД-КОНСТРУКТОР'!$C$3&lt;&gt;"Любая",'РЕЙД-КОНСТРУКТОР'!$C$3&lt;&gt;C14),Y14=0),-999,IF(SUM($AA$3:$BS$3)&gt;0,M14*45+N14*12+O14*2+I14*0.25+R14-X14,IF(SUM($AA$4:$BS$4)&gt;0,N14*25+O14*4+I14*0.5+R14-X14,I14+R14-K14*2-X14)))+0*'РЕЙД-КОНСТРУКТОР'!$N$52</f>
        <v>101.1</v>
      </c>
      <c r="T14">
        <f ca="1">IF(S14&lt;0,"",S14+ROW()/100000)</f>
        <v>101.10014</v>
      </c>
      <c r="U14" t="e">
        <f ca="1">ТЕХ_Расчет!K54</f>
        <v>#NAME?</v>
      </c>
      <c r="V14" t="str">
        <f>IF(SUM($AA$3:$BS$3)&gt;0,"Закрывает "&amp;M14&amp;" крит. и "&amp;N14&amp;" важных; "&amp;IF(Q14&gt;0,"роль нужна","роль уже заполнена")&amp;"; "&amp;H14&amp;", логи "&amp;TEXT(I14,"0")&amp;"/100. "&amp;IF(U14="—","","Эффекты: "&amp;U14)&amp;IF(X14&gt;0,"; повтор: спек "&amp;K14&amp;", класс "&amp;W14&amp;", штраф "&amp;TEXT(X14,"0"),""),IF(SUM($AA$4:$BS$4)&gt;0,"Критичные закрыты; закрывает "&amp;N14&amp;" важных; "&amp;IF(Q14&gt;0,"роль нужна","роль уже заполнена")&amp;"; "&amp;H14&amp;", логи "&amp;TEXT(I14,"0")&amp;"/100."&amp;IF(X14&gt;0," Повтор: спек "&amp;K14&amp;", класс "&amp;W14&amp;", штраф "&amp;TEXT(X14,"0"),""),"Критичные и важные эффекты закрыты — выбор по роли и логам: "&amp;H14&amp;", "&amp;TEXT(I14,"0")&amp;"/100."&amp;IF(X14&gt;0," Повтор: спек "&amp;K14&amp;", класс "&amp;W14&amp;", штраф "&amp;TEXT(X14,"0"),"")))</f>
        <v>Критичные и важные эффекты закрыты — выбор по роли и логам: DPS 6493, 86/100.</v>
      </c>
      <c r="W14">
        <f>SUMIF('РЕЙД-КОНСТРУКТОР'!$C$6:$C$30,A14,ТЕХ_Расчет!$B$2:$B$26)</f>
        <v>0</v>
      </c>
      <c r="X14">
        <f>IF('РЕЙД-КОНСТРУКТОР'!$R$2="Без ограничений",0,IF('РЕЙД-КОНСТРУКТОР'!$R$2="Умеренно",K14*25+W14*6,K14*55+W14*12))</f>
        <v>0</v>
      </c>
      <c r="Y14">
        <f>IF('РЕЙД-КОНСТРУКТОР'!$R$2="Без ограничений",1,IF(OR(K14&gt;='РЕЙД-КОНСТРУКТОР'!$T$2,W14&gt;='РЕЙД-КОНСТРУКТОР'!$V$2),0,1))</f>
        <v>1</v>
      </c>
      <c r="BT14" t="str">
        <f>'РЕЙД-КОНСТРУКТОР'!J10</f>
        <v>Agility</v>
      </c>
      <c r="BU14" t="str">
        <f>'РЕЙД-КОНСТРУКТОР'!M10</f>
        <v>Важно</v>
      </c>
      <c r="BV14">
        <f>'СПРАВОЧНИК ЭФФЕКТОВ'!F8</f>
        <v>20</v>
      </c>
      <c r="BW14" t="str">
        <f>'СПРАВОЧНИК ЭФФЕКТОВ'!L8</f>
        <v>Barbarian — любой спек; Primalist — любой спек; Ranger — любой спек; Runemaster — любой спек; + ещё 2 классов</v>
      </c>
      <c r="BX14">
        <f>IF('РЕЙД-КОНСТРУКТОР'!K10&gt;0,"",IF(BU14="Критично",3000,IF(BU14="Важно",2000,1000))+(100-MIN(BV14,99))+ROW()/100000)</f>
        <v>2080.0001400000001</v>
      </c>
    </row>
    <row r="15" spans="1:76">
      <c r="A15" t="s">
        <v>334</v>
      </c>
      <c r="B15" t="s">
        <v>337</v>
      </c>
      <c r="C15" t="s">
        <v>139</v>
      </c>
      <c r="D15" t="s">
        <v>705</v>
      </c>
      <c r="E15" t="s">
        <v>1871</v>
      </c>
      <c r="F15">
        <v>80</v>
      </c>
      <c r="G15" s="34">
        <v>0.8</v>
      </c>
      <c r="H15" t="s">
        <v>1989</v>
      </c>
      <c r="I15" s="35">
        <v>85.86</v>
      </c>
      <c r="J15" s="31">
        <v>3.7499999999999999E-2</v>
      </c>
      <c r="K15">
        <f>SUMIF(ТЕХ_Расчет!$A$2:$A$26,D15,ТЕХ_Расчет!$B$2:$B$26)</f>
        <v>0</v>
      </c>
      <c r="L15">
        <f>SUMPRODUCT(ТЕХ_Списки!E70:AW70,$AA$2:$BS$2)</f>
        <v>0</v>
      </c>
      <c r="M15">
        <f>SUMPRODUCT(ТЕХ_Списки!E70:AW70,$AA$3:$BS$3)</f>
        <v>0</v>
      </c>
      <c r="N15">
        <f>SUMPRODUCT(ТЕХ_Списки!E70:AW70,$AA$4:$BS$4)</f>
        <v>0</v>
      </c>
      <c r="O15">
        <f>SUMPRODUCT(ТЕХ_Списки!E70:AW70,$AA$5:$BS$5)</f>
        <v>0</v>
      </c>
      <c r="P15">
        <f>M15*3+N15*2+O15</f>
        <v>0</v>
      </c>
      <c r="Q15">
        <f>IF(C15="Танк",'РЕЙД-КОНСТРУКТОР'!$R$30,IF(C15="Хилер",'РЕЙД-КОНСТРУКТОР'!$R$31,IF(C15="Саппорт",'РЕЙД-КОНСТРУКТОР'!$R$32,'РЕЙД-КОНСТРУКТОР'!$R$33)))</f>
        <v>16</v>
      </c>
      <c r="R15">
        <f>IF(C15="Танк",IF(Q15&gt;0,70,-150),IF(C15="Хилер",IF(Q15&gt;0,55,-120),IF(C15="Саппорт",IF(Q15&gt;0,50,-120),IF(Q15&gt;0,15,-120))))</f>
        <v>15</v>
      </c>
      <c r="S15" s="35">
        <f ca="1">IF(OR('РЕЙД-КОНСТРУКТОР'!$E$3&gt;='РЕЙД-КОНСТРУКТОР'!$R$3,AND('РЕЙД-КОНСТРУКТОР'!$C$3&lt;&gt;"Любая",'РЕЙД-КОНСТРУКТОР'!$C$3&lt;&gt;C15),Y15=0),-999,IF(SUM($AA$3:$BS$3)&gt;0,M15*45+N15*12+O15*2+I15*0.25+R15-X15,IF(SUM($AA$4:$BS$4)&gt;0,N15*25+O15*4+I15*0.5+R15-X15,I15+R15-K15*2-X15)))+0*'РЕЙД-КОНСТРУКТОР'!$N$52</f>
        <v>100.86</v>
      </c>
      <c r="T15">
        <f ca="1">IF(S15&lt;0,"",S15+ROW()/100000)</f>
        <v>100.86015</v>
      </c>
      <c r="U15" t="e">
        <f ca="1">ТЕХ_Расчет!K118</f>
        <v>#NAME?</v>
      </c>
      <c r="V15" t="str">
        <f>IF(SUM($AA$3:$BS$3)&gt;0,"Закрывает "&amp;M15&amp;" крит. и "&amp;N15&amp;" важных; "&amp;IF(Q15&gt;0,"роль нужна","роль уже заполнена")&amp;"; "&amp;H15&amp;", логи "&amp;TEXT(I15,"0")&amp;"/100. "&amp;IF(U15="—","","Эффекты: "&amp;U15)&amp;IF(X15&gt;0,"; повтор: спек "&amp;K15&amp;", класс "&amp;W15&amp;", штраф "&amp;TEXT(X15,"0"),""),IF(SUM($AA$4:$BS$4)&gt;0,"Критичные закрыты; закрывает "&amp;N15&amp;" важных; "&amp;IF(Q15&gt;0,"роль нужна","роль уже заполнена")&amp;"; "&amp;H15&amp;", логи "&amp;TEXT(I15,"0")&amp;"/100."&amp;IF(X15&gt;0," Повтор: спек "&amp;K15&amp;", класс "&amp;W15&amp;", штраф "&amp;TEXT(X15,"0"),""),"Критичные и важные эффекты закрыты — выбор по роли и логам: "&amp;H15&amp;", "&amp;TEXT(I15,"0")&amp;"/100."&amp;IF(X15&gt;0," Повтор: спек "&amp;K15&amp;", класс "&amp;W15&amp;", штраф "&amp;TEXT(X15,"0"),"")))</f>
        <v>Критичные и важные эффекты закрыты — выбор по роли и логам: DPS 5190, 86/100.</v>
      </c>
      <c r="W15">
        <f>SUMIF('РЕЙД-КОНСТРУКТОР'!$C$6:$C$30,A15,ТЕХ_Расчет!$B$2:$B$26)</f>
        <v>0</v>
      </c>
      <c r="X15">
        <f>IF('РЕЙД-КОНСТРУКТОР'!$R$2="Без ограничений",0,IF('РЕЙД-КОНСТРУКТОР'!$R$2="Умеренно",K15*25+W15*6,K15*55+W15*12))</f>
        <v>0</v>
      </c>
      <c r="Y15">
        <f>IF('РЕЙД-КОНСТРУКТОР'!$R$2="Без ограничений",1,IF(OR(K15&gt;='РЕЙД-КОНСТРУКТОР'!$T$2,W15&gt;='РЕЙД-КОНСТРУКТОР'!$V$2),0,1))</f>
        <v>1</v>
      </c>
    </row>
    <row r="16" spans="1:76">
      <c r="A16" t="s">
        <v>213</v>
      </c>
      <c r="B16" t="s">
        <v>218</v>
      </c>
      <c r="C16" t="s">
        <v>139</v>
      </c>
      <c r="D16" t="s">
        <v>665</v>
      </c>
      <c r="E16" t="s">
        <v>1871</v>
      </c>
      <c r="F16">
        <v>91</v>
      </c>
      <c r="G16" s="34">
        <v>0.81981981981981977</v>
      </c>
      <c r="H16" t="s">
        <v>1950</v>
      </c>
      <c r="I16" s="35">
        <v>82.51</v>
      </c>
      <c r="J16" s="31">
        <v>0.16483516483516483</v>
      </c>
      <c r="K16">
        <f>SUMIF(ТЕХ_Расчет!$A$2:$A$26,D16,ТЕХ_Расчет!$B$2:$B$26)</f>
        <v>0</v>
      </c>
      <c r="L16">
        <f>SUMPRODUCT(ТЕХ_Списки!E30:AW30,$AA$2:$BS$2)</f>
        <v>0</v>
      </c>
      <c r="M16">
        <f>SUMPRODUCT(ТЕХ_Списки!E30:AW30,$AA$3:$BS$3)</f>
        <v>0</v>
      </c>
      <c r="N16">
        <f>SUMPRODUCT(ТЕХ_Списки!E30:AW30,$AA$4:$BS$4)</f>
        <v>0</v>
      </c>
      <c r="O16">
        <f>SUMPRODUCT(ТЕХ_Списки!E30:AW30,$AA$5:$BS$5)</f>
        <v>0</v>
      </c>
      <c r="P16">
        <f>M16*3+N16*2+O16</f>
        <v>0</v>
      </c>
      <c r="Q16">
        <f>IF(C16="Танк",'РЕЙД-КОНСТРУКТОР'!$R$30,IF(C16="Хилер",'РЕЙД-КОНСТРУКТОР'!$R$31,IF(C16="Саппорт",'РЕЙД-КОНСТРУКТОР'!$R$32,'РЕЙД-КОНСТРУКТОР'!$R$33)))</f>
        <v>16</v>
      </c>
      <c r="R16">
        <f>IF(C16="Танк",IF(Q16&gt;0,70,-150),IF(C16="Хилер",IF(Q16&gt;0,55,-120),IF(C16="Саппорт",IF(Q16&gt;0,50,-120),IF(Q16&gt;0,15,-120))))</f>
        <v>15</v>
      </c>
      <c r="S16" s="35">
        <f ca="1">IF(OR('РЕЙД-КОНСТРУКТОР'!$E$3&gt;='РЕЙД-КОНСТРУКТОР'!$R$3,AND('РЕЙД-КОНСТРУКТОР'!$C$3&lt;&gt;"Любая",'РЕЙД-КОНСТРУКТОР'!$C$3&lt;&gt;C16),Y16=0),-999,IF(SUM($AA$3:$BS$3)&gt;0,M16*45+N16*12+O16*2+I16*0.25+R16-X16,IF(SUM($AA$4:$BS$4)&gt;0,N16*25+O16*4+I16*0.5+R16-X16,I16+R16-K16*2-X16)))+0*'РЕЙД-КОНСТРУКТОР'!$N$52</f>
        <v>97.51</v>
      </c>
      <c r="T16">
        <f ca="1">IF(S16&lt;0,"",S16+ROW()/100000)</f>
        <v>97.510159999999999</v>
      </c>
      <c r="U16" t="e">
        <f ca="1">ТЕХ_Расчет!K78</f>
        <v>#NAME?</v>
      </c>
      <c r="V16" t="str">
        <f>IF(SUM($AA$3:$BS$3)&gt;0,"Закрывает "&amp;M16&amp;" крит. и "&amp;N16&amp;" важных; "&amp;IF(Q16&gt;0,"роль нужна","роль уже заполнена")&amp;"; "&amp;H16&amp;", логи "&amp;TEXT(I16,"0")&amp;"/100. "&amp;IF(U16="—","","Эффекты: "&amp;U16)&amp;IF(X16&gt;0,"; повтор: спек "&amp;K16&amp;", класс "&amp;W16&amp;", штраф "&amp;TEXT(X16,"0"),""),IF(SUM($AA$4:$BS$4)&gt;0,"Критичные закрыты; закрывает "&amp;N16&amp;" важных; "&amp;IF(Q16&gt;0,"роль нужна","роль уже заполнена")&amp;"; "&amp;H16&amp;", логи "&amp;TEXT(I16,"0")&amp;"/100."&amp;IF(X16&gt;0," Повтор: спек "&amp;K16&amp;", класс "&amp;W16&amp;", штраф "&amp;TEXT(X16,"0"),""),"Критичные и важные эффекты закрыты — выбор по роли и логам: "&amp;H16&amp;", "&amp;TEXT(I16,"0")&amp;"/100."&amp;IF(X16&gt;0," Повтор: спек "&amp;K16&amp;", класс "&amp;W16&amp;", штраф "&amp;TEXT(X16,"0"),"")))</f>
        <v>Критичные и важные эффекты закрыты — выбор по роли и логам: DPS 4711, 83/100.</v>
      </c>
      <c r="W16">
        <f>SUMIF('РЕЙД-КОНСТРУКТОР'!$C$6:$C$30,A16,ТЕХ_Расчет!$B$2:$B$26)</f>
        <v>0</v>
      </c>
      <c r="X16">
        <f>IF('РЕЙД-КОНСТРУКТОР'!$R$2="Без ограничений",0,IF('РЕЙД-КОНСТРУКТОР'!$R$2="Умеренно",K16*25+W16*6,K16*55+W16*12))</f>
        <v>0</v>
      </c>
      <c r="Y16">
        <f>IF('РЕЙД-КОНСТРУКТОР'!$R$2="Без ограничений",1,IF(OR(K16&gt;='РЕЙД-КОНСТРУКТОР'!$T$2,W16&gt;='РЕЙД-КОНСТРУКТОР'!$V$2),0,1))</f>
        <v>1</v>
      </c>
      <c r="BT16" t="str">
        <f>'РЕЙД-КОНСТРУКТОР'!J34</f>
        <v>Dampen Magic</v>
      </c>
      <c r="BU16" t="str">
        <f>'РЕЙД-КОНСТРУКТОР'!M34</f>
        <v>Опционально</v>
      </c>
      <c r="BV16">
        <f>'СПРАВОЧНИК ЭФФЕКТОВ'!F32</f>
        <v>7</v>
      </c>
      <c r="BW16" t="str">
        <f>'СПРАВОЧНИК ЭФФЕКТОВ'!L32</f>
        <v>Chronomancer — любой спек; Cultist — любой спек</v>
      </c>
      <c r="BX16">
        <f>IF('РЕЙД-КОНСТРУКТОР'!K34&gt;0,"",IF(BU16="Критично",3000,IF(BU16="Важно",2000,1000))+(100-MIN(BV16,99))+ROW()/100000)</f>
        <v>1093.0001600000001</v>
      </c>
    </row>
    <row r="17" spans="1:76">
      <c r="A17" t="s">
        <v>174</v>
      </c>
      <c r="B17" t="s">
        <v>178</v>
      </c>
      <c r="C17" t="s">
        <v>139</v>
      </c>
      <c r="D17" t="s">
        <v>651</v>
      </c>
      <c r="E17" t="s">
        <v>1871</v>
      </c>
      <c r="F17">
        <v>93</v>
      </c>
      <c r="G17" s="34">
        <v>0.82300884955752207</v>
      </c>
      <c r="H17" t="s">
        <v>1936</v>
      </c>
      <c r="I17" s="35">
        <v>80.930000000000007</v>
      </c>
      <c r="J17" s="31">
        <v>6.4516129032258063E-2</v>
      </c>
      <c r="K17">
        <f>SUMIF(ТЕХ_Расчет!$A$2:$A$26,D17,ТЕХ_Расчет!$B$2:$B$26)</f>
        <v>0</v>
      </c>
      <c r="L17">
        <f>SUMPRODUCT(ТЕХ_Списки!E16:AW16,$AA$2:$BS$2)</f>
        <v>0</v>
      </c>
      <c r="M17">
        <f>SUMPRODUCT(ТЕХ_Списки!E16:AW16,$AA$3:$BS$3)</f>
        <v>0</v>
      </c>
      <c r="N17">
        <f>SUMPRODUCT(ТЕХ_Списки!E16:AW16,$AA$4:$BS$4)</f>
        <v>0</v>
      </c>
      <c r="O17">
        <f>SUMPRODUCT(ТЕХ_Списки!E16:AW16,$AA$5:$BS$5)</f>
        <v>0</v>
      </c>
      <c r="P17">
        <f>M17*3+N17*2+O17</f>
        <v>0</v>
      </c>
      <c r="Q17">
        <f>IF(C17="Танк",'РЕЙД-КОНСТРУКТОР'!$R$30,IF(C17="Хилер",'РЕЙД-КОНСТРУКТОР'!$R$31,IF(C17="Саппорт",'РЕЙД-КОНСТРУКТОР'!$R$32,'РЕЙД-КОНСТРУКТОР'!$R$33)))</f>
        <v>16</v>
      </c>
      <c r="R17">
        <f>IF(C17="Танк",IF(Q17&gt;0,70,-150),IF(C17="Хилер",IF(Q17&gt;0,55,-120),IF(C17="Саппорт",IF(Q17&gt;0,50,-120),IF(Q17&gt;0,15,-120))))</f>
        <v>15</v>
      </c>
      <c r="S17" s="35">
        <f ca="1">IF(OR('РЕЙД-КОНСТРУКТОР'!$E$3&gt;='РЕЙД-КОНСТРУКТОР'!$R$3,AND('РЕЙД-КОНСТРУКТОР'!$C$3&lt;&gt;"Любая",'РЕЙД-КОНСТРУКТОР'!$C$3&lt;&gt;C17),Y17=0),-999,IF(SUM($AA$3:$BS$3)&gt;0,M17*45+N17*12+O17*2+I17*0.25+R17-X17,IF(SUM($AA$4:$BS$4)&gt;0,N17*25+O17*4+I17*0.5+R17-X17,I17+R17-K17*2-X17)))+0*'РЕЙД-КОНСТРУКТОР'!$N$52</f>
        <v>95.93</v>
      </c>
      <c r="T17">
        <f ca="1">IF(S17&lt;0,"",S17+ROW()/100000)</f>
        <v>95.930170000000004</v>
      </c>
      <c r="U17" t="e">
        <f ca="1">ТЕХ_Расчет!K64</f>
        <v>#NAME?</v>
      </c>
      <c r="V17" t="str">
        <f>IF(SUM($AA$3:$BS$3)&gt;0,"Закрывает "&amp;M17&amp;" крит. и "&amp;N17&amp;" важных; "&amp;IF(Q17&gt;0,"роль нужна","роль уже заполнена")&amp;"; "&amp;H17&amp;", логи "&amp;TEXT(I17,"0")&amp;"/100. "&amp;IF(U17="—","","Эффекты: "&amp;U17)&amp;IF(X17&gt;0,"; повтор: спек "&amp;K17&amp;", класс "&amp;W17&amp;", штраф "&amp;TEXT(X17,"0"),""),IF(SUM($AA$4:$BS$4)&gt;0,"Критичные закрыты; закрывает "&amp;N17&amp;" важных; "&amp;IF(Q17&gt;0,"роль нужна","роль уже заполнена")&amp;"; "&amp;H17&amp;", логи "&amp;TEXT(I17,"0")&amp;"/100."&amp;IF(X17&gt;0," Повтор: спек "&amp;K17&amp;", класс "&amp;W17&amp;", штраф "&amp;TEXT(X17,"0"),""),"Критичные и важные эффекты закрыты — выбор по роли и логам: "&amp;H17&amp;", "&amp;TEXT(I17,"0")&amp;"/100."&amp;IF(X17&gt;0," Повтор: спек "&amp;K17&amp;", класс "&amp;W17&amp;", штраф "&amp;TEXT(X17,"0"),"")))</f>
        <v>Критичные и важные эффекты закрыты — выбор по роли и логам: DPS 4427, 81/100.</v>
      </c>
      <c r="W17">
        <f>SUMIF('РЕЙД-КОНСТРУКТОР'!$C$6:$C$30,A17,ТЕХ_Расчет!$B$2:$B$26)</f>
        <v>0</v>
      </c>
      <c r="X17">
        <f>IF('РЕЙД-КОНСТРУКТОР'!$R$2="Без ограничений",0,IF('РЕЙД-КОНСТРУКТОР'!$R$2="Умеренно",K17*25+W17*6,K17*55+W17*12))</f>
        <v>0</v>
      </c>
      <c r="Y17">
        <f>IF('РЕЙД-КОНСТРУКТОР'!$R$2="Без ограничений",1,IF(OR(K17&gt;='РЕЙД-КОНСТРУКТОР'!$T$2,W17&gt;='РЕЙД-КОНСТРУКТОР'!$V$2),0,1))</f>
        <v>1</v>
      </c>
      <c r="BT17" t="str">
        <f>'РЕЙД-КОНСТРУКТОР'!J20</f>
        <v>Strong Mana Cooldown</v>
      </c>
      <c r="BU17" t="str">
        <f>'РЕЙД-КОНСТРУКТОР'!M20</f>
        <v>Опционально</v>
      </c>
      <c r="BV17">
        <f>'СПРАВОЧНИК ЭФФЕКТОВ'!F18</f>
        <v>16</v>
      </c>
      <c r="BW17" t="str">
        <f>'СПРАВОЧНИК ЭФФЕКТОВ'!L18</f>
        <v>Chronomancer — любой спек; Pyromancer — любой спек; Runemaster — любой спек; Starcaller — любой спек; + ещё 1 классов</v>
      </c>
      <c r="BX17">
        <f>IF('РЕЙД-КОНСТРУКТОР'!K20&gt;0,"",IF(BU17="Критично",3000,IF(BU17="Важно",2000,1000))+(100-MIN(BV17,99))+ROW()/100000)</f>
        <v>1084.00017</v>
      </c>
    </row>
    <row r="18" spans="1:76">
      <c r="A18" t="s">
        <v>224</v>
      </c>
      <c r="B18" t="s">
        <v>230</v>
      </c>
      <c r="C18" t="s">
        <v>139</v>
      </c>
      <c r="D18" t="s">
        <v>669</v>
      </c>
      <c r="E18" t="s">
        <v>1871</v>
      </c>
      <c r="F18">
        <v>78</v>
      </c>
      <c r="G18" s="34">
        <v>0.79591836734693877</v>
      </c>
      <c r="H18" t="s">
        <v>1954</v>
      </c>
      <c r="I18" s="35">
        <v>80.739999999999995</v>
      </c>
      <c r="J18" s="31">
        <v>0.10256410256410256</v>
      </c>
      <c r="K18">
        <f>SUMIF(ТЕХ_Расчет!$A$2:$A$26,D18,ТЕХ_Расчет!$B$2:$B$26)</f>
        <v>0</v>
      </c>
      <c r="L18">
        <f>SUMPRODUCT(ТЕХ_Списки!E34:AW34,$AA$2:$BS$2)</f>
        <v>0</v>
      </c>
      <c r="M18">
        <f>SUMPRODUCT(ТЕХ_Списки!E34:AW34,$AA$3:$BS$3)</f>
        <v>0</v>
      </c>
      <c r="N18">
        <f>SUMPRODUCT(ТЕХ_Списки!E34:AW34,$AA$4:$BS$4)</f>
        <v>0</v>
      </c>
      <c r="O18">
        <f>SUMPRODUCT(ТЕХ_Списки!E34:AW34,$AA$5:$BS$5)</f>
        <v>0</v>
      </c>
      <c r="P18">
        <f>M18*3+N18*2+O18</f>
        <v>0</v>
      </c>
      <c r="Q18">
        <f>IF(C18="Танк",'РЕЙД-КОНСТРУКТОР'!$R$30,IF(C18="Хилер",'РЕЙД-КОНСТРУКТОР'!$R$31,IF(C18="Саппорт",'РЕЙД-КОНСТРУКТОР'!$R$32,'РЕЙД-КОНСТРУКТОР'!$R$33)))</f>
        <v>16</v>
      </c>
      <c r="R18">
        <f>IF(C18="Танк",IF(Q18&gt;0,70,-150),IF(C18="Хилер",IF(Q18&gt;0,55,-120),IF(C18="Саппорт",IF(Q18&gt;0,50,-120),IF(Q18&gt;0,15,-120))))</f>
        <v>15</v>
      </c>
      <c r="S18" s="35">
        <f ca="1">IF(OR('РЕЙД-КОНСТРУКТОР'!$E$3&gt;='РЕЙД-КОНСТРУКТОР'!$R$3,AND('РЕЙД-КОНСТРУКТОР'!$C$3&lt;&gt;"Любая",'РЕЙД-КОНСТРУКТОР'!$C$3&lt;&gt;C18),Y18=0),-999,IF(SUM($AA$3:$BS$3)&gt;0,M18*45+N18*12+O18*2+I18*0.25+R18-X18,IF(SUM($AA$4:$BS$4)&gt;0,N18*25+O18*4+I18*0.5+R18-X18,I18+R18-K18*2-X18)))+0*'РЕЙД-КОНСТРУКТОР'!$N$52</f>
        <v>95.74</v>
      </c>
      <c r="T18">
        <f ca="1">IF(S18&lt;0,"",S18+ROW()/100000)</f>
        <v>95.740179999999995</v>
      </c>
      <c r="U18" t="e">
        <f ca="1">ТЕХ_Расчет!K82</f>
        <v>#NAME?</v>
      </c>
      <c r="V18" t="str">
        <f>IF(SUM($AA$3:$BS$3)&gt;0,"Закрывает "&amp;M18&amp;" крит. и "&amp;N18&amp;" важных; "&amp;IF(Q18&gt;0,"роль нужна","роль уже заполнена")&amp;"; "&amp;H18&amp;", логи "&amp;TEXT(I18,"0")&amp;"/100. "&amp;IF(U18="—","","Эффекты: "&amp;U18)&amp;IF(X18&gt;0,"; повтор: спек "&amp;K18&amp;", класс "&amp;W18&amp;", штраф "&amp;TEXT(X18,"0"),""),IF(SUM($AA$4:$BS$4)&gt;0,"Критичные закрыты; закрывает "&amp;N18&amp;" важных; "&amp;IF(Q18&gt;0,"роль нужна","роль уже заполнена")&amp;"; "&amp;H18&amp;", логи "&amp;TEXT(I18,"0")&amp;"/100."&amp;IF(X18&gt;0," Повтор: спек "&amp;K18&amp;", класс "&amp;W18&amp;", штраф "&amp;TEXT(X18,"0"),""),"Критичные и важные эффекты закрыты — выбор по роли и логам: "&amp;H18&amp;", "&amp;TEXT(I18,"0")&amp;"/100."&amp;IF(X18&gt;0," Повтор: спек "&amp;K18&amp;", класс "&amp;W18&amp;", штраф "&amp;TEXT(X18,"0"),"")))</f>
        <v>Критичные и важные эффекты закрыты — выбор по роли и логам: DPS 4541, 81/100.</v>
      </c>
      <c r="W18">
        <f>SUMIF('РЕЙД-КОНСТРУКТОР'!$C$6:$C$30,A18,ТЕХ_Расчет!$B$2:$B$26)</f>
        <v>0</v>
      </c>
      <c r="X18">
        <f>IF('РЕЙД-КОНСТРУКТОР'!$R$2="Без ограничений",0,IF('РЕЙД-КОНСТРУКТОР'!$R$2="Умеренно",K18*25+W18*6,K18*55+W18*12))</f>
        <v>0</v>
      </c>
      <c r="Y18">
        <f>IF('РЕЙД-КОНСТРУКТОР'!$R$2="Без ограничений",1,IF(OR(K18&gt;='РЕЙД-КОНСТРУКТОР'!$T$2,W18&gt;='РЕЙД-КОНСТРУКТОР'!$V$2),0,1))</f>
        <v>1</v>
      </c>
      <c r="BT18" t="str">
        <f>'РЕЙД-КОНСТРУКТОР'!J38</f>
        <v>4% Physical Damage</v>
      </c>
      <c r="BU18" t="str">
        <f>'РЕЙД-КОНСТРУКТОР'!M38</f>
        <v>Критично</v>
      </c>
      <c r="BV18">
        <f>'СПРАВОЧНИК ЭФФЕКТОВ'!F36</f>
        <v>8</v>
      </c>
      <c r="BW18" t="str">
        <f>'СПРАВОЧНИК ЭФФЕКТОВ'!L36</f>
        <v>Barbarian — Brutality; Felsworn — Tyrant; Guardian — Gladiator; Knight of Xoroth — War; + ещё 3 классов</v>
      </c>
      <c r="BX18">
        <f>IF('РЕЙД-КОНСТРУКТОР'!K38&gt;0,"",IF(BU18="Критично",3000,IF(BU18="Важно",2000,1000))+(100-MIN(BV18,99))+ROW()/100000)</f>
        <v>3092.00018</v>
      </c>
    </row>
    <row r="19" spans="1:76">
      <c r="A19" t="s">
        <v>312</v>
      </c>
      <c r="B19" t="s">
        <v>313</v>
      </c>
      <c r="C19" t="s">
        <v>139</v>
      </c>
      <c r="D19" t="s">
        <v>697</v>
      </c>
      <c r="E19" t="s">
        <v>1871</v>
      </c>
      <c r="F19">
        <v>184</v>
      </c>
      <c r="G19" s="34">
        <v>0.90196078431372551</v>
      </c>
      <c r="H19" t="s">
        <v>1981</v>
      </c>
      <c r="I19" s="35">
        <v>80.17</v>
      </c>
      <c r="J19" s="31">
        <v>8.1521739130434784E-2</v>
      </c>
      <c r="K19">
        <f>SUMIF(ТЕХ_Расчет!$A$2:$A$26,D19,ТЕХ_Расчет!$B$2:$B$26)</f>
        <v>0</v>
      </c>
      <c r="L19">
        <f>SUMPRODUCT(ТЕХ_Списки!E62:AW62,$AA$2:$BS$2)</f>
        <v>0</v>
      </c>
      <c r="M19">
        <f>SUMPRODUCT(ТЕХ_Списки!E62:AW62,$AA$3:$BS$3)</f>
        <v>0</v>
      </c>
      <c r="N19">
        <f>SUMPRODUCT(ТЕХ_Списки!E62:AW62,$AA$4:$BS$4)</f>
        <v>0</v>
      </c>
      <c r="O19">
        <f>SUMPRODUCT(ТЕХ_Списки!E62:AW62,$AA$5:$BS$5)</f>
        <v>0</v>
      </c>
      <c r="P19">
        <f>M19*3+N19*2+O19</f>
        <v>0</v>
      </c>
      <c r="Q19">
        <f>IF(C19="Танк",'РЕЙД-КОНСТРУКТОР'!$R$30,IF(C19="Хилер",'РЕЙД-КОНСТРУКТОР'!$R$31,IF(C19="Саппорт",'РЕЙД-КОНСТРУКТОР'!$R$32,'РЕЙД-КОНСТРУКТОР'!$R$33)))</f>
        <v>16</v>
      </c>
      <c r="R19">
        <f>IF(C19="Танк",IF(Q19&gt;0,70,-150),IF(C19="Хилер",IF(Q19&gt;0,55,-120),IF(C19="Саппорт",IF(Q19&gt;0,50,-120),IF(Q19&gt;0,15,-120))))</f>
        <v>15</v>
      </c>
      <c r="S19" s="35">
        <f ca="1">IF(OR('РЕЙД-КОНСТРУКТОР'!$E$3&gt;='РЕЙД-КОНСТРУКТОР'!$R$3,AND('РЕЙД-КОНСТРУКТОР'!$C$3&lt;&gt;"Любая",'РЕЙД-КОНСТРУКТОР'!$C$3&lt;&gt;C19),Y19=0),-999,IF(SUM($AA$3:$BS$3)&gt;0,M19*45+N19*12+O19*2+I19*0.25+R19-X19,IF(SUM($AA$4:$BS$4)&gt;0,N19*25+O19*4+I19*0.5+R19-X19,I19+R19-K19*2-X19)))+0*'РЕЙД-КОНСТРУКТОР'!$N$52</f>
        <v>95.17</v>
      </c>
      <c r="T19">
        <f ca="1">IF(S19&lt;0,"",S19+ROW()/100000)</f>
        <v>95.170190000000005</v>
      </c>
      <c r="U19" t="e">
        <f ca="1">ТЕХ_Расчет!K110</f>
        <v>#NAME?</v>
      </c>
      <c r="V19" t="str">
        <f>IF(SUM($AA$3:$BS$3)&gt;0,"Закрывает "&amp;M19&amp;" крит. и "&amp;N19&amp;" важных; "&amp;IF(Q19&gt;0,"роль нужна","роль уже заполнена")&amp;"; "&amp;H19&amp;", логи "&amp;TEXT(I19,"0")&amp;"/100. "&amp;IF(U19="—","","Эффекты: "&amp;U19)&amp;IF(X19&gt;0,"; повтор: спек "&amp;K19&amp;", класс "&amp;W19&amp;", штраф "&amp;TEXT(X19,"0"),""),IF(SUM($AA$4:$BS$4)&gt;0,"Критичные закрыты; закрывает "&amp;N19&amp;" важных; "&amp;IF(Q19&gt;0,"роль нужна","роль уже заполнена")&amp;"; "&amp;H19&amp;", логи "&amp;TEXT(I19,"0")&amp;"/100."&amp;IF(X19&gt;0," Повтор: спек "&amp;K19&amp;", класс "&amp;W19&amp;", штраф "&amp;TEXT(X19,"0"),""),"Критичные и важные эффекты закрыты — выбор по роли и логам: "&amp;H19&amp;", "&amp;TEXT(I19,"0")&amp;"/100."&amp;IF(X19&gt;0," Повтор: спек "&amp;K19&amp;", класс "&amp;W19&amp;", штраф "&amp;TEXT(X19,"0"),"")))</f>
        <v>Критичные и важные эффекты закрыты — выбор по роли и логам: DPS 4386, 80/100.</v>
      </c>
      <c r="W19">
        <f>SUMIF('РЕЙД-КОНСТРУКТОР'!$C$6:$C$30,A19,ТЕХ_Расчет!$B$2:$B$26)</f>
        <v>0</v>
      </c>
      <c r="X19">
        <f>IF('РЕЙД-КОНСТРУКТОР'!$R$2="Без ограничений",0,IF('РЕЙД-КОНСТРУКТОР'!$R$2="Умеренно",K19*25+W19*6,K19*55+W19*12))</f>
        <v>0</v>
      </c>
      <c r="Y19">
        <f>IF('РЕЙД-КОНСТРУКТОР'!$R$2="Без ограничений",1,IF(OR(K19&gt;='РЕЙД-КОНСТРУКТОР'!$T$2,W19&gt;='РЕЙД-КОНСТРУКТОР'!$V$2),0,1))</f>
        <v>1</v>
      </c>
    </row>
    <row r="20" spans="1:76">
      <c r="A20" t="s">
        <v>142</v>
      </c>
      <c r="B20" t="s">
        <v>143</v>
      </c>
      <c r="C20" t="s">
        <v>139</v>
      </c>
      <c r="D20" t="s">
        <v>639</v>
      </c>
      <c r="E20" t="s">
        <v>1871</v>
      </c>
      <c r="F20">
        <v>105</v>
      </c>
      <c r="G20" s="34">
        <v>0.84</v>
      </c>
      <c r="H20" t="s">
        <v>1925</v>
      </c>
      <c r="I20" s="35">
        <v>79.83</v>
      </c>
      <c r="J20" s="31">
        <v>0.14285714285714285</v>
      </c>
      <c r="K20">
        <f>SUMIF(ТЕХ_Расчет!$A$2:$A$26,D20,ТЕХ_Расчет!$B$2:$B$26)</f>
        <v>0</v>
      </c>
      <c r="L20">
        <f>SUMPRODUCT(ТЕХ_Списки!E5:AW5,$AA$2:$BS$2)</f>
        <v>0</v>
      </c>
      <c r="M20">
        <f>SUMPRODUCT(ТЕХ_Списки!E5:AW5,$AA$3:$BS$3)</f>
        <v>0</v>
      </c>
      <c r="N20">
        <f>SUMPRODUCT(ТЕХ_Списки!E5:AW5,$AA$4:$BS$4)</f>
        <v>0</v>
      </c>
      <c r="O20">
        <f>SUMPRODUCT(ТЕХ_Списки!E5:AW5,$AA$5:$BS$5)</f>
        <v>0</v>
      </c>
      <c r="P20">
        <f>M20*3+N20*2+O20</f>
        <v>0</v>
      </c>
      <c r="Q20">
        <f>IF(C20="Танк",'РЕЙД-КОНСТРУКТОР'!$R$30,IF(C20="Хилер",'РЕЙД-КОНСТРУКТОР'!$R$31,IF(C20="Саппорт",'РЕЙД-КОНСТРУКТОР'!$R$32,'РЕЙД-КОНСТРУКТОР'!$R$33)))</f>
        <v>16</v>
      </c>
      <c r="R20">
        <f>IF(C20="Танк",IF(Q20&gt;0,70,-150),IF(C20="Хилер",IF(Q20&gt;0,55,-120),IF(C20="Саппорт",IF(Q20&gt;0,50,-120),IF(Q20&gt;0,15,-120))))</f>
        <v>15</v>
      </c>
      <c r="S20" s="35">
        <f ca="1">IF(OR('РЕЙД-КОНСТРУКТОР'!$E$3&gt;='РЕЙД-КОНСТРУКТОР'!$R$3,AND('РЕЙД-КОНСТРУКТОР'!$C$3&lt;&gt;"Любая",'РЕЙД-КОНСТРУКТОР'!$C$3&lt;&gt;C20),Y20=0),-999,IF(SUM($AA$3:$BS$3)&gt;0,M20*45+N20*12+O20*2+I20*0.25+R20-X20,IF(SUM($AA$4:$BS$4)&gt;0,N20*25+O20*4+I20*0.5+R20-X20,I20+R20-K20*2-X20)))+0*'РЕЙД-КОНСТРУКТОР'!$N$52</f>
        <v>94.83</v>
      </c>
      <c r="T20">
        <f ca="1">IF(S20&lt;0,"",S20+ROW()/100000)</f>
        <v>94.830200000000005</v>
      </c>
      <c r="U20" t="e">
        <f ca="1">ТЕХ_Расчет!K53</f>
        <v>#NAME?</v>
      </c>
      <c r="V20" t="str">
        <f>IF(SUM($AA$3:$BS$3)&gt;0,"Закрывает "&amp;M20&amp;" крит. и "&amp;N20&amp;" важных; "&amp;IF(Q20&gt;0,"роль нужна","роль уже заполнена")&amp;"; "&amp;H20&amp;", логи "&amp;TEXT(I20,"0")&amp;"/100. "&amp;IF(U20="—","","Эффекты: "&amp;U20)&amp;IF(X20&gt;0,"; повтор: спек "&amp;K20&amp;", класс "&amp;W20&amp;", штраф "&amp;TEXT(X20,"0"),""),IF(SUM($AA$4:$BS$4)&gt;0,"Критичные закрыты; закрывает "&amp;N20&amp;" важных; "&amp;IF(Q20&gt;0,"роль нужна","роль уже заполнена")&amp;"; "&amp;H20&amp;", логи "&amp;TEXT(I20,"0")&amp;"/100."&amp;IF(X20&gt;0," Повтор: спек "&amp;K20&amp;", класс "&amp;W20&amp;", штраф "&amp;TEXT(X20,"0"),""),"Критичные и важные эффекты закрыты — выбор по роли и логам: "&amp;H20&amp;", "&amp;TEXT(I20,"0")&amp;"/100."&amp;IF(X20&gt;0," Повтор: спек "&amp;K20&amp;", класс "&amp;W20&amp;", штраф "&amp;TEXT(X20,"0"),"")))</f>
        <v>Критичные и важные эффекты закрыты — выбор по роли и логам: DPS 4542, 80/100.</v>
      </c>
      <c r="W20">
        <f>SUMIF('РЕЙД-КОНСТРУКТОР'!$C$6:$C$30,A20,ТЕХ_Расчет!$B$2:$B$26)</f>
        <v>0</v>
      </c>
      <c r="X20">
        <f>IF('РЕЙД-КОНСТРУКТОР'!$R$2="Без ограничений",0,IF('РЕЙД-КОНСТРУКТОР'!$R$2="Умеренно",K20*25+W20*6,K20*55+W20*12))</f>
        <v>0</v>
      </c>
      <c r="Y20">
        <f>IF('РЕЙД-КОНСТРУКТОР'!$R$2="Без ограничений",1,IF(OR(K20&gt;='РЕЙД-КОНСТРУКТОР'!$T$2,W20&gt;='РЕЙД-КОНСТРУКТОР'!$V$2),0,1))</f>
        <v>1</v>
      </c>
      <c r="AA20">
        <f>IF(AND('РЕЙД-КОНСТРУКТОР'!K6=0,'РЕЙД-КОНСТРУКТОР'!M6="Опционально"),1,0)</f>
        <v>0</v>
      </c>
      <c r="AB20">
        <f>IF(AND('РЕЙД-КОНСТРУКТОР'!K7=0,'РЕЙД-КОНСТРУКТОР'!M7="Опционально"),1,0)</f>
        <v>0</v>
      </c>
      <c r="AC20">
        <f>IF(AND('РЕЙД-КОНСТРУКТОР'!K8=0,'РЕЙД-КОНСТРУКТОР'!M8="Опционально"),1,0)</f>
        <v>0</v>
      </c>
      <c r="AD20">
        <f>IF(AND('РЕЙД-КОНСТРУКТОР'!K9=0,'РЕЙД-КОНСТРУКТОР'!M9="Опционально"),1,0)</f>
        <v>0</v>
      </c>
      <c r="AE20">
        <f>IF(AND('РЕЙД-КОНСТРУКТОР'!K10=0,'РЕЙД-КОНСТРУКТОР'!M10="Опционально"),1,0)</f>
        <v>0</v>
      </c>
      <c r="AF20">
        <f>IF(AND('РЕЙД-КОНСТРУКТОР'!K11=0,'РЕЙД-КОНСТРУКТОР'!M11="Опционально"),1,0)</f>
        <v>0</v>
      </c>
      <c r="AG20">
        <f>IF(AND('РЕЙД-КОНСТРУКТОР'!K12=0,'РЕЙД-КОНСТРУКТОР'!M12="Опционально"),1,0)</f>
        <v>0</v>
      </c>
      <c r="AH20">
        <f>IF(AND('РЕЙД-КОНСТРУКТОР'!K13=0,'РЕЙД-КОНСТРУКТОР'!M13="Опционально"),1,0)</f>
        <v>0</v>
      </c>
      <c r="AI20">
        <f>IF(AND('РЕЙД-КОНСТРУКТОР'!K14=0,'РЕЙД-КОНСТРУКТОР'!M14="Опционально"),1,0)</f>
        <v>0</v>
      </c>
      <c r="AJ20">
        <f>IF(AND('РЕЙД-КОНСТРУКТОР'!K15=0,'РЕЙД-КОНСТРУКТОР'!M15="Опционально"),1,0)</f>
        <v>0</v>
      </c>
      <c r="AK20">
        <f>IF(AND('РЕЙД-КОНСТРУКТОР'!K16=0,'РЕЙД-КОНСТРУКТОР'!M16="Опционально"),1,0)</f>
        <v>0</v>
      </c>
      <c r="AL20">
        <f>IF(AND('РЕЙД-КОНСТРУКТОР'!K17=0,'РЕЙД-КОНСТРУКТОР'!M17="Опционально"),1,0)</f>
        <v>0</v>
      </c>
      <c r="AM20">
        <f>IF(AND('РЕЙД-КОНСТРУКТОР'!K18=0,'РЕЙД-КОНСТРУКТОР'!M18="Опционально"),1,0)</f>
        <v>0</v>
      </c>
      <c r="AN20">
        <f>IF(AND('РЕЙД-КОНСТРУКТОР'!K19=0,'РЕЙД-КОНСТРУКТОР'!M19="Опционально"),1,0)</f>
        <v>0</v>
      </c>
      <c r="AO20">
        <f>IF(AND('РЕЙД-КОНСТРУКТОР'!K20=0,'РЕЙД-КОНСТРУКТОР'!M20="Опционально"),1,0)</f>
        <v>1</v>
      </c>
      <c r="AP20">
        <f>IF(AND('РЕЙД-КОНСТРУКТОР'!K21=0,'РЕЙД-КОНСТРУКТОР'!M21="Опционально"),1,0)</f>
        <v>0</v>
      </c>
      <c r="AQ20">
        <f>IF(AND('РЕЙД-КОНСТРУКТОР'!K22=0,'РЕЙД-КОНСТРУКТОР'!M22="Опционально"),1,0)</f>
        <v>0</v>
      </c>
      <c r="AR20">
        <f>IF(AND('РЕЙД-КОНСТРУКТОР'!K23=0,'РЕЙД-КОНСТРУКТОР'!M23="Опционально"),1,0)</f>
        <v>1</v>
      </c>
      <c r="AS20">
        <f>IF(AND('РЕЙД-КОНСТРУКТОР'!K24=0,'РЕЙД-КОНСТРУКТОР'!M24="Опционально"),1,0)</f>
        <v>1</v>
      </c>
      <c r="AT20">
        <f>IF(AND('РЕЙД-КОНСТРУКТОР'!K25=0,'РЕЙД-КОНСТРУКТОР'!M25="Опционально"),1,0)</f>
        <v>1</v>
      </c>
      <c r="AU20">
        <f>IF(AND('РЕЙД-КОНСТРУКТОР'!K26=0,'РЕЙД-КОНСТРУКТОР'!M26="Опционально"),1,0)</f>
        <v>1</v>
      </c>
      <c r="AV20">
        <f>IF(AND('РЕЙД-КОНСТРУКТОР'!K27=0,'РЕЙД-КОНСТРУКТОР'!M27="Опционально"),1,0)</f>
        <v>1</v>
      </c>
      <c r="AW20">
        <f>IF(AND('РЕЙД-КОНСТРУКТОР'!K28=0,'РЕЙД-КОНСТРУКТОР'!M28="Опционально"),1,0)</f>
        <v>1</v>
      </c>
      <c r="AX20">
        <f>IF(AND('РЕЙД-КОНСТРУКТОР'!K29=0,'РЕЙД-КОНСТРУКТОР'!M29="Опционально"),1,0)</f>
        <v>1</v>
      </c>
      <c r="AY20">
        <f>IF(AND('РЕЙД-КОНСТРУКТОР'!K30=0,'РЕЙД-КОНСТРУКТОР'!M30="Опционально"),1,0)</f>
        <v>0</v>
      </c>
      <c r="AZ20">
        <f>IF(AND('РЕЙД-КОНСТРУКТОР'!K31=0,'РЕЙД-КОНСТРУКТОР'!M31="Опционально"),1,0)</f>
        <v>1</v>
      </c>
      <c r="BA20">
        <f>IF(AND('РЕЙД-КОНСТРУКТОР'!K32=0,'РЕЙД-КОНСТРУКТОР'!M32="Опционально"),1,0)</f>
        <v>1</v>
      </c>
      <c r="BB20">
        <f>IF(AND('РЕЙД-КОНСТРУКТОР'!K33=0,'РЕЙД-КОНСТРУКТОР'!M33="Опционально"),1,0)</f>
        <v>1</v>
      </c>
      <c r="BC20">
        <f>IF(AND('РЕЙД-КОНСТРУКТОР'!K34=0,'РЕЙД-КОНСТРУКТОР'!M34="Опционально"),1,0)</f>
        <v>1</v>
      </c>
      <c r="BD20">
        <f>IF(AND('РЕЙД-КОНСТРУКТОР'!K35=0,'РЕЙД-КОНСТРУКТОР'!M35="Опционально"),1,0)</f>
        <v>0</v>
      </c>
      <c r="BE20">
        <f>IF(AND('РЕЙД-КОНСТРУКТОР'!K36=0,'РЕЙД-КОНСТРУКТОР'!M36="Опционально"),1,0)</f>
        <v>0</v>
      </c>
      <c r="BF20">
        <f>IF(AND('РЕЙД-КОНСТРУКТОР'!K37=0,'РЕЙД-КОНСТРУКТОР'!M37="Опционально"),1,0)</f>
        <v>0</v>
      </c>
      <c r="BG20">
        <f>IF(AND('РЕЙД-КОНСТРУКТОР'!K38=0,'РЕЙД-КОНСТРУКТОР'!M38="Опционально"),1,0)</f>
        <v>0</v>
      </c>
      <c r="BH20">
        <f>IF(AND('РЕЙД-КОНСТРУКТОР'!K39=0,'РЕЙД-КОНСТРУКТОР'!M39="Опционально"),1,0)</f>
        <v>1</v>
      </c>
      <c r="BI20">
        <f>IF(AND('РЕЙД-КОНСТРУКТОР'!K40=0,'РЕЙД-КОНСТРУКТОР'!M40="Опционально"),1,0)</f>
        <v>0</v>
      </c>
      <c r="BJ20">
        <f>IF(AND('РЕЙД-КОНСТРУКТОР'!K41=0,'РЕЙД-КОНСТРУКТОР'!M41="Опционально"),1,0)</f>
        <v>0</v>
      </c>
      <c r="BK20">
        <f>IF(AND('РЕЙД-КОНСТРУКТОР'!K42=0,'РЕЙД-КОНСТРУКТОР'!M42="Опционально"),1,0)</f>
        <v>0</v>
      </c>
      <c r="BL20">
        <f>IF(AND('РЕЙД-КОНСТРУКТОР'!K43=0,'РЕЙД-КОНСТРУКТОР'!M43="Опционально"),1,0)</f>
        <v>0</v>
      </c>
      <c r="BM20">
        <f>IF(AND('РЕЙД-КОНСТРУКТОР'!K44=0,'РЕЙД-КОНСТРУКТОР'!M44="Опционально"),1,0)</f>
        <v>0</v>
      </c>
      <c r="BN20">
        <f>IF(AND('РЕЙД-КОНСТРУКТОР'!K45=0,'РЕЙД-КОНСТРУКТОР'!M45="Опционально"),1,0)</f>
        <v>0</v>
      </c>
      <c r="BO20">
        <f>IF(AND('РЕЙД-КОНСТРУКТОР'!K46=0,'РЕЙД-КОНСТРУКТОР'!M46="Опционально"),1,0)</f>
        <v>0</v>
      </c>
      <c r="BP20">
        <f>IF(AND('РЕЙД-КОНСТРУКТОР'!K47=0,'РЕЙД-КОНСТРУКТОР'!M47="Опционально"),1,0)</f>
        <v>1</v>
      </c>
      <c r="BQ20">
        <f>IF(AND('РЕЙД-КОНСТРУКТОР'!K48=0,'РЕЙД-КОНСТРУКТОР'!M48="Опционально"),1,0)</f>
        <v>1</v>
      </c>
      <c r="BR20">
        <f>IF(AND('РЕЙД-КОНСТРУКТОР'!K49=0,'РЕЙД-КОНСТРУКТОР'!M49="Опционально"),1,0)</f>
        <v>1</v>
      </c>
      <c r="BS20">
        <f>IF(AND('РЕЙД-КОНСТРУКТОР'!K50=0,'РЕЙД-КОНСТРУКТОР'!M50="Опционально"),1,0)</f>
        <v>0</v>
      </c>
      <c r="BT20" t="str">
        <f>'РЕЙД-КОНСТРУКТОР'!J9</f>
        <v>Strength</v>
      </c>
      <c r="BU20" t="str">
        <f>'РЕЙД-КОНСТРУКТОР'!M9</f>
        <v>Важно</v>
      </c>
      <c r="BV20">
        <f>'СПРАВОЧНИК ЭФФЕКТОВ'!F7</f>
        <v>12</v>
      </c>
      <c r="BW20" t="str">
        <f>'СПРАВОЧНИК ЭФФЕКТОВ'!L7</f>
        <v>Barbarian — любой спек; Guardian — любой спек; Knight of Xoroth — любой спек; Reaper — любой спек</v>
      </c>
      <c r="BX20">
        <f>IF('РЕЙД-КОНСТРУКТОР'!K9&gt;0,"",IF(BU20="Критично",3000,IF(BU20="Важно",2000,1000))+(100-MIN(BV20,99))+ROW()/100000)</f>
        <v>2088.0001999999999</v>
      </c>
    </row>
    <row r="21" spans="1:76">
      <c r="A21" t="s">
        <v>322</v>
      </c>
      <c r="B21" t="s">
        <v>331</v>
      </c>
      <c r="C21" t="s">
        <v>139</v>
      </c>
      <c r="D21" t="s">
        <v>703</v>
      </c>
      <c r="E21" t="s">
        <v>1871</v>
      </c>
      <c r="F21">
        <v>76</v>
      </c>
      <c r="G21" s="34">
        <v>0.79166666666666663</v>
      </c>
      <c r="H21" t="s">
        <v>1987</v>
      </c>
      <c r="I21" s="35">
        <v>78.94</v>
      </c>
      <c r="J21" s="31">
        <v>0.10526315789473684</v>
      </c>
      <c r="K21">
        <f>SUMIF(ТЕХ_Расчет!$A$2:$A$26,D21,ТЕХ_Расчет!$B$2:$B$26)</f>
        <v>0</v>
      </c>
      <c r="L21">
        <f>SUMPRODUCT(ТЕХ_Списки!E68:AW68,$AA$2:$BS$2)</f>
        <v>0</v>
      </c>
      <c r="M21">
        <f>SUMPRODUCT(ТЕХ_Списки!E68:AW68,$AA$3:$BS$3)</f>
        <v>0</v>
      </c>
      <c r="N21">
        <f>SUMPRODUCT(ТЕХ_Списки!E68:AW68,$AA$4:$BS$4)</f>
        <v>0</v>
      </c>
      <c r="O21">
        <f>SUMPRODUCT(ТЕХ_Списки!E68:AW68,$AA$5:$BS$5)</f>
        <v>0</v>
      </c>
      <c r="P21">
        <f>M21*3+N21*2+O21</f>
        <v>0</v>
      </c>
      <c r="Q21">
        <f>IF(C21="Танк",'РЕЙД-КОНСТРУКТОР'!$R$30,IF(C21="Хилер",'РЕЙД-КОНСТРУКТОР'!$R$31,IF(C21="Саппорт",'РЕЙД-КОНСТРУКТОР'!$R$32,'РЕЙД-КОНСТРУКТОР'!$R$33)))</f>
        <v>16</v>
      </c>
      <c r="R21">
        <f>IF(C21="Танк",IF(Q21&gt;0,70,-150),IF(C21="Хилер",IF(Q21&gt;0,55,-120),IF(C21="Саппорт",IF(Q21&gt;0,50,-120),IF(Q21&gt;0,15,-120))))</f>
        <v>15</v>
      </c>
      <c r="S21" s="35">
        <f ca="1">IF(OR('РЕЙД-КОНСТРУКТОР'!$E$3&gt;='РЕЙД-КОНСТРУКТОР'!$R$3,AND('РЕЙД-КОНСТРУКТОР'!$C$3&lt;&gt;"Любая",'РЕЙД-КОНСТРУКТОР'!$C$3&lt;&gt;C21),Y21=0),-999,IF(SUM($AA$3:$BS$3)&gt;0,M21*45+N21*12+O21*2+I21*0.25+R21-X21,IF(SUM($AA$4:$BS$4)&gt;0,N21*25+O21*4+I21*0.5+R21-X21,I21+R21-K21*2-X21)))+0*'РЕЙД-КОНСТРУКТОР'!$N$52</f>
        <v>93.94</v>
      </c>
      <c r="T21">
        <f ca="1">IF(S21&lt;0,"",S21+ROW()/100000)</f>
        <v>93.940209999999993</v>
      </c>
      <c r="U21" t="e">
        <f ca="1">ТЕХ_Расчет!K116</f>
        <v>#NAME?</v>
      </c>
      <c r="V21" t="str">
        <f>IF(SUM($AA$3:$BS$3)&gt;0,"Закрывает "&amp;M21&amp;" крит. и "&amp;N21&amp;" важных; "&amp;IF(Q21&gt;0,"роль нужна","роль уже заполнена")&amp;"; "&amp;H21&amp;", логи "&amp;TEXT(I21,"0")&amp;"/100. "&amp;IF(U21="—","","Эффекты: "&amp;U21)&amp;IF(X21&gt;0,"; повтор: спек "&amp;K21&amp;", класс "&amp;W21&amp;", штраф "&amp;TEXT(X21,"0"),""),IF(SUM($AA$4:$BS$4)&gt;0,"Критичные закрыты; закрывает "&amp;N21&amp;" важных; "&amp;IF(Q21&gt;0,"роль нужна","роль уже заполнена")&amp;"; "&amp;H21&amp;", логи "&amp;TEXT(I21,"0")&amp;"/100."&amp;IF(X21&gt;0," Повтор: спек "&amp;K21&amp;", класс "&amp;W21&amp;", штраф "&amp;TEXT(X21,"0"),""),"Критичные и важные эффекты закрыты — выбор по роли и логам: "&amp;H21&amp;", "&amp;TEXT(I21,"0")&amp;"/100."&amp;IF(X21&gt;0," Повтор: спек "&amp;K21&amp;", класс "&amp;W21&amp;", штраф "&amp;TEXT(X21,"0"),"")))</f>
        <v>Критичные и важные эффекты закрыты — выбор по роли и логам: DPS 4520, 79/100.</v>
      </c>
      <c r="W21">
        <f>SUMIF('РЕЙД-КОНСТРУКТОР'!$C$6:$C$30,A21,ТЕХ_Расчет!$B$2:$B$26)</f>
        <v>0</v>
      </c>
      <c r="X21">
        <f>IF('РЕЙД-КОНСТРУКТОР'!$R$2="Без ограничений",0,IF('РЕЙД-КОНСТРУКТОР'!$R$2="Умеренно",K21*25+W21*6,K21*55+W21*12))</f>
        <v>0</v>
      </c>
      <c r="Y21">
        <f>IF('РЕЙД-КОНСТРУКТОР'!$R$2="Без ограничений",1,IF(OR(K21&gt;='РЕЙД-КОНСТРУКТОР'!$T$2,W21&gt;='РЕЙД-КОНСТРУКТОР'!$V$2),0,1))</f>
        <v>1</v>
      </c>
    </row>
    <row r="22" spans="1:76">
      <c r="A22" t="s">
        <v>183</v>
      </c>
      <c r="B22" t="s">
        <v>192</v>
      </c>
      <c r="C22" t="s">
        <v>135</v>
      </c>
      <c r="D22" t="s">
        <v>656</v>
      </c>
      <c r="E22" t="s">
        <v>1871</v>
      </c>
      <c r="F22">
        <v>230</v>
      </c>
      <c r="G22" s="34">
        <v>0.92</v>
      </c>
      <c r="H22" t="s">
        <v>1941</v>
      </c>
      <c r="I22" s="35">
        <v>78.87</v>
      </c>
      <c r="J22" s="31">
        <v>0.14782608695652175</v>
      </c>
      <c r="K22">
        <f>SUMIF(ТЕХ_Расчет!$A$2:$A$26,D22,ТЕХ_Расчет!$B$2:$B$26)</f>
        <v>0</v>
      </c>
      <c r="L22">
        <f>SUMPRODUCT(ТЕХ_Списки!E21:AW21,$AA$2:$BS$2)</f>
        <v>0</v>
      </c>
      <c r="M22">
        <f>SUMPRODUCT(ТЕХ_Списки!E21:AW21,$AA$3:$BS$3)</f>
        <v>0</v>
      </c>
      <c r="N22">
        <f>SUMPRODUCT(ТЕХ_Списки!E21:AW21,$AA$4:$BS$4)</f>
        <v>0</v>
      </c>
      <c r="O22">
        <f>SUMPRODUCT(ТЕХ_Списки!E21:AW21,$AA$5:$BS$5)</f>
        <v>0</v>
      </c>
      <c r="P22">
        <f>M22*3+N22*2+O22</f>
        <v>0</v>
      </c>
      <c r="Q22">
        <f>IF(C22="Танк",'РЕЙД-КОНСТРУКТОР'!$R$30,IF(C22="Хилер",'РЕЙД-КОНСТРУКТОР'!$R$31,IF(C22="Саппорт",'РЕЙД-КОНСТРУКТОР'!$R$32,'РЕЙД-КОНСТРУКТОР'!$R$33)))</f>
        <v>16</v>
      </c>
      <c r="R22">
        <f>IF(C22="Танк",IF(Q22&gt;0,70,-150),IF(C22="Хилер",IF(Q22&gt;0,55,-120),IF(C22="Саппорт",IF(Q22&gt;0,50,-120),IF(Q22&gt;0,15,-120))))</f>
        <v>15</v>
      </c>
      <c r="S22" s="35">
        <f ca="1">IF(OR('РЕЙД-КОНСТРУКТОР'!$E$3&gt;='РЕЙД-КОНСТРУКТОР'!$R$3,AND('РЕЙД-КОНСТРУКТОР'!$C$3&lt;&gt;"Любая",'РЕЙД-КОНСТРУКТОР'!$C$3&lt;&gt;C22),Y22=0),-999,IF(SUM($AA$3:$BS$3)&gt;0,M22*45+N22*12+O22*2+I22*0.25+R22-X22,IF(SUM($AA$4:$BS$4)&gt;0,N22*25+O22*4+I22*0.5+R22-X22,I22+R22-K22*2-X22)))+0*'РЕЙД-КОНСТРУКТОР'!$N$52</f>
        <v>93.87</v>
      </c>
      <c r="T22">
        <f ca="1">IF(S22&lt;0,"",S22+ROW()/100000)</f>
        <v>93.870220000000003</v>
      </c>
      <c r="U22" t="e">
        <f ca="1">ТЕХ_Расчет!K69</f>
        <v>#NAME?</v>
      </c>
      <c r="V22" t="str">
        <f>IF(SUM($AA$3:$BS$3)&gt;0,"Закрывает "&amp;M22&amp;" крит. и "&amp;N22&amp;" важных; "&amp;IF(Q22&gt;0,"роль нужна","роль уже заполнена")&amp;"; "&amp;H22&amp;", логи "&amp;TEXT(I22,"0")&amp;"/100. "&amp;IF(U22="—","","Эффекты: "&amp;U22)&amp;IF(X22&gt;0,"; повтор: спек "&amp;K22&amp;", класс "&amp;W22&amp;", штраф "&amp;TEXT(X22,"0"),""),IF(SUM($AA$4:$BS$4)&gt;0,"Критичные закрыты; закрывает "&amp;N22&amp;" важных; "&amp;IF(Q22&gt;0,"роль нужна","роль уже заполнена")&amp;"; "&amp;H22&amp;", логи "&amp;TEXT(I22,"0")&amp;"/100."&amp;IF(X22&gt;0," Повтор: спек "&amp;K22&amp;", класс "&amp;W22&amp;", штраф "&amp;TEXT(X22,"0"),""),"Критичные и важные эффекты закрыты — выбор по роли и логам: "&amp;H22&amp;", "&amp;TEXT(I22,"0")&amp;"/100."&amp;IF(X22&gt;0," Повтор: спек "&amp;K22&amp;", класс "&amp;W22&amp;", штраф "&amp;TEXT(X22,"0"),"")))</f>
        <v>Критичные и важные эффекты закрыты — выбор по роли и логам: DPS 4452, 79/100.</v>
      </c>
      <c r="W22">
        <f>SUMIF('РЕЙД-КОНСТРУКТОР'!$C$6:$C$30,A22,ТЕХ_Расчет!$B$2:$B$26)</f>
        <v>0</v>
      </c>
      <c r="X22">
        <f>IF('РЕЙД-КОНСТРУКТОР'!$R$2="Без ограничений",0,IF('РЕЙД-КОНСТРУКТОР'!$R$2="Умеренно",K22*25+W22*6,K22*55+W22*12))</f>
        <v>0</v>
      </c>
      <c r="Y22">
        <f>IF('РЕЙД-КОНСТРУКТОР'!$R$2="Без ограничений",1,IF(OR(K22&gt;='РЕЙД-КОНСТРУКТОР'!$T$2,W22&gt;='РЕЙД-КОНСТРУКТОР'!$V$2),0,1))</f>
        <v>1</v>
      </c>
      <c r="BT22" t="str">
        <f>'РЕЙД-КОНСТРУКТОР'!J25</f>
        <v>Frost Resistance</v>
      </c>
      <c r="BU22" t="str">
        <f>'РЕЙД-КОНСТРУКТОР'!M25</f>
        <v>Опционально</v>
      </c>
      <c r="BV22">
        <f>'СПРАВОЧНИК ЭФФЕКТОВ'!F23</f>
        <v>3</v>
      </c>
      <c r="BW22" t="str">
        <f>'СПРАВОЧНИК ЭФФЕКТОВ'!L23</f>
        <v>только Knight of Xoroth — любой спек</v>
      </c>
      <c r="BX22">
        <f>IF('РЕЙД-КОНСТРУКТОР'!K25&gt;0,"",IF(BU22="Критично",3000,IF(BU22="Важно",2000,1000))+(100-MIN(BV22,99))+ROW()/100000)</f>
        <v>1097.0002199999999</v>
      </c>
    </row>
    <row r="23" spans="1:76">
      <c r="A23" t="s">
        <v>224</v>
      </c>
      <c r="B23" t="s">
        <v>225</v>
      </c>
      <c r="C23" t="s">
        <v>81</v>
      </c>
      <c r="D23" t="s">
        <v>667</v>
      </c>
      <c r="E23" t="s">
        <v>1872</v>
      </c>
      <c r="F23">
        <v>83</v>
      </c>
      <c r="G23" s="34">
        <v>0.80582524271844658</v>
      </c>
      <c r="H23" t="s">
        <v>1952</v>
      </c>
      <c r="I23" s="35">
        <v>76.48</v>
      </c>
      <c r="J23" s="31">
        <v>4.8192771084337352E-2</v>
      </c>
      <c r="K23">
        <f>SUMIF(ТЕХ_Расчет!$A$2:$A$26,D23,ТЕХ_Расчет!$B$2:$B$26)</f>
        <v>0</v>
      </c>
      <c r="L23">
        <f>SUMPRODUCT(ТЕХ_Списки!E32:AW32,$AA$2:$BS$2)</f>
        <v>0</v>
      </c>
      <c r="M23">
        <f>SUMPRODUCT(ТЕХ_Списки!E32:AW32,$AA$3:$BS$3)</f>
        <v>0</v>
      </c>
      <c r="N23">
        <f>SUMPRODUCT(ТЕХ_Списки!E32:AW32,$AA$4:$BS$4)</f>
        <v>0</v>
      </c>
      <c r="O23">
        <f>SUMPRODUCT(ТЕХ_Списки!E32:AW32,$AA$5:$BS$5)</f>
        <v>0</v>
      </c>
      <c r="P23">
        <f>M23*3+N23*2+O23</f>
        <v>0</v>
      </c>
      <c r="Q23">
        <f>IF(C23="Танк",'РЕЙД-КОНСТРУКТОР'!$R$30,IF(C23="Хилер",'РЕЙД-КОНСТРУКТОР'!$R$31,IF(C23="Саппорт",'РЕЙД-КОНСТРУКТОР'!$R$32,'РЕЙД-КОНСТРУКТОР'!$R$33)))</f>
        <v>5</v>
      </c>
      <c r="R23">
        <f>IF(C23="Танк",IF(Q23&gt;0,70,-150),IF(C23="Хилер",IF(Q23&gt;0,55,-120),IF(C23="Саппорт",IF(Q23&gt;0,50,-120),IF(Q23&gt;0,15,-120))))</f>
        <v>55</v>
      </c>
      <c r="S23" s="35">
        <f ca="1">IF(OR('РЕЙД-КОНСТРУКТОР'!$E$3&gt;='РЕЙД-КОНСТРУКТОР'!$R$3,AND('РЕЙД-КОНСТРУКТОР'!$C$3&lt;&gt;"Любая",'РЕЙД-КОНСТРУКТОР'!$C$3&lt;&gt;C23),Y23=0),-999,IF(SUM($AA$3:$BS$3)&gt;0,M23*45+N23*12+O23*2+I23*0.25+R23-X23,IF(SUM($AA$4:$BS$4)&gt;0,N23*25+O23*4+I23*0.5+R23-X23,I23+R23-K23*2-X23)))+0*'РЕЙД-КОНСТРУКТОР'!$N$52</f>
        <v>131.48000000000002</v>
      </c>
      <c r="T23">
        <f ca="1">IF(S23&lt;0,"",S23+ROW()/100000)</f>
        <v>131.48023000000001</v>
      </c>
      <c r="U23" t="e">
        <f ca="1">ТЕХ_Расчет!K80</f>
        <v>#NAME?</v>
      </c>
      <c r="V23" t="str">
        <f>IF(SUM($AA$3:$BS$3)&gt;0,"Закрывает "&amp;M23&amp;" крит. и "&amp;N23&amp;" важных; "&amp;IF(Q23&gt;0,"роль нужна","роль уже заполнена")&amp;"; "&amp;H23&amp;", логи "&amp;TEXT(I23,"0")&amp;"/100. "&amp;IF(U23="—","","Эффекты: "&amp;U23)&amp;IF(X23&gt;0,"; повтор: спек "&amp;K23&amp;", класс "&amp;W23&amp;", штраф "&amp;TEXT(X23,"0"),""),IF(SUM($AA$4:$BS$4)&gt;0,"Критичные закрыты; закрывает "&amp;N23&amp;" важных; "&amp;IF(Q23&gt;0,"роль нужна","роль уже заполнена")&amp;"; "&amp;H23&amp;", логи "&amp;TEXT(I23,"0")&amp;"/100."&amp;IF(X23&gt;0," Повтор: спек "&amp;K23&amp;", класс "&amp;W23&amp;", штраф "&amp;TEXT(X23,"0"),""),"Критичные и важные эффекты закрыты — выбор по роли и логам: "&amp;H23&amp;", "&amp;TEXT(I23,"0")&amp;"/100."&amp;IF(X23&gt;0," Повтор: спек "&amp;K23&amp;", класс "&amp;W23&amp;", штраф "&amp;TEXT(X23,"0"),"")))</f>
        <v>Критичные и важные эффекты закрыты — выбор по роли и логам: HPS 909, 76/100.</v>
      </c>
      <c r="W23">
        <f>SUMIF('РЕЙД-КОНСТРУКТОР'!$C$6:$C$30,A23,ТЕХ_Расчет!$B$2:$B$26)</f>
        <v>0</v>
      </c>
      <c r="X23">
        <f>IF('РЕЙД-КОНСТРУКТОР'!$R$2="Без ограничений",0,IF('РЕЙД-КОНСТРУКТОР'!$R$2="Умеренно",K23*25+W23*6,K23*55+W23*12))</f>
        <v>0</v>
      </c>
      <c r="Y23">
        <f>IF('РЕЙД-КОНСТРУКТОР'!$R$2="Без ограничений",1,IF(OR(K23&gt;='РЕЙД-КОНСТРУКТОР'!$T$2,W23&gt;='РЕЙД-КОНСТРУКТОР'!$V$2),0,1))</f>
        <v>1</v>
      </c>
      <c r="BT23" t="str">
        <f>'РЕЙД-КОНСТРУКТОР'!J36</f>
        <v>Defensive Cooldown (Raid-Wide)</v>
      </c>
      <c r="BU23" t="str">
        <f>'РЕЙД-КОНСТРУКТОР'!M36</f>
        <v>Критично</v>
      </c>
      <c r="BV23">
        <f>'СПРАВОЧНИК ЭФФЕКТОВ'!F34</f>
        <v>4</v>
      </c>
      <c r="BW23" t="str">
        <f>'СПРАВОЧНИК ЭФФЕКТОВ'!L34</f>
        <v>Felsworn — Tyrant; Sun Cleric — Seraphim; Templar — Oathkeeper; Witch Hunter — Black Knight</v>
      </c>
      <c r="BX23">
        <f>IF('РЕЙД-КОНСТРУКТОР'!K36&gt;0,"",IF(BU23="Критично",3000,IF(BU23="Важно",2000,1000))+(100-MIN(BV23,99))+ROW()/100000)</f>
        <v>3096.0002300000001</v>
      </c>
    </row>
    <row r="24" spans="1:76">
      <c r="A24" t="s">
        <v>244</v>
      </c>
      <c r="B24" t="s">
        <v>248</v>
      </c>
      <c r="C24" t="s">
        <v>78</v>
      </c>
      <c r="D24" t="s">
        <v>675</v>
      </c>
      <c r="E24" t="s">
        <v>1874</v>
      </c>
      <c r="F24">
        <v>39</v>
      </c>
      <c r="G24" s="34">
        <v>0.66101694915254239</v>
      </c>
      <c r="H24" t="s">
        <v>1959</v>
      </c>
      <c r="I24" s="35">
        <v>75.84</v>
      </c>
      <c r="J24" s="31">
        <v>0</v>
      </c>
      <c r="K24">
        <f>SUMIF(ТЕХ_Расчет!$A$2:$A$26,D24,ТЕХ_Расчет!$B$2:$B$26)</f>
        <v>0</v>
      </c>
      <c r="L24">
        <f>SUMPRODUCT(ТЕХ_Списки!E40:AW40,$AA$2:$BS$2)</f>
        <v>0</v>
      </c>
      <c r="M24">
        <f>SUMPRODUCT(ТЕХ_Списки!E40:AW40,$AA$3:$BS$3)</f>
        <v>0</v>
      </c>
      <c r="N24">
        <f>SUMPRODUCT(ТЕХ_Списки!E40:AW40,$AA$4:$BS$4)</f>
        <v>0</v>
      </c>
      <c r="O24">
        <f>SUMPRODUCT(ТЕХ_Списки!E40:AW40,$AA$5:$BS$5)</f>
        <v>0</v>
      </c>
      <c r="P24">
        <f>M24*3+N24*2+O24</f>
        <v>0</v>
      </c>
      <c r="Q24">
        <f>IF(C24="Танк",'РЕЙД-КОНСТРУКТОР'!$R$30,IF(C24="Хилер",'РЕЙД-КОНСТРУКТОР'!$R$31,IF(C24="Саппорт",'РЕЙД-КОНСТРУКТОР'!$R$32,'РЕЙД-КОНСТРУКТОР'!$R$33)))</f>
        <v>2</v>
      </c>
      <c r="R24">
        <f>IF(C24="Танк",IF(Q24&gt;0,70,-150),IF(C24="Хилер",IF(Q24&gt;0,55,-120),IF(C24="Саппорт",IF(Q24&gt;0,50,-120),IF(Q24&gt;0,15,-120))))</f>
        <v>70</v>
      </c>
      <c r="S24" s="35">
        <f ca="1">IF(OR('РЕЙД-КОНСТРУКТОР'!$E$3&gt;='РЕЙД-КОНСТРУКТОР'!$R$3,AND('РЕЙД-КОНСТРУКТОР'!$C$3&lt;&gt;"Любая",'РЕЙД-КОНСТРУКТОР'!$C$3&lt;&gt;C24),Y24=0),-999,IF(SUM($AA$3:$BS$3)&gt;0,M24*45+N24*12+O24*2+I24*0.25+R24-X24,IF(SUM($AA$4:$BS$4)&gt;0,N24*25+O24*4+I24*0.5+R24-X24,I24+R24-K24*2-X24)))+0*'РЕЙД-КОНСТРУКТОР'!$N$52</f>
        <v>145.84</v>
      </c>
      <c r="T24">
        <f ca="1">IF(S24&lt;0,"",S24+ROW()/100000)</f>
        <v>145.84023999999999</v>
      </c>
      <c r="U24" t="e">
        <f ca="1">ТЕХ_Расчет!K88</f>
        <v>#NAME?</v>
      </c>
      <c r="V24" t="str">
        <f>IF(SUM($AA$3:$BS$3)&gt;0,"Закрывает "&amp;M24&amp;" крит. и "&amp;N24&amp;" важных; "&amp;IF(Q24&gt;0,"роль нужна","роль уже заполнена")&amp;"; "&amp;H24&amp;", логи "&amp;TEXT(I24,"0")&amp;"/100. "&amp;IF(U24="—","","Эффекты: "&amp;U24)&amp;IF(X24&gt;0,"; повтор: спек "&amp;K24&amp;", класс "&amp;W24&amp;", штраф "&amp;TEXT(X24,"0"),""),IF(SUM($AA$4:$BS$4)&gt;0,"Критичные закрыты; закрывает "&amp;N24&amp;" важных; "&amp;IF(Q24&gt;0,"роль нужна","роль уже заполнена")&amp;"; "&amp;H24&amp;", логи "&amp;TEXT(I24,"0")&amp;"/100."&amp;IF(X24&gt;0," Повтор: спек "&amp;K24&amp;", класс "&amp;W24&amp;", штраф "&amp;TEXT(X24,"0"),""),"Критичные и важные эффекты закрыты — выбор по роли и логам: "&amp;H24&amp;", "&amp;TEXT(I24,"0")&amp;"/100."&amp;IF(X24&gt;0," Повтор: спек "&amp;K24&amp;", класс "&amp;W24&amp;", штраф "&amp;TEXT(X24,"0"),"")))</f>
        <v>Критичные и важные эффекты закрыты — выбор по роли и логам: DTPS 348, 76/100.</v>
      </c>
      <c r="W24">
        <f>SUMIF('РЕЙД-КОНСТРУКТОР'!$C$6:$C$30,A24,ТЕХ_Расчет!$B$2:$B$26)</f>
        <v>0</v>
      </c>
      <c r="X24">
        <f>IF('РЕЙД-КОНСТРУКТОР'!$R$2="Без ограничений",0,IF('РЕЙД-КОНСТРУКТОР'!$R$2="Умеренно",K24*25+W24*6,K24*55+W24*12))</f>
        <v>0</v>
      </c>
      <c r="Y24">
        <f>IF('РЕЙД-КОНСТРУКТОР'!$R$2="Без ограничений",1,IF(OR(K24&gt;='РЕЙД-КОНСТРУКТОР'!$T$2,W24&gt;='РЕЙД-КОНСТРУКТОР'!$V$2),0,1))</f>
        <v>1</v>
      </c>
      <c r="BT24" t="str">
        <f>'РЕЙД-КОНСТРУКТОР'!J44</f>
        <v>Resistance Reduction</v>
      </c>
      <c r="BU24" t="str">
        <f>'РЕЙД-КОНСТРУКТОР'!M44</f>
        <v>Критично</v>
      </c>
      <c r="BV24">
        <f>'СПРАВОЧНИК ЭФФЕКТОВ'!F42</f>
        <v>12</v>
      </c>
      <c r="BW24" t="str">
        <f>'СПРАВОЧНИК ЭФФЕКТОВ'!L42</f>
        <v>Starcaller — любой спек; Witch Doctor — любой спек; Barbarian — Ancestry; Guardian — Inspiration; + ещё 1 классов</v>
      </c>
      <c r="BX24">
        <f>IF('РЕЙД-КОНСТРУКТОР'!K44&gt;0,"",IF(BU24="Критично",3000,IF(BU24="Важно",2000,1000))+(100-MIN(BV24,99))+ROW()/100000)</f>
        <v>3088.0002399999998</v>
      </c>
    </row>
    <row r="25" spans="1:76">
      <c r="A25" t="s">
        <v>236</v>
      </c>
      <c r="B25" t="s">
        <v>237</v>
      </c>
      <c r="C25" t="s">
        <v>135</v>
      </c>
      <c r="D25" t="s">
        <v>671</v>
      </c>
      <c r="E25" t="s">
        <v>1871</v>
      </c>
      <c r="F25">
        <v>48</v>
      </c>
      <c r="G25" s="34">
        <v>0.70588235294117652</v>
      </c>
      <c r="H25" t="s">
        <v>1925</v>
      </c>
      <c r="I25" s="35">
        <v>74.34</v>
      </c>
      <c r="J25" s="31">
        <v>0.125</v>
      </c>
      <c r="K25">
        <f>SUMIF(ТЕХ_Расчет!$A$2:$A$26,D25,ТЕХ_Расчет!$B$2:$B$26)</f>
        <v>0</v>
      </c>
      <c r="L25">
        <f>SUMPRODUCT(ТЕХ_Списки!E36:AW36,$AA$2:$BS$2)</f>
        <v>0</v>
      </c>
      <c r="M25">
        <f>SUMPRODUCT(ТЕХ_Списки!E36:AW36,$AA$3:$BS$3)</f>
        <v>0</v>
      </c>
      <c r="N25">
        <f>SUMPRODUCT(ТЕХ_Списки!E36:AW36,$AA$4:$BS$4)</f>
        <v>0</v>
      </c>
      <c r="O25">
        <f>SUMPRODUCT(ТЕХ_Списки!E36:AW36,$AA$5:$BS$5)</f>
        <v>0</v>
      </c>
      <c r="P25">
        <f>M25*3+N25*2+O25</f>
        <v>0</v>
      </c>
      <c r="Q25">
        <f>IF(C25="Танк",'РЕЙД-КОНСТРУКТОР'!$R$30,IF(C25="Хилер",'РЕЙД-КОНСТРУКТОР'!$R$31,IF(C25="Саппорт",'РЕЙД-КОНСТРУКТОР'!$R$32,'РЕЙД-КОНСТРУКТОР'!$R$33)))</f>
        <v>16</v>
      </c>
      <c r="R25">
        <f>IF(C25="Танк",IF(Q25&gt;0,70,-150),IF(C25="Хилер",IF(Q25&gt;0,55,-120),IF(C25="Саппорт",IF(Q25&gt;0,50,-120),IF(Q25&gt;0,15,-120))))</f>
        <v>15</v>
      </c>
      <c r="S25" s="35">
        <f ca="1">IF(OR('РЕЙД-КОНСТРУКТОР'!$E$3&gt;='РЕЙД-КОНСТРУКТОР'!$R$3,AND('РЕЙД-КОНСТРУКТОР'!$C$3&lt;&gt;"Любая",'РЕЙД-КОНСТРУКТОР'!$C$3&lt;&gt;C25),Y25=0),-999,IF(SUM($AA$3:$BS$3)&gt;0,M25*45+N25*12+O25*2+I25*0.25+R25-X25,IF(SUM($AA$4:$BS$4)&gt;0,N25*25+O25*4+I25*0.5+R25-X25,I25+R25-K25*2-X25)))+0*'РЕЙД-КОНСТРУКТОР'!$N$52</f>
        <v>89.34</v>
      </c>
      <c r="T25">
        <f ca="1">IF(S25&lt;0,"",S25+ROW()/100000)</f>
        <v>89.340249999999997</v>
      </c>
      <c r="U25" t="e">
        <f ca="1">ТЕХ_Расчет!K84</f>
        <v>#NAME?</v>
      </c>
      <c r="V25" t="str">
        <f>IF(SUM($AA$3:$BS$3)&gt;0,"Закрывает "&amp;M25&amp;" крит. и "&amp;N25&amp;" важных; "&amp;IF(Q25&gt;0,"роль нужна","роль уже заполнена")&amp;"; "&amp;H25&amp;", логи "&amp;TEXT(I25,"0")&amp;"/100. "&amp;IF(U25="—","","Эффекты: "&amp;U25)&amp;IF(X25&gt;0,"; повтор: спек "&amp;K25&amp;", класс "&amp;W25&amp;", штраф "&amp;TEXT(X25,"0"),""),IF(SUM($AA$4:$BS$4)&gt;0,"Критичные закрыты; закрывает "&amp;N25&amp;" важных; "&amp;IF(Q25&gt;0,"роль нужна","роль уже заполнена")&amp;"; "&amp;H25&amp;", логи "&amp;TEXT(I25,"0")&amp;"/100."&amp;IF(X25&gt;0," Повтор: спек "&amp;K25&amp;", класс "&amp;W25&amp;", штраф "&amp;TEXT(X25,"0"),""),"Критичные и важные эффекты закрыты — выбор по роли и логам: "&amp;H25&amp;", "&amp;TEXT(I25,"0")&amp;"/100."&amp;IF(X25&gt;0," Повтор: спек "&amp;K25&amp;", класс "&amp;W25&amp;", штраф "&amp;TEXT(X25,"0"),"")))</f>
        <v>Критичные и важные эффекты закрыты — выбор по роли и логам: DPS 4542, 74/100.</v>
      </c>
      <c r="W25">
        <f>SUMIF('РЕЙД-КОНСТРУКТОР'!$C$6:$C$30,A25,ТЕХ_Расчет!$B$2:$B$26)</f>
        <v>0</v>
      </c>
      <c r="X25">
        <f>IF('РЕЙД-КОНСТРУКТОР'!$R$2="Без ограничений",0,IF('РЕЙД-КОНСТРУКТОР'!$R$2="Умеренно",K25*25+W25*6,K25*55+W25*12))</f>
        <v>0</v>
      </c>
      <c r="Y25">
        <f>IF('РЕЙД-КОНСТРУКТОР'!$R$2="Без ограничений",1,IF(OR(K25&gt;='РЕЙД-КОНСТРУКТОР'!$T$2,W25&gt;='РЕЙД-КОНСТРУКТОР'!$V$2),0,1))</f>
        <v>1</v>
      </c>
      <c r="BT25" t="str">
        <f>'РЕЙД-КОНСТРУКТОР'!J40</f>
        <v>Armor Reduction</v>
      </c>
      <c r="BU25" t="str">
        <f>'РЕЙД-КОНСТРУКТОР'!M40</f>
        <v>Критично</v>
      </c>
      <c r="BV25">
        <f>'СПРАВОЧНИК ЭФФЕКТОВ'!F38</f>
        <v>14</v>
      </c>
      <c r="BW25" t="str">
        <f>'СПРАВОЧНИК ЭФФЕКТОВ'!L38</f>
        <v>Guardian — любой спек; Necromancer — любой спек; Barbarian — Brutality; Felsworn — Slaying; + ещё 5 классов</v>
      </c>
      <c r="BX25">
        <f>IF('РЕЙД-КОНСТРУКТОР'!K40&gt;0,"",IF(BU25="Критично",3000,IF(BU25="Важно",2000,1000))+(100-MIN(BV25,99))+ROW()/100000)</f>
        <v>3086.0002500000001</v>
      </c>
    </row>
    <row r="26" spans="1:76">
      <c r="A26" t="s">
        <v>322</v>
      </c>
      <c r="B26" t="s">
        <v>328</v>
      </c>
      <c r="C26" t="s">
        <v>78</v>
      </c>
      <c r="D26" t="s">
        <v>702</v>
      </c>
      <c r="E26" t="s">
        <v>1874</v>
      </c>
      <c r="F26">
        <v>97</v>
      </c>
      <c r="G26" s="34">
        <v>0.82905982905982911</v>
      </c>
      <c r="H26" t="s">
        <v>1986</v>
      </c>
      <c r="I26" s="35">
        <v>73.36</v>
      </c>
      <c r="J26" s="31">
        <v>3.0927835051546393E-2</v>
      </c>
      <c r="K26">
        <f>SUMIF(ТЕХ_Расчет!$A$2:$A$26,D26,ТЕХ_Расчет!$B$2:$B$26)</f>
        <v>0</v>
      </c>
      <c r="L26">
        <f>SUMPRODUCT(ТЕХ_Списки!E67:AW67,$AA$2:$BS$2)</f>
        <v>0</v>
      </c>
      <c r="M26">
        <f>SUMPRODUCT(ТЕХ_Списки!E67:AW67,$AA$3:$BS$3)</f>
        <v>0</v>
      </c>
      <c r="N26">
        <f>SUMPRODUCT(ТЕХ_Списки!E67:AW67,$AA$4:$BS$4)</f>
        <v>0</v>
      </c>
      <c r="O26">
        <f>SUMPRODUCT(ТЕХ_Списки!E67:AW67,$AA$5:$BS$5)</f>
        <v>0</v>
      </c>
      <c r="P26">
        <f>M26*3+N26*2+O26</f>
        <v>0</v>
      </c>
      <c r="Q26">
        <f>IF(C26="Танк",'РЕЙД-КОНСТРУКТОР'!$R$30,IF(C26="Хилер",'РЕЙД-КОНСТРУКТОР'!$R$31,IF(C26="Саппорт",'РЕЙД-КОНСТРУКТОР'!$R$32,'РЕЙД-КОНСТРУКТОР'!$R$33)))</f>
        <v>2</v>
      </c>
      <c r="R26">
        <f>IF(C26="Танк",IF(Q26&gt;0,70,-150),IF(C26="Хилер",IF(Q26&gt;0,55,-120),IF(C26="Саппорт",IF(Q26&gt;0,50,-120),IF(Q26&gt;0,15,-120))))</f>
        <v>70</v>
      </c>
      <c r="S26" s="35">
        <f ca="1">IF(OR('РЕЙД-КОНСТРУКТОР'!$E$3&gt;='РЕЙД-КОНСТРУКТОР'!$R$3,AND('РЕЙД-КОНСТРУКТОР'!$C$3&lt;&gt;"Любая",'РЕЙД-КОНСТРУКТОР'!$C$3&lt;&gt;C26),Y26=0),-999,IF(SUM($AA$3:$BS$3)&gt;0,M26*45+N26*12+O26*2+I26*0.25+R26-X26,IF(SUM($AA$4:$BS$4)&gt;0,N26*25+O26*4+I26*0.5+R26-X26,I26+R26-K26*2-X26)))+0*'РЕЙД-КОНСТРУКТОР'!$N$52</f>
        <v>143.36000000000001</v>
      </c>
      <c r="T26">
        <f ca="1">IF(S26&lt;0,"",S26+ROW()/100000)</f>
        <v>143.36026000000001</v>
      </c>
      <c r="U26" t="e">
        <f ca="1">ТЕХ_Расчет!K115</f>
        <v>#NAME?</v>
      </c>
      <c r="V26" t="str">
        <f>IF(SUM($AA$3:$BS$3)&gt;0,"Закрывает "&amp;M26&amp;" крит. и "&amp;N26&amp;" важных; "&amp;IF(Q26&gt;0,"роль нужна","роль уже заполнена")&amp;"; "&amp;H26&amp;", логи "&amp;TEXT(I26,"0")&amp;"/100. "&amp;IF(U26="—","","Эффекты: "&amp;U26)&amp;IF(X26&gt;0,"; повтор: спек "&amp;K26&amp;", класс "&amp;W26&amp;", штраф "&amp;TEXT(X26,"0"),""),IF(SUM($AA$4:$BS$4)&gt;0,"Критичные закрыты; закрывает "&amp;N26&amp;" важных; "&amp;IF(Q26&gt;0,"роль нужна","роль уже заполнена")&amp;"; "&amp;H26&amp;", логи "&amp;TEXT(I26,"0")&amp;"/100."&amp;IF(X26&gt;0," Повтор: спек "&amp;K26&amp;", класс "&amp;W26&amp;", штраф "&amp;TEXT(X26,"0"),""),"Критичные и важные эффекты закрыты — выбор по роли и логам: "&amp;H26&amp;", "&amp;TEXT(I26,"0")&amp;"/100."&amp;IF(X26&gt;0," Повтор: спек "&amp;K26&amp;", класс "&amp;W26&amp;", штраф "&amp;TEXT(X26,"0"),"")))</f>
        <v>Критичные и важные эффекты закрыты — выбор по роли и логам: DTPS 452, 73/100.</v>
      </c>
      <c r="W26">
        <f>SUMIF('РЕЙД-КОНСТРУКТОР'!$C$6:$C$30,A26,ТЕХ_Расчет!$B$2:$B$26)</f>
        <v>0</v>
      </c>
      <c r="X26">
        <f>IF('РЕЙД-КОНСТРУКТОР'!$R$2="Без ограничений",0,IF('РЕЙД-КОНСТРУКТОР'!$R$2="Умеренно",K26*25+W26*6,K26*55+W26*12))</f>
        <v>0</v>
      </c>
      <c r="Y26">
        <f>IF('РЕЙД-КОНСТРУКТОР'!$R$2="Без ограничений",1,IF(OR(K26&gt;='РЕЙД-КОНСТРУКТОР'!$T$2,W26&gt;='РЕЙД-КОНСТРУКТОР'!$V$2),0,1))</f>
        <v>1</v>
      </c>
    </row>
    <row r="27" spans="1:76">
      <c r="A27" t="s">
        <v>294</v>
      </c>
      <c r="B27" t="s">
        <v>300</v>
      </c>
      <c r="C27" t="s">
        <v>135</v>
      </c>
      <c r="D27" t="s">
        <v>693</v>
      </c>
      <c r="E27" t="s">
        <v>1871</v>
      </c>
      <c r="F27">
        <v>154</v>
      </c>
      <c r="G27" s="34">
        <v>0.88505747126436785</v>
      </c>
      <c r="H27" t="s">
        <v>1977</v>
      </c>
      <c r="I27" s="35">
        <v>71.36</v>
      </c>
      <c r="J27" s="31">
        <v>8.4415584415584416E-2</v>
      </c>
      <c r="K27">
        <f>SUMIF(ТЕХ_Расчет!$A$2:$A$26,D27,ТЕХ_Расчет!$B$2:$B$26)</f>
        <v>0</v>
      </c>
      <c r="L27">
        <f>SUMPRODUCT(ТЕХ_Списки!E58:AW58,$AA$2:$BS$2)</f>
        <v>0</v>
      </c>
      <c r="M27">
        <f>SUMPRODUCT(ТЕХ_Списки!E58:AW58,$AA$3:$BS$3)</f>
        <v>0</v>
      </c>
      <c r="N27">
        <f>SUMPRODUCT(ТЕХ_Списки!E58:AW58,$AA$4:$BS$4)</f>
        <v>0</v>
      </c>
      <c r="O27">
        <f>SUMPRODUCT(ТЕХ_Списки!E58:AW58,$AA$5:$BS$5)</f>
        <v>0</v>
      </c>
      <c r="P27">
        <f>M27*3+N27*2+O27</f>
        <v>0</v>
      </c>
      <c r="Q27">
        <f>IF(C27="Танк",'РЕЙД-КОНСТРУКТОР'!$R$30,IF(C27="Хилер",'РЕЙД-КОНСТРУКТОР'!$R$31,IF(C27="Саппорт",'РЕЙД-КОНСТРУКТОР'!$R$32,'РЕЙД-КОНСТРУКТОР'!$R$33)))</f>
        <v>16</v>
      </c>
      <c r="R27">
        <f>IF(C27="Танк",IF(Q27&gt;0,70,-150),IF(C27="Хилер",IF(Q27&gt;0,55,-120),IF(C27="Саппорт",IF(Q27&gt;0,50,-120),IF(Q27&gt;0,15,-120))))</f>
        <v>15</v>
      </c>
      <c r="S27" s="35">
        <f ca="1">IF(OR('РЕЙД-КОНСТРУКТОР'!$E$3&gt;='РЕЙД-КОНСТРУКТОР'!$R$3,AND('РЕЙД-КОНСТРУКТОР'!$C$3&lt;&gt;"Любая",'РЕЙД-КОНСТРУКТОР'!$C$3&lt;&gt;C27),Y27=0),-999,IF(SUM($AA$3:$BS$3)&gt;0,M27*45+N27*12+O27*2+I27*0.25+R27-X27,IF(SUM($AA$4:$BS$4)&gt;0,N27*25+O27*4+I27*0.5+R27-X27,I27+R27-K27*2-X27)))+0*'РЕЙД-КОНСТРУКТОР'!$N$52</f>
        <v>86.36</v>
      </c>
      <c r="T27">
        <f ca="1">IF(S27&lt;0,"",S27+ROW()/100000)</f>
        <v>86.36027</v>
      </c>
      <c r="U27" t="e">
        <f ca="1">ТЕХ_Расчет!K106</f>
        <v>#NAME?</v>
      </c>
      <c r="V27" t="str">
        <f>IF(SUM($AA$3:$BS$3)&gt;0,"Закрывает "&amp;M27&amp;" крит. и "&amp;N27&amp;" важных; "&amp;IF(Q27&gt;0,"роль нужна","роль уже заполнена")&amp;"; "&amp;H27&amp;", логи "&amp;TEXT(I27,"0")&amp;"/100. "&amp;IF(U27="—","","Эффекты: "&amp;U27)&amp;IF(X27&gt;0,"; повтор: спек "&amp;K27&amp;", класс "&amp;W27&amp;", штраф "&amp;TEXT(X27,"0"),""),IF(SUM($AA$4:$BS$4)&gt;0,"Критичные закрыты; закрывает "&amp;N27&amp;" важных; "&amp;IF(Q27&gt;0,"роль нужна","роль уже заполнена")&amp;"; "&amp;H27&amp;", логи "&amp;TEXT(I27,"0")&amp;"/100."&amp;IF(X27&gt;0," Повтор: спек "&amp;K27&amp;", класс "&amp;W27&amp;", штраф "&amp;TEXT(X27,"0"),""),"Критичные и важные эффекты закрыты — выбор по роли и логам: "&amp;H27&amp;", "&amp;TEXT(I27,"0")&amp;"/100."&amp;IF(X27&gt;0," Повтор: спек "&amp;K27&amp;", класс "&amp;W27&amp;", штраф "&amp;TEXT(X27,"0"),"")))</f>
        <v>Критичные и важные эффекты закрыты — выбор по роли и логам: DPS 4053, 71/100.</v>
      </c>
      <c r="W27">
        <f>SUMIF('РЕЙД-КОНСТРУКТОР'!$C$6:$C$30,A27,ТЕХ_Расчет!$B$2:$B$26)</f>
        <v>0</v>
      </c>
      <c r="X27">
        <f>IF('РЕЙД-КОНСТРУКТОР'!$R$2="Без ограничений",0,IF('РЕЙД-КОНСТРУКТОР'!$R$2="Умеренно",K27*25+W27*6,K27*55+W27*12))</f>
        <v>0</v>
      </c>
      <c r="Y27">
        <f>IF('РЕЙД-КОНСТРУКТОР'!$R$2="Без ограничений",1,IF(OR(K27&gt;='РЕЙД-КОНСТРУКТОР'!$T$2,W27&gt;='РЕЙД-КОНСТРУКТОР'!$V$2),0,1))</f>
        <v>1</v>
      </c>
    </row>
    <row r="28" spans="1:76">
      <c r="A28" t="s">
        <v>334</v>
      </c>
      <c r="B28" t="s">
        <v>339</v>
      </c>
      <c r="C28" t="s">
        <v>81</v>
      </c>
      <c r="D28" t="s">
        <v>706</v>
      </c>
      <c r="E28" t="s">
        <v>1872</v>
      </c>
      <c r="F28">
        <v>132</v>
      </c>
      <c r="G28" s="34">
        <v>0.86842105263157898</v>
      </c>
      <c r="H28" t="s">
        <v>1990</v>
      </c>
      <c r="I28" s="35">
        <v>71.09</v>
      </c>
      <c r="J28" s="31">
        <v>3.0303030303030304E-2</v>
      </c>
      <c r="K28">
        <f>SUMIF(ТЕХ_Расчет!$A$2:$A$26,D28,ТЕХ_Расчет!$B$2:$B$26)</f>
        <v>0</v>
      </c>
      <c r="L28">
        <f>SUMPRODUCT(ТЕХ_Списки!E71:AW71,$AA$2:$BS$2)</f>
        <v>0</v>
      </c>
      <c r="M28">
        <f>SUMPRODUCT(ТЕХ_Списки!E71:AW71,$AA$3:$BS$3)</f>
        <v>0</v>
      </c>
      <c r="N28">
        <f>SUMPRODUCT(ТЕХ_Списки!E71:AW71,$AA$4:$BS$4)</f>
        <v>0</v>
      </c>
      <c r="O28">
        <f>SUMPRODUCT(ТЕХ_Списки!E71:AW71,$AA$5:$BS$5)</f>
        <v>0</v>
      </c>
      <c r="P28">
        <f>M28*3+N28*2+O28</f>
        <v>0</v>
      </c>
      <c r="Q28">
        <f>IF(C28="Танк",'РЕЙД-КОНСТРУКТОР'!$R$30,IF(C28="Хилер",'РЕЙД-КОНСТРУКТОР'!$R$31,IF(C28="Саппорт",'РЕЙД-КОНСТРУКТОР'!$R$32,'РЕЙД-КОНСТРУКТОР'!$R$33)))</f>
        <v>5</v>
      </c>
      <c r="R28">
        <f>IF(C28="Танк",IF(Q28&gt;0,70,-150),IF(C28="Хилер",IF(Q28&gt;0,55,-120),IF(C28="Саппорт",IF(Q28&gt;0,50,-120),IF(Q28&gt;0,15,-120))))</f>
        <v>55</v>
      </c>
      <c r="S28" s="35">
        <f ca="1">IF(OR('РЕЙД-КОНСТРУКТОР'!$E$3&gt;='РЕЙД-КОНСТРУКТОР'!$R$3,AND('РЕЙД-КОНСТРУКТОР'!$C$3&lt;&gt;"Любая",'РЕЙД-КОНСТРУКТОР'!$C$3&lt;&gt;C28),Y28=0),-999,IF(SUM($AA$3:$BS$3)&gt;0,M28*45+N28*12+O28*2+I28*0.25+R28-X28,IF(SUM($AA$4:$BS$4)&gt;0,N28*25+O28*4+I28*0.5+R28-X28,I28+R28-K28*2-X28)))+0*'РЕЙД-КОНСТРУКТОР'!$N$52</f>
        <v>126.09</v>
      </c>
      <c r="T28">
        <f ca="1">IF(S28&lt;0,"",S28+ROW()/100000)</f>
        <v>126.09028000000001</v>
      </c>
      <c r="U28" t="e">
        <f ca="1">ТЕХ_Расчет!K119</f>
        <v>#NAME?</v>
      </c>
      <c r="V28" t="str">
        <f>IF(SUM($AA$3:$BS$3)&gt;0,"Закрывает "&amp;M28&amp;" крит. и "&amp;N28&amp;" важных; "&amp;IF(Q28&gt;0,"роль нужна","роль уже заполнена")&amp;"; "&amp;H28&amp;", логи "&amp;TEXT(I28,"0")&amp;"/100. "&amp;IF(U28="—","","Эффекты: "&amp;U28)&amp;IF(X28&gt;0,"; повтор: спек "&amp;K28&amp;", класс "&amp;W28&amp;", штраф "&amp;TEXT(X28,"0"),""),IF(SUM($AA$4:$BS$4)&gt;0,"Критичные закрыты; закрывает "&amp;N28&amp;" важных; "&amp;IF(Q28&gt;0,"роль нужна","роль уже заполнена")&amp;"; "&amp;H28&amp;", логи "&amp;TEXT(I28,"0")&amp;"/100."&amp;IF(X28&gt;0," Повтор: спек "&amp;K28&amp;", класс "&amp;W28&amp;", штраф "&amp;TEXT(X28,"0"),""),"Критичные и важные эффекты закрыты — выбор по роли и логам: "&amp;H28&amp;", "&amp;TEXT(I28,"0")&amp;"/100."&amp;IF(X28&gt;0," Повтор: спек "&amp;K28&amp;", класс "&amp;W28&amp;", штраф "&amp;TEXT(X28,"0"),"")))</f>
        <v>Критичные и важные эффекты закрыты — выбор по роли и логам: HPS 888, 71/100.</v>
      </c>
      <c r="W28">
        <f>SUMIF('РЕЙД-КОНСТРУКТОР'!$C$6:$C$30,A28,ТЕХ_Расчет!$B$2:$B$26)</f>
        <v>0</v>
      </c>
      <c r="X28">
        <f>IF('РЕЙД-КОНСТРУКТОР'!$R$2="Без ограничений",0,IF('РЕЙД-КОНСТРУКТОР'!$R$2="Умеренно",K28*25+W28*6,K28*55+W28*12))</f>
        <v>0</v>
      </c>
      <c r="Y28">
        <f>IF('РЕЙД-КОНСТРУКТОР'!$R$2="Без ограничений",1,IF(OR(K28&gt;='РЕЙД-КОНСТРУКТОР'!$T$2,W28&gt;='РЕЙД-КОНСТРУКТОР'!$V$2),0,1))</f>
        <v>1</v>
      </c>
    </row>
    <row r="29" spans="1:76">
      <c r="A29" t="s">
        <v>194</v>
      </c>
      <c r="B29" t="s">
        <v>195</v>
      </c>
      <c r="C29" t="s">
        <v>135</v>
      </c>
      <c r="D29" t="s">
        <v>657</v>
      </c>
      <c r="E29" t="s">
        <v>1871</v>
      </c>
      <c r="F29">
        <v>89</v>
      </c>
      <c r="G29" s="34">
        <v>0.8165137614678899</v>
      </c>
      <c r="H29" t="s">
        <v>1942</v>
      </c>
      <c r="I29" s="35">
        <v>70.55</v>
      </c>
      <c r="J29" s="31">
        <v>5.6179775280898875E-2</v>
      </c>
      <c r="K29">
        <f>SUMIF(ТЕХ_Расчет!$A$2:$A$26,D29,ТЕХ_Расчет!$B$2:$B$26)</f>
        <v>0</v>
      </c>
      <c r="L29">
        <f>SUMPRODUCT(ТЕХ_Списки!E22:AW22,$AA$2:$BS$2)</f>
        <v>0</v>
      </c>
      <c r="M29">
        <f>SUMPRODUCT(ТЕХ_Списки!E22:AW22,$AA$3:$BS$3)</f>
        <v>0</v>
      </c>
      <c r="N29">
        <f>SUMPRODUCT(ТЕХ_Списки!E22:AW22,$AA$4:$BS$4)</f>
        <v>0</v>
      </c>
      <c r="O29">
        <f>SUMPRODUCT(ТЕХ_Списки!E22:AW22,$AA$5:$BS$5)</f>
        <v>0</v>
      </c>
      <c r="P29">
        <f>M29*3+N29*2+O29</f>
        <v>0</v>
      </c>
      <c r="Q29">
        <f>IF(C29="Танк",'РЕЙД-КОНСТРУКТОР'!$R$30,IF(C29="Хилер",'РЕЙД-КОНСТРУКТОР'!$R$31,IF(C29="Саппорт",'РЕЙД-КОНСТРУКТОР'!$R$32,'РЕЙД-КОНСТРУКТОР'!$R$33)))</f>
        <v>16</v>
      </c>
      <c r="R29">
        <f>IF(C29="Танк",IF(Q29&gt;0,70,-150),IF(C29="Хилер",IF(Q29&gt;0,55,-120),IF(C29="Саппорт",IF(Q29&gt;0,50,-120),IF(Q29&gt;0,15,-120))))</f>
        <v>15</v>
      </c>
      <c r="S29" s="35">
        <f ca="1">IF(OR('РЕЙД-КОНСТРУКТОР'!$E$3&gt;='РЕЙД-КОНСТРУКТОР'!$R$3,AND('РЕЙД-КОНСТРУКТОР'!$C$3&lt;&gt;"Любая",'РЕЙД-КОНСТРУКТОР'!$C$3&lt;&gt;C29),Y29=0),-999,IF(SUM($AA$3:$BS$3)&gt;0,M29*45+N29*12+O29*2+I29*0.25+R29-X29,IF(SUM($AA$4:$BS$4)&gt;0,N29*25+O29*4+I29*0.5+R29-X29,I29+R29-K29*2-X29)))+0*'РЕЙД-КОНСТРУКТОР'!$N$52</f>
        <v>85.55</v>
      </c>
      <c r="T29">
        <f ca="1">IF(S29&lt;0,"",S29+ROW()/100000)</f>
        <v>85.550290000000004</v>
      </c>
      <c r="U29" t="e">
        <f ca="1">ТЕХ_Расчет!K70</f>
        <v>#NAME?</v>
      </c>
      <c r="V29" t="str">
        <f>IF(SUM($AA$3:$BS$3)&gt;0,"Закрывает "&amp;M29&amp;" крит. и "&amp;N29&amp;" важных; "&amp;IF(Q29&gt;0,"роль нужна","роль уже заполнена")&amp;"; "&amp;H29&amp;", логи "&amp;TEXT(I29,"0")&amp;"/100. "&amp;IF(U29="—","","Эффекты: "&amp;U29)&amp;IF(X29&gt;0,"; повтор: спек "&amp;K29&amp;", класс "&amp;W29&amp;", штраф "&amp;TEXT(X29,"0"),""),IF(SUM($AA$4:$BS$4)&gt;0,"Критичные закрыты; закрывает "&amp;N29&amp;" важных; "&amp;IF(Q29&gt;0,"роль нужна","роль уже заполнена")&amp;"; "&amp;H29&amp;", логи "&amp;TEXT(I29,"0")&amp;"/100."&amp;IF(X29&gt;0," Повтор: спек "&amp;K29&amp;", класс "&amp;W29&amp;", штраф "&amp;TEXT(X29,"0"),""),"Критичные и важные эффекты закрыты — выбор по роли и логам: "&amp;H29&amp;", "&amp;TEXT(I29,"0")&amp;"/100."&amp;IF(X29&gt;0," Повтор: спек "&amp;K29&amp;", класс "&amp;W29&amp;", штраф "&amp;TEXT(X29,"0"),"")))</f>
        <v>Критичные и важные эффекты закрыты — выбор по роли и логам: DPS 4035, 71/100.</v>
      </c>
      <c r="W29">
        <f>SUMIF('РЕЙД-КОНСТРУКТОР'!$C$6:$C$30,A29,ТЕХ_Расчет!$B$2:$B$26)</f>
        <v>0</v>
      </c>
      <c r="X29">
        <f>IF('РЕЙД-КОНСТРУКТОР'!$R$2="Без ограничений",0,IF('РЕЙД-КОНСТРУКТОР'!$R$2="Умеренно",K29*25+W29*6,K29*55+W29*12))</f>
        <v>0</v>
      </c>
      <c r="Y29">
        <f>IF('РЕЙД-КОНСТРУКТОР'!$R$2="Без ограничений",1,IF(OR(K29&gt;='РЕЙД-КОНСТРУКТОР'!$T$2,W29&gt;='РЕЙД-КОНСТРУКТОР'!$V$2),0,1))</f>
        <v>1</v>
      </c>
      <c r="BT29" t="str">
        <f>'РЕЙД-КОНСТРУКТОР'!J26</f>
        <v>Nature Resistance</v>
      </c>
      <c r="BU29" t="str">
        <f>'РЕЙД-КОНСТРУКТОР'!M26</f>
        <v>Опционально</v>
      </c>
      <c r="BV29">
        <f>'СПРАВОЧНИК ЭФФЕКТОВ'!F24</f>
        <v>16</v>
      </c>
      <c r="BW29" t="str">
        <f>'СПРАВОЧНИК ЭФФЕКТОВ'!L24</f>
        <v>Guardian — любой спек; Primalist — любой спек; Ranger — любой спек; Runemaster — любой спек; + ещё 1 классов</v>
      </c>
      <c r="BX29">
        <f>IF('РЕЙД-КОНСТРУКТОР'!K26&gt;0,"",IF(BU29="Критично",3000,IF(BU29="Важно",2000,1000))+(100-MIN(BV29,99))+ROW()/100000)</f>
        <v>1084.0002899999999</v>
      </c>
    </row>
    <row r="30" spans="1:76">
      <c r="A30" t="s">
        <v>194</v>
      </c>
      <c r="B30" t="s">
        <v>198</v>
      </c>
      <c r="C30" t="s">
        <v>135</v>
      </c>
      <c r="D30" t="s">
        <v>658</v>
      </c>
      <c r="E30" t="s">
        <v>1871</v>
      </c>
      <c r="F30">
        <v>201</v>
      </c>
      <c r="G30" s="34">
        <v>0.9095022624434389</v>
      </c>
      <c r="H30" t="s">
        <v>1943</v>
      </c>
      <c r="I30" s="35">
        <v>70.069999999999993</v>
      </c>
      <c r="J30" s="31">
        <v>6.965174129353234E-2</v>
      </c>
      <c r="K30">
        <f>SUMIF(ТЕХ_Расчет!$A$2:$A$26,D30,ТЕХ_Расчет!$B$2:$B$26)</f>
        <v>0</v>
      </c>
      <c r="L30">
        <f>SUMPRODUCT(ТЕХ_Списки!E23:AW23,$AA$2:$BS$2)</f>
        <v>0</v>
      </c>
      <c r="M30">
        <f>SUMPRODUCT(ТЕХ_Списки!E23:AW23,$AA$3:$BS$3)</f>
        <v>0</v>
      </c>
      <c r="N30">
        <f>SUMPRODUCT(ТЕХ_Списки!E23:AW23,$AA$4:$BS$4)</f>
        <v>0</v>
      </c>
      <c r="O30">
        <f>SUMPRODUCT(ТЕХ_Списки!E23:AW23,$AA$5:$BS$5)</f>
        <v>0</v>
      </c>
      <c r="P30">
        <f>M30*3+N30*2+O30</f>
        <v>0</v>
      </c>
      <c r="Q30">
        <f>IF(C30="Танк",'РЕЙД-КОНСТРУКТОР'!$R$30,IF(C30="Хилер",'РЕЙД-КОНСТРУКТОР'!$R$31,IF(C30="Саппорт",'РЕЙД-КОНСТРУКТОР'!$R$32,'РЕЙД-КОНСТРУКТОР'!$R$33)))</f>
        <v>16</v>
      </c>
      <c r="R30">
        <f>IF(C30="Танк",IF(Q30&gt;0,70,-150),IF(C30="Хилер",IF(Q30&gt;0,55,-120),IF(C30="Саппорт",IF(Q30&gt;0,50,-120),IF(Q30&gt;0,15,-120))))</f>
        <v>15</v>
      </c>
      <c r="S30" s="35">
        <f ca="1">IF(OR('РЕЙД-КОНСТРУКТОР'!$E$3&gt;='РЕЙД-КОНСТРУКТОР'!$R$3,AND('РЕЙД-КОНСТРУКТОР'!$C$3&lt;&gt;"Любая",'РЕЙД-КОНСТРУКТОР'!$C$3&lt;&gt;C30),Y30=0),-999,IF(SUM($AA$3:$BS$3)&gt;0,M30*45+N30*12+O30*2+I30*0.25+R30-X30,IF(SUM($AA$4:$BS$4)&gt;0,N30*25+O30*4+I30*0.5+R30-X30,I30+R30-K30*2-X30)))+0*'РЕЙД-КОНСТРУКТОР'!$N$52</f>
        <v>85.07</v>
      </c>
      <c r="T30">
        <f ca="1">IF(S30&lt;0,"",S30+ROW()/100000)</f>
        <v>85.070299999999989</v>
      </c>
      <c r="U30" t="e">
        <f ca="1">ТЕХ_Расчет!K71</f>
        <v>#NAME?</v>
      </c>
      <c r="V30" t="str">
        <f>IF(SUM($AA$3:$BS$3)&gt;0,"Закрывает "&amp;M30&amp;" крит. и "&amp;N30&amp;" важных; "&amp;IF(Q30&gt;0,"роль нужна","роль уже заполнена")&amp;"; "&amp;H30&amp;", логи "&amp;TEXT(I30,"0")&amp;"/100. "&amp;IF(U30="—","","Эффекты: "&amp;U30)&amp;IF(X30&gt;0,"; повтор: спек "&amp;K30&amp;", класс "&amp;W30&amp;", штраф "&amp;TEXT(X30,"0"),""),IF(SUM($AA$4:$BS$4)&gt;0,"Критичные закрыты; закрывает "&amp;N30&amp;" важных; "&amp;IF(Q30&gt;0,"роль нужна","роль уже заполнена")&amp;"; "&amp;H30&amp;", логи "&amp;TEXT(I30,"0")&amp;"/100."&amp;IF(X30&gt;0," Повтор: спек "&amp;K30&amp;", класс "&amp;W30&amp;", штраф "&amp;TEXT(X30,"0"),""),"Критичные и важные эффекты закрыты — выбор по роли и логам: "&amp;H30&amp;", "&amp;TEXT(I30,"0")&amp;"/100."&amp;IF(X30&gt;0," Повтор: спек "&amp;K30&amp;", класс "&amp;W30&amp;", штраф "&amp;TEXT(X30,"0"),"")))</f>
        <v>Критичные и важные эффекты закрыты — выбор по роли и логам: DPS 3996, 70/100.</v>
      </c>
      <c r="W30">
        <f>SUMIF('РЕЙД-КОНСТРУКТОР'!$C$6:$C$30,A30,ТЕХ_Расчет!$B$2:$B$26)</f>
        <v>0</v>
      </c>
      <c r="X30">
        <f>IF('РЕЙД-КОНСТРУКТОР'!$R$2="Без ограничений",0,IF('РЕЙД-КОНСТРУКТОР'!$R$2="Умеренно",K30*25+W30*6,K30*55+W30*12))</f>
        <v>0</v>
      </c>
      <c r="Y30">
        <f>IF('РЕЙД-КОНСТРУКТОР'!$R$2="Без ограничений",1,IF(OR(K30&gt;='РЕЙД-КОНСТРУКТОР'!$T$2,W30&gt;='РЕЙД-КОНСТРУКТОР'!$V$2),0,1))</f>
        <v>1</v>
      </c>
      <c r="BT30" t="str">
        <f>'РЕЙД-КОНСТРУКТОР'!J27</f>
        <v>Shadow Resistance</v>
      </c>
      <c r="BU30" t="str">
        <f>'РЕЙД-КОНСТРУКТОР'!M27</f>
        <v>Опционально</v>
      </c>
      <c r="BV30">
        <f>'СПРАВОЧНИК ЭФФЕКТОВ'!F25</f>
        <v>14</v>
      </c>
      <c r="BW30" t="str">
        <f>'СПРАВОЧНИК ЭФФЕКТОВ'!L25</f>
        <v>Cultist — любой спек; Felsworn — любой спек; Knight of Xoroth — любой спек; Witch Hunter — любой спек</v>
      </c>
      <c r="BX30">
        <f>IF('РЕЙД-КОНСТРУКТОР'!K27&gt;0,"",IF(BU30="Критично",3000,IF(BU30="Важно",2000,1000))+(100-MIN(BV30,99))+ROW()/100000)</f>
        <v>1086.0002999999999</v>
      </c>
    </row>
    <row r="31" spans="1:76">
      <c r="A31" t="s">
        <v>183</v>
      </c>
      <c r="B31" t="s">
        <v>186</v>
      </c>
      <c r="C31" t="s">
        <v>78</v>
      </c>
      <c r="D31" t="s">
        <v>654</v>
      </c>
      <c r="E31" t="s">
        <v>1874</v>
      </c>
      <c r="F31">
        <v>15</v>
      </c>
      <c r="G31" s="34">
        <v>0.42857142857142855</v>
      </c>
      <c r="H31" t="s">
        <v>1939</v>
      </c>
      <c r="I31" s="35">
        <v>69.09</v>
      </c>
      <c r="J31" s="31">
        <v>6.6666666666666666E-2</v>
      </c>
      <c r="K31">
        <f>SUMIF(ТЕХ_Расчет!$A$2:$A$26,D31,ТЕХ_Расчет!$B$2:$B$26)</f>
        <v>0</v>
      </c>
      <c r="L31">
        <f>SUMPRODUCT(ТЕХ_Списки!E19:AW19,$AA$2:$BS$2)</f>
        <v>0</v>
      </c>
      <c r="M31">
        <f>SUMPRODUCT(ТЕХ_Списки!E19:AW19,$AA$3:$BS$3)</f>
        <v>0</v>
      </c>
      <c r="N31">
        <f>SUMPRODUCT(ТЕХ_Списки!E19:AW19,$AA$4:$BS$4)</f>
        <v>0</v>
      </c>
      <c r="O31">
        <f>SUMPRODUCT(ТЕХ_Списки!E19:AW19,$AA$5:$BS$5)</f>
        <v>0</v>
      </c>
      <c r="P31">
        <f>M31*3+N31*2+O31</f>
        <v>0</v>
      </c>
      <c r="Q31">
        <f>IF(C31="Танк",'РЕЙД-КОНСТРУКТОР'!$R$30,IF(C31="Хилер",'РЕЙД-КОНСТРУКТОР'!$R$31,IF(C31="Саппорт",'РЕЙД-КОНСТРУКТОР'!$R$32,'РЕЙД-КОНСТРУКТОР'!$R$33)))</f>
        <v>2</v>
      </c>
      <c r="R31">
        <f>IF(C31="Танк",IF(Q31&gt;0,70,-150),IF(C31="Хилер",IF(Q31&gt;0,55,-120),IF(C31="Саппорт",IF(Q31&gt;0,50,-120),IF(Q31&gt;0,15,-120))))</f>
        <v>70</v>
      </c>
      <c r="S31" s="35">
        <f ca="1">IF(OR('РЕЙД-КОНСТРУКТОР'!$E$3&gt;='РЕЙД-КОНСТРУКТОР'!$R$3,AND('РЕЙД-КОНСТРУКТОР'!$C$3&lt;&gt;"Любая",'РЕЙД-КОНСТРУКТОР'!$C$3&lt;&gt;C31),Y31=0),-999,IF(SUM($AA$3:$BS$3)&gt;0,M31*45+N31*12+O31*2+I31*0.25+R31-X31,IF(SUM($AA$4:$BS$4)&gt;0,N31*25+O31*4+I31*0.5+R31-X31,I31+R31-K31*2-X31)))+0*'РЕЙД-КОНСТРУКТОР'!$N$52</f>
        <v>139.09</v>
      </c>
      <c r="T31">
        <f ca="1">IF(S31&lt;0,"",S31+ROW()/100000)</f>
        <v>139.09031000000002</v>
      </c>
      <c r="U31" t="e">
        <f ca="1">ТЕХ_Расчет!K67</f>
        <v>#NAME?</v>
      </c>
      <c r="V31" t="str">
        <f>IF(SUM($AA$3:$BS$3)&gt;0,"Закрывает "&amp;M31&amp;" крит. и "&amp;N31&amp;" важных; "&amp;IF(Q31&gt;0,"роль нужна","роль уже заполнена")&amp;"; "&amp;H31&amp;", логи "&amp;TEXT(I31,"0")&amp;"/100. "&amp;IF(U31="—","","Эффекты: "&amp;U31)&amp;IF(X31&gt;0,"; повтор: спек "&amp;K31&amp;", класс "&amp;W31&amp;", штраф "&amp;TEXT(X31,"0"),""),IF(SUM($AA$4:$BS$4)&gt;0,"Критичные закрыты; закрывает "&amp;N31&amp;" важных; "&amp;IF(Q31&gt;0,"роль нужна","роль уже заполнена")&amp;"; "&amp;H31&amp;", логи "&amp;TEXT(I31,"0")&amp;"/100."&amp;IF(X31&gt;0," Повтор: спек "&amp;K31&amp;", класс "&amp;W31&amp;", штраф "&amp;TEXT(X31,"0"),""),"Критичные и важные эффекты закрыты — выбор по роли и логам: "&amp;H31&amp;", "&amp;TEXT(I31,"0")&amp;"/100."&amp;IF(X31&gt;0," Повтор: спек "&amp;K31&amp;", класс "&amp;W31&amp;", штраф "&amp;TEXT(X31,"0"),"")))</f>
        <v>Критичные и важные эффекты закрыты — выбор по роли и логам: DTPS 175, 69/100.</v>
      </c>
      <c r="W31">
        <f>SUMIF('РЕЙД-КОНСТРУКТОР'!$C$6:$C$30,A31,ТЕХ_Расчет!$B$2:$B$26)</f>
        <v>0</v>
      </c>
      <c r="X31">
        <f>IF('РЕЙД-КОНСТРУКТОР'!$R$2="Без ограничений",0,IF('РЕЙД-КОНСТРУКТОР'!$R$2="Умеренно",K31*25+W31*6,K31*55+W31*12))</f>
        <v>0</v>
      </c>
      <c r="Y31">
        <f>IF('РЕЙД-КОНСТРУКТОР'!$R$2="Без ограничений",1,IF(OR(K31&gt;='РЕЙД-КОНСТРУКТОР'!$T$2,W31&gt;='РЕЙД-КОНСТРУКТОР'!$V$2),0,1))</f>
        <v>1</v>
      </c>
      <c r="BT31" t="str">
        <f>'РЕЙД-КОНСТРУКТОР'!J23</f>
        <v>Small Resistances (all)</v>
      </c>
      <c r="BU31" t="str">
        <f>'РЕЙД-КОНСТРУКТОР'!M23</f>
        <v>Опционально</v>
      </c>
      <c r="BV31">
        <f>'СПРАВОЧНИК ЭФФЕКТОВ'!F21</f>
        <v>13</v>
      </c>
      <c r="BW31" t="str">
        <f>'СПРАВОЧНИК ЭФФЕКТОВ'!L21</f>
        <v>Primalist — любой спек; Reaper — любой спек; Stormbringer — любой спек; Witch Doctor — любой спек</v>
      </c>
      <c r="BX31">
        <f>IF('РЕЙД-КОНСТРУКТОР'!K23&gt;0,"",IF(BU31="Критично",3000,IF(BU31="Важно",2000,1000))+(100-MIN(BV31,99))+ROW()/100000)</f>
        <v>1087.0003099999999</v>
      </c>
    </row>
    <row r="32" spans="1:76">
      <c r="A32" t="s">
        <v>130</v>
      </c>
      <c r="B32" t="s">
        <v>134</v>
      </c>
      <c r="C32" t="s">
        <v>135</v>
      </c>
      <c r="D32" t="s">
        <v>636</v>
      </c>
      <c r="E32" t="s">
        <v>1871</v>
      </c>
      <c r="F32">
        <v>114</v>
      </c>
      <c r="G32" s="34">
        <v>0.85074626865671643</v>
      </c>
      <c r="H32" t="s">
        <v>1923</v>
      </c>
      <c r="I32" s="35">
        <v>67.900000000000006</v>
      </c>
      <c r="J32" s="31">
        <v>8.771929824561403E-2</v>
      </c>
      <c r="K32">
        <f>SUMIF(ТЕХ_Расчет!$A$2:$A$26,D32,ТЕХ_Расчет!$B$2:$B$26)</f>
        <v>0</v>
      </c>
      <c r="L32">
        <f>SUMPRODUCT(ТЕХ_Списки!E3:AW3,$AA$2:$BS$2)</f>
        <v>0</v>
      </c>
      <c r="M32">
        <f>SUMPRODUCT(ТЕХ_Списки!E3:AW3,$AA$3:$BS$3)</f>
        <v>0</v>
      </c>
      <c r="N32">
        <f>SUMPRODUCT(ТЕХ_Списки!E3:AW3,$AA$4:$BS$4)</f>
        <v>0</v>
      </c>
      <c r="O32">
        <f>SUMPRODUCT(ТЕХ_Списки!E3:AW3,$AA$5:$BS$5)</f>
        <v>0</v>
      </c>
      <c r="P32">
        <f>M32*3+N32*2+O32</f>
        <v>0</v>
      </c>
      <c r="Q32">
        <f>IF(C32="Танк",'РЕЙД-КОНСТРУКТОР'!$R$30,IF(C32="Хилер",'РЕЙД-КОНСТРУКТОР'!$R$31,IF(C32="Саппорт",'РЕЙД-КОНСТРУКТОР'!$R$32,'РЕЙД-КОНСТРУКТОР'!$R$33)))</f>
        <v>16</v>
      </c>
      <c r="R32">
        <f>IF(C32="Танк",IF(Q32&gt;0,70,-150),IF(C32="Хилер",IF(Q32&gt;0,55,-120),IF(C32="Саппорт",IF(Q32&gt;0,50,-120),IF(Q32&gt;0,15,-120))))</f>
        <v>15</v>
      </c>
      <c r="S32" s="35">
        <f ca="1">IF(OR('РЕЙД-КОНСТРУКТОР'!$E$3&gt;='РЕЙД-КОНСТРУКТОР'!$R$3,AND('РЕЙД-КОНСТРУКТОР'!$C$3&lt;&gt;"Любая",'РЕЙД-КОНСТРУКТОР'!$C$3&lt;&gt;C32),Y32=0),-999,IF(SUM($AA$3:$BS$3)&gt;0,M32*45+N32*12+O32*2+I32*0.25+R32-X32,IF(SUM($AA$4:$BS$4)&gt;0,N32*25+O32*4+I32*0.5+R32-X32,I32+R32-K32*2-X32)))+0*'РЕЙД-КОНСТРУКТОР'!$N$52</f>
        <v>82.9</v>
      </c>
      <c r="T32">
        <f ca="1">IF(S32&lt;0,"",S32+ROW()/100000)</f>
        <v>82.900320000000008</v>
      </c>
      <c r="U32" t="e">
        <f ca="1">ТЕХ_Расчет!K51</f>
        <v>#NAME?</v>
      </c>
      <c r="V32" t="str">
        <f>IF(SUM($AA$3:$BS$3)&gt;0,"Закрывает "&amp;M32&amp;" крит. и "&amp;N32&amp;" важных; "&amp;IF(Q32&gt;0,"роль нужна","роль уже заполнена")&amp;"; "&amp;H32&amp;", логи "&amp;TEXT(I32,"0")&amp;"/100. "&amp;IF(U32="—","","Эффекты: "&amp;U32)&amp;IF(X32&gt;0,"; повтор: спек "&amp;K32&amp;", класс "&amp;W32&amp;", штраф "&amp;TEXT(X32,"0"),""),IF(SUM($AA$4:$BS$4)&gt;0,"Критичные закрыты; закрывает "&amp;N32&amp;" важных; "&amp;IF(Q32&gt;0,"роль нужна","роль уже заполнена")&amp;"; "&amp;H32&amp;", логи "&amp;TEXT(I32,"0")&amp;"/100."&amp;IF(X32&gt;0," Повтор: спек "&amp;K32&amp;", класс "&amp;W32&amp;", штраф "&amp;TEXT(X32,"0"),""),"Критичные и важные эффекты закрыты — выбор по роли и логам: "&amp;H32&amp;", "&amp;TEXT(I32,"0")&amp;"/100."&amp;IF(X32&gt;0," Повтор: спек "&amp;K32&amp;", класс "&amp;W32&amp;", штраф "&amp;TEXT(X32,"0"),"")))</f>
        <v>Критичные и важные эффекты закрыты — выбор по роли и логам: DPS 4006, 68/100.</v>
      </c>
      <c r="W32">
        <f>SUMIF('РЕЙД-КОНСТРУКТОР'!$C$6:$C$30,A32,ТЕХ_Расчет!$B$2:$B$26)</f>
        <v>0</v>
      </c>
      <c r="X32">
        <f>IF('РЕЙД-КОНСТРУКТОР'!$R$2="Без ограничений",0,IF('РЕЙД-КОНСТРУКТОР'!$R$2="Умеренно",K32*25+W32*6,K32*55+W32*12))</f>
        <v>0</v>
      </c>
      <c r="Y32">
        <f>IF('РЕЙД-КОНСТРУКТОР'!$R$2="Без ограничений",1,IF(OR(K32&gt;='РЕЙД-КОНСТРУКТОР'!$T$2,W32&gt;='РЕЙД-КОНСТРУКТОР'!$V$2),0,1))</f>
        <v>1</v>
      </c>
      <c r="AA32">
        <f>IF(AND('РЕЙД-КОНСТРУКТОР'!K6=0,'РЕЙД-КОНСТРУКТОР'!M6="Критично"),1,0)</f>
        <v>1</v>
      </c>
      <c r="AB32">
        <f>IF(AND('РЕЙД-КОНСТРУКТОР'!K7=0,'РЕЙД-КОНСТРУКТОР'!M7="Критично"),1,0)</f>
        <v>0</v>
      </c>
      <c r="AC32">
        <f>IF(AND('РЕЙД-КОНСТРУКТОР'!K8=0,'РЕЙД-КОНСТРУКТОР'!M8="Критично"),1,0)</f>
        <v>0</v>
      </c>
      <c r="AD32">
        <f>IF(AND('РЕЙД-КОНСТРУКТОР'!K9=0,'РЕЙД-КОНСТРУКТОР'!M9="Критично"),1,0)</f>
        <v>0</v>
      </c>
      <c r="AE32">
        <f>IF(AND('РЕЙД-КОНСТРУКТОР'!K10=0,'РЕЙД-КОНСТРУКТОР'!M10="Критично"),1,0)</f>
        <v>0</v>
      </c>
      <c r="AF32">
        <f>IF(AND('РЕЙД-КОНСТРУКТОР'!K11=0,'РЕЙД-КОНСТРУКТОР'!M11="Критично"),1,0)</f>
        <v>0</v>
      </c>
      <c r="AG32">
        <f>IF(AND('РЕЙД-КОНСТРУКТОР'!K12=0,'РЕЙД-КОНСТРУКТОР'!M12="Критично"),1,0)</f>
        <v>1</v>
      </c>
      <c r="AH32">
        <f>IF(AND('РЕЙД-КОНСТРУКТОР'!K13=0,'РЕЙД-КОНСТРУКТОР'!M13="Критично"),1,0)</f>
        <v>1</v>
      </c>
      <c r="AI32">
        <f>IF(AND('РЕЙД-КОНСТРУКТОР'!K14=0,'РЕЙД-КОНСТРУКТОР'!M14="Критично"),1,0)</f>
        <v>0</v>
      </c>
      <c r="AJ32">
        <f>IF(AND('РЕЙД-КОНСТРУКТОР'!K15=0,'РЕЙД-КОНСТРУКТОР'!M15="Критично"),1,0)</f>
        <v>0</v>
      </c>
      <c r="AK32">
        <f>IF(AND('РЕЙД-КОНСТРУКТОР'!K16=0,'РЕЙД-КОНСТРУКТОР'!M16="Критично"),1,0)</f>
        <v>0</v>
      </c>
      <c r="AL32">
        <f>IF(AND('РЕЙД-КОНСТРУКТОР'!K17=0,'РЕЙД-КОНСТРУКТОР'!M17="Критично"),1,0)</f>
        <v>1</v>
      </c>
      <c r="AM32">
        <f>IF(AND('РЕЙД-КОНСТРУКТОР'!K18=0,'РЕЙД-КОНСТРУКТОР'!M18="Критично"),1,0)</f>
        <v>0</v>
      </c>
      <c r="AN32">
        <f>IF(AND('РЕЙД-КОНСТРУКТОР'!K19=0,'РЕЙД-КОНСТРУКТОР'!M19="Критично"),1,0)</f>
        <v>1</v>
      </c>
      <c r="AO32">
        <f>IF(AND('РЕЙД-КОНСТРУКТОР'!K20=0,'РЕЙД-КОНСТРУКТОР'!M20="Критично"),1,0)</f>
        <v>0</v>
      </c>
      <c r="AP32">
        <f>IF(AND('РЕЙД-КОНСТРУКТОР'!K21=0,'РЕЙД-КОНСТРУКТОР'!M21="Критично"),1,0)</f>
        <v>1</v>
      </c>
      <c r="AQ32">
        <f>IF(AND('РЕЙД-КОНСТРУКТОР'!K22=0,'РЕЙД-КОНСТРУКТОР'!M22="Критично"),1,0)</f>
        <v>1</v>
      </c>
      <c r="AR32">
        <f>IF(AND('РЕЙД-КОНСТРУКТОР'!K23=0,'РЕЙД-КОНСТРУКТОР'!M23="Критично"),1,0)</f>
        <v>0</v>
      </c>
      <c r="AS32">
        <f>IF(AND('РЕЙД-КОНСТРУКТОР'!K24=0,'РЕЙД-КОНСТРУКТОР'!M24="Критично"),1,0)</f>
        <v>0</v>
      </c>
      <c r="AT32">
        <f>IF(AND('РЕЙД-КОНСТРУКТОР'!K25=0,'РЕЙД-КОНСТРУКТОР'!M25="Критично"),1,0)</f>
        <v>0</v>
      </c>
      <c r="AU32">
        <f>IF(AND('РЕЙД-КОНСТРУКТОР'!K26=0,'РЕЙД-КОНСТРУКТОР'!M26="Критично"),1,0)</f>
        <v>0</v>
      </c>
      <c r="AV32">
        <f>IF(AND('РЕЙД-КОНСТРУКТОР'!K27=0,'РЕЙД-КОНСТРУКТОР'!M27="Критично"),1,0)</f>
        <v>0</v>
      </c>
      <c r="AW32">
        <f>IF(AND('РЕЙД-КОНСТРУКТОР'!K28=0,'РЕЙД-КОНСТРУКТОР'!M28="Критично"),1,0)</f>
        <v>0</v>
      </c>
      <c r="AX32">
        <f>IF(AND('РЕЙД-КОНСТРУКТОР'!K29=0,'РЕЙД-КОНСТРУКТОР'!M29="Критично"),1,0)</f>
        <v>0</v>
      </c>
      <c r="AY32">
        <f>IF(AND('РЕЙД-КОНСТРУКТОР'!K30=0,'РЕЙД-КОНСТРУКТОР'!M30="Критично"),1,0)</f>
        <v>1</v>
      </c>
      <c r="AZ32">
        <f>IF(AND('РЕЙД-КОНСТРУКТОР'!K31=0,'РЕЙД-КОНСТРУКТОР'!M31="Критично"),1,0)</f>
        <v>0</v>
      </c>
      <c r="BA32">
        <f>IF(AND('РЕЙД-КОНСТРУКТОР'!K32=0,'РЕЙД-КОНСТРУКТОР'!M32="Критично"),1,0)</f>
        <v>0</v>
      </c>
      <c r="BB32">
        <f>IF(AND('РЕЙД-КОНСТРУКТОР'!K33=0,'РЕЙД-КОНСТРУКТОР'!M33="Критично"),1,0)</f>
        <v>0</v>
      </c>
      <c r="BC32">
        <f>IF(AND('РЕЙД-КОНСТРУКТОР'!K34=0,'РЕЙД-КОНСТРУКТОР'!M34="Критично"),1,0)</f>
        <v>0</v>
      </c>
      <c r="BD32">
        <f>IF(AND('РЕЙД-КОНСТРУКТОР'!K35=0,'РЕЙД-КОНСТРУКТОР'!M35="Критично"),1,0)</f>
        <v>1</v>
      </c>
      <c r="BE32">
        <f>IF(AND('РЕЙД-КОНСТРУКТОР'!K36=0,'РЕЙД-КОНСТРУКТОР'!M36="Критично"),1,0)</f>
        <v>1</v>
      </c>
      <c r="BF32">
        <f>IF(AND('РЕЙД-КОНСТРУКТОР'!K37=0,'РЕЙД-КОНСТРУКТОР'!M37="Критично"),1,0)</f>
        <v>1</v>
      </c>
      <c r="BG32">
        <f>IF(AND('РЕЙД-КОНСТРУКТОР'!K38=0,'РЕЙД-КОНСТРУКТОР'!M38="Критично"),1,0)</f>
        <v>1</v>
      </c>
      <c r="BH32">
        <f>IF(AND('РЕЙД-КОНСТРУКТОР'!K39=0,'РЕЙД-КОНСТРУКТОР'!M39="Критично"),1,0)</f>
        <v>0</v>
      </c>
      <c r="BI32">
        <f>IF(AND('РЕЙД-КОНСТРУКТОР'!K40=0,'РЕЙД-КОНСТРУКТОР'!M40="Критично"),1,0)</f>
        <v>1</v>
      </c>
      <c r="BJ32">
        <f>IF(AND('РЕЙД-КОНСТРУКТОР'!K41=0,'РЕЙД-КОНСТРУКТОР'!M41="Критично"),1,0)</f>
        <v>1</v>
      </c>
      <c r="BK32">
        <f>IF(AND('РЕЙД-КОНСТРУКТОР'!K42=0,'РЕЙД-КОНСТРУКТОР'!M42="Критично"),1,0)</f>
        <v>1</v>
      </c>
      <c r="BL32">
        <f>IF(AND('РЕЙД-КОНСТРУКТОР'!K43=0,'РЕЙД-КОНСТРУКТОР'!M43="Критично"),1,0)</f>
        <v>1</v>
      </c>
      <c r="BM32">
        <f>IF(AND('РЕЙД-КОНСТРУКТОР'!K44=0,'РЕЙД-КОНСТРУКТОР'!M44="Критично"),1,0)</f>
        <v>1</v>
      </c>
      <c r="BN32">
        <f>IF(AND('РЕЙД-КОНСТРУКТОР'!K45=0,'РЕЙД-КОНСТРУКТОР'!M45="Критично"),1,0)</f>
        <v>1</v>
      </c>
      <c r="BO32">
        <f>IF(AND('РЕЙД-КОНСТРУКТОР'!K46=0,'РЕЙД-КОНСТРУКТОР'!M46="Критично"),1,0)</f>
        <v>1</v>
      </c>
      <c r="BP32">
        <f>IF(AND('РЕЙД-КОНСТРУКТОР'!K47=0,'РЕЙД-КОНСТРУКТОР'!M47="Критично"),1,0)</f>
        <v>0</v>
      </c>
      <c r="BQ32">
        <f>IF(AND('РЕЙД-КОНСТРУКТОР'!K48=0,'РЕЙД-КОНСТРУКТОР'!M48="Критично"),1,0)</f>
        <v>0</v>
      </c>
      <c r="BR32">
        <f>IF(AND('РЕЙД-КОНСТРУКТОР'!K49=0,'РЕЙД-КОНСТРУКТОР'!M49="Критично"),1,0)</f>
        <v>0</v>
      </c>
      <c r="BS32">
        <f>IF(AND('РЕЙД-КОНСТРУКТОР'!K50=0,'РЕЙД-КОНСТРУКТОР'!M50="Критично"),1,0)</f>
        <v>1</v>
      </c>
      <c r="BT32" t="str">
        <f>'РЕЙД-КОНСТРУКТОР'!J7</f>
        <v>Minor Armor and All Stats</v>
      </c>
      <c r="BU32" t="str">
        <f>'РЕЙД-КОНСТРУКТОР'!M7</f>
        <v>Важно</v>
      </c>
      <c r="BV32">
        <f>'СПРАВОЧНИК ЭФФЕКТОВ'!F5</f>
        <v>18</v>
      </c>
      <c r="BW32" t="str">
        <f>'СПРАВОЧНИК ЭФФЕКТОВ'!L5</f>
        <v>Felsworn — любой спек; Primalist — любой спек; Ranger — любой спек; Venomancer — любой спек; + ещё 1 классов</v>
      </c>
      <c r="BX32">
        <f>IF('РЕЙД-КОНСТРУКТОР'!K7&gt;0,"",IF(BU32="Критично",3000,IF(BU32="Важно",2000,1000))+(100-MIN(BV32,99))+ROW()/100000)</f>
        <v>2082.0003200000001</v>
      </c>
    </row>
    <row r="33" spans="1:76">
      <c r="A33" t="s">
        <v>303</v>
      </c>
      <c r="B33" t="s">
        <v>306</v>
      </c>
      <c r="C33" t="s">
        <v>139</v>
      </c>
      <c r="D33" t="s">
        <v>695</v>
      </c>
      <c r="E33" t="s">
        <v>1871</v>
      </c>
      <c r="F33">
        <v>41</v>
      </c>
      <c r="G33" s="34">
        <v>0.67213114754098358</v>
      </c>
      <c r="H33" t="s">
        <v>1979</v>
      </c>
      <c r="I33" s="35">
        <v>67.61</v>
      </c>
      <c r="J33" s="31">
        <v>9.7560975609756101E-2</v>
      </c>
      <c r="K33">
        <f>SUMIF(ТЕХ_Расчет!$A$2:$A$26,D33,ТЕХ_Расчет!$B$2:$B$26)</f>
        <v>0</v>
      </c>
      <c r="L33">
        <f>SUMPRODUCT(ТЕХ_Списки!E60:AW60,$AA$2:$BS$2)</f>
        <v>0</v>
      </c>
      <c r="M33">
        <f>SUMPRODUCT(ТЕХ_Списки!E60:AW60,$AA$3:$BS$3)</f>
        <v>0</v>
      </c>
      <c r="N33">
        <f>SUMPRODUCT(ТЕХ_Списки!E60:AW60,$AA$4:$BS$4)</f>
        <v>0</v>
      </c>
      <c r="O33">
        <f>SUMPRODUCT(ТЕХ_Списки!E60:AW60,$AA$5:$BS$5)</f>
        <v>0</v>
      </c>
      <c r="P33">
        <f>M33*3+N33*2+O33</f>
        <v>0</v>
      </c>
      <c r="Q33">
        <f>IF(C33="Танк",'РЕЙД-КОНСТРУКТОР'!$R$30,IF(C33="Хилер",'РЕЙД-КОНСТРУКТОР'!$R$31,IF(C33="Саппорт",'РЕЙД-КОНСТРУКТОР'!$R$32,'РЕЙД-КОНСТРУКТОР'!$R$33)))</f>
        <v>16</v>
      </c>
      <c r="R33">
        <f>IF(C33="Танк",IF(Q33&gt;0,70,-150),IF(C33="Хилер",IF(Q33&gt;0,55,-120),IF(C33="Саппорт",IF(Q33&gt;0,50,-120),IF(Q33&gt;0,15,-120))))</f>
        <v>15</v>
      </c>
      <c r="S33" s="35">
        <f ca="1">IF(OR('РЕЙД-КОНСТРУКТОР'!$E$3&gt;='РЕЙД-КОНСТРУКТОР'!$R$3,AND('РЕЙД-КОНСТРУКТОР'!$C$3&lt;&gt;"Любая",'РЕЙД-КОНСТРУКТОР'!$C$3&lt;&gt;C33),Y33=0),-999,IF(SUM($AA$3:$BS$3)&gt;0,M33*45+N33*12+O33*2+I33*0.25+R33-X33,IF(SUM($AA$4:$BS$4)&gt;0,N33*25+O33*4+I33*0.5+R33-X33,I33+R33-K33*2-X33)))+0*'РЕЙД-КОНСТРУКТОР'!$N$52</f>
        <v>82.61</v>
      </c>
      <c r="T33">
        <f ca="1">IF(S33&lt;0,"",S33+ROW()/100000)</f>
        <v>82.610330000000005</v>
      </c>
      <c r="U33" t="e">
        <f ca="1">ТЕХ_Расчет!K108</f>
        <v>#NAME?</v>
      </c>
      <c r="V33" t="str">
        <f>IF(SUM($AA$3:$BS$3)&gt;0,"Закрывает "&amp;M33&amp;" крит. и "&amp;N33&amp;" важных; "&amp;IF(Q33&gt;0,"роль нужна","роль уже заполнена")&amp;"; "&amp;H33&amp;", логи "&amp;TEXT(I33,"0")&amp;"/100. "&amp;IF(U33="—","","Эффекты: "&amp;U33)&amp;IF(X33&gt;0,"; повтор: спек "&amp;K33&amp;", класс "&amp;W33&amp;", штраф "&amp;TEXT(X33,"0"),""),IF(SUM($AA$4:$BS$4)&gt;0,"Критичные закрыты; закрывает "&amp;N33&amp;" важных; "&amp;IF(Q33&gt;0,"роль нужна","роль уже заполнена")&amp;"; "&amp;H33&amp;", логи "&amp;TEXT(I33,"0")&amp;"/100."&amp;IF(X33&gt;0," Повтор: спек "&amp;K33&amp;", класс "&amp;W33&amp;", штраф "&amp;TEXT(X33,"0"),""),"Критичные и важные эффекты закрыты — выбор по роли и логам: "&amp;H33&amp;", "&amp;TEXT(I33,"0")&amp;"/100."&amp;IF(X33&gt;0," Повтор: спек "&amp;K33&amp;", класс "&amp;W33&amp;", штраф "&amp;TEXT(X33,"0"),"")))</f>
        <v>Критичные и важные эффекты закрыты — выбор по роли и логам: DPS 4131, 68/100.</v>
      </c>
      <c r="W33">
        <f>SUMIF('РЕЙД-КОНСТРУКТОР'!$C$6:$C$30,A33,ТЕХ_Расчет!$B$2:$B$26)</f>
        <v>0</v>
      </c>
      <c r="X33">
        <f>IF('РЕЙД-КОНСТРУКТОР'!$R$2="Без ограничений",0,IF('РЕЙД-КОНСТРУКТОР'!$R$2="Умеренно",K33*25+W33*6,K33*55+W33*12))</f>
        <v>0</v>
      </c>
      <c r="Y33">
        <f>IF('РЕЙД-КОНСТРУКТОР'!$R$2="Без ограничений",1,IF(OR(K33&gt;='РЕЙД-КОНСТРУКТОР'!$T$2,W33&gt;='РЕЙД-КОНСТРУКТОР'!$V$2),0,1))</f>
        <v>1</v>
      </c>
    </row>
    <row r="34" spans="1:76">
      <c r="A34" t="s">
        <v>224</v>
      </c>
      <c r="B34" t="s">
        <v>227</v>
      </c>
      <c r="C34" t="s">
        <v>135</v>
      </c>
      <c r="D34" t="s">
        <v>668</v>
      </c>
      <c r="E34" t="s">
        <v>1871</v>
      </c>
      <c r="F34">
        <v>321</v>
      </c>
      <c r="G34" s="34">
        <v>0.94134897360703818</v>
      </c>
      <c r="H34" t="s">
        <v>1953</v>
      </c>
      <c r="I34" s="35">
        <v>66.88</v>
      </c>
      <c r="J34" s="31">
        <v>6.5420560747663545E-2</v>
      </c>
      <c r="K34">
        <f>SUMIF(ТЕХ_Расчет!$A$2:$A$26,D34,ТЕХ_Расчет!$B$2:$B$26)</f>
        <v>0</v>
      </c>
      <c r="L34">
        <f>SUMPRODUCT(ТЕХ_Списки!E33:AW33,$AA$2:$BS$2)</f>
        <v>0</v>
      </c>
      <c r="M34">
        <f>SUMPRODUCT(ТЕХ_Списки!E33:AW33,$AA$3:$BS$3)</f>
        <v>0</v>
      </c>
      <c r="N34">
        <f>SUMPRODUCT(ТЕХ_Списки!E33:AW33,$AA$4:$BS$4)</f>
        <v>0</v>
      </c>
      <c r="O34">
        <f>SUMPRODUCT(ТЕХ_Списки!E33:AW33,$AA$5:$BS$5)</f>
        <v>0</v>
      </c>
      <c r="P34">
        <f>M34*3+N34*2+O34</f>
        <v>0</v>
      </c>
      <c r="Q34">
        <f>IF(C34="Танк",'РЕЙД-КОНСТРУКТОР'!$R$30,IF(C34="Хилер",'РЕЙД-КОНСТРУКТОР'!$R$31,IF(C34="Саппорт",'РЕЙД-КОНСТРУКТОР'!$R$32,'РЕЙД-КОНСТРУКТОР'!$R$33)))</f>
        <v>16</v>
      </c>
      <c r="R34">
        <f>IF(C34="Танк",IF(Q34&gt;0,70,-150),IF(C34="Хилер",IF(Q34&gt;0,55,-120),IF(C34="Саппорт",IF(Q34&gt;0,50,-120),IF(Q34&gt;0,15,-120))))</f>
        <v>15</v>
      </c>
      <c r="S34" s="35">
        <f ca="1">IF(OR('РЕЙД-КОНСТРУКТОР'!$E$3&gt;='РЕЙД-КОНСТРУКТОР'!$R$3,AND('РЕЙД-КОНСТРУКТОР'!$C$3&lt;&gt;"Любая",'РЕЙД-КОНСТРУКТОР'!$C$3&lt;&gt;C34),Y34=0),-999,IF(SUM($AA$3:$BS$3)&gt;0,M34*45+N34*12+O34*2+I34*0.25+R34-X34,IF(SUM($AA$4:$BS$4)&gt;0,N34*25+O34*4+I34*0.5+R34-X34,I34+R34-K34*2-X34)))+0*'РЕЙД-КОНСТРУКТОР'!$N$52</f>
        <v>81.88</v>
      </c>
      <c r="T34">
        <f ca="1">IF(S34&lt;0,"",S34+ROW()/100000)</f>
        <v>81.88033999999999</v>
      </c>
      <c r="U34" t="e">
        <f ca="1">ТЕХ_Расчет!K81</f>
        <v>#NAME?</v>
      </c>
      <c r="V34" t="str">
        <f>IF(SUM($AA$3:$BS$3)&gt;0,"Закрывает "&amp;M34&amp;" крит. и "&amp;N34&amp;" важных; "&amp;IF(Q34&gt;0,"роль нужна","роль уже заполнена")&amp;"; "&amp;H34&amp;", логи "&amp;TEXT(I34,"0")&amp;"/100. "&amp;IF(U34="—","","Эффекты: "&amp;U34)&amp;IF(X34&gt;0,"; повтор: спек "&amp;K34&amp;", класс "&amp;W34&amp;", штраф "&amp;TEXT(X34,"0"),""),IF(SUM($AA$4:$BS$4)&gt;0,"Критичные закрыты; закрывает "&amp;N34&amp;" важных; "&amp;IF(Q34&gt;0,"роль нужна","роль уже заполнена")&amp;"; "&amp;H34&amp;", логи "&amp;TEXT(I34,"0")&amp;"/100."&amp;IF(X34&gt;0," Повтор: спек "&amp;K34&amp;", класс "&amp;W34&amp;", штраф "&amp;TEXT(X34,"0"),""),"Критичные и важные эффекты закрыты — выбор по роли и логам: "&amp;H34&amp;", "&amp;TEXT(I34,"0")&amp;"/100."&amp;IF(X34&gt;0," Повтор: спек "&amp;K34&amp;", класс "&amp;W34&amp;", штраф "&amp;TEXT(X34,"0"),"")))</f>
        <v>Критичные и важные эффекты закрыты — выбор по роли и логам: DPS 3912, 67/100.</v>
      </c>
      <c r="W34">
        <f>SUMIF('РЕЙД-КОНСТРУКТОР'!$C$6:$C$30,A34,ТЕХ_Расчет!$B$2:$B$26)</f>
        <v>0</v>
      </c>
      <c r="X34">
        <f>IF('РЕЙД-КОНСТРУКТОР'!$R$2="Без ограничений",0,IF('РЕЙД-КОНСТРУКТОР'!$R$2="Умеренно",K34*25+W34*6,K34*55+W34*12))</f>
        <v>0</v>
      </c>
      <c r="Y34">
        <f>IF('РЕЙД-КОНСТРУКТОР'!$R$2="Без ограничений",1,IF(OR(K34&gt;='РЕЙД-КОНСТРУКТОР'!$T$2,W34&gt;='РЕЙД-КОНСТРУКТОР'!$V$2),0,1))</f>
        <v>1</v>
      </c>
      <c r="BT34" t="str">
        <f>'РЕЙД-КОНСТРУКТОР'!J37</f>
        <v>Heroism | Bloodlust</v>
      </c>
      <c r="BU34" t="str">
        <f>'РЕЙД-КОНСТРУКТОР'!M37</f>
        <v>Критично</v>
      </c>
      <c r="BV34">
        <f>'СПРАВОЧНИК ЭФФЕКТОВ'!F35</f>
        <v>6</v>
      </c>
      <c r="BW34" t="str">
        <f>'СПРАВОЧНИК ЭФФЕКТОВ'!L35</f>
        <v>Barbarian — Ancestry; Bloodmage — Fleshweaver; Guardian — Inspiration; Primalist — Grovekeeper; + ещё 2 классов</v>
      </c>
      <c r="BX34">
        <f>IF('РЕЙД-КОНСТРУКТОР'!K37&gt;0,"",IF(BU34="Критично",3000,IF(BU34="Важно",2000,1000))+(100-MIN(BV34,99))+ROW()/100000)</f>
        <v>3094.0003400000001</v>
      </c>
    </row>
    <row r="35" spans="1:76">
      <c r="A35" t="s">
        <v>224</v>
      </c>
      <c r="B35" t="s">
        <v>233</v>
      </c>
      <c r="C35" t="s">
        <v>78</v>
      </c>
      <c r="D35" t="s">
        <v>670</v>
      </c>
      <c r="E35" t="s">
        <v>1874</v>
      </c>
      <c r="F35">
        <v>19</v>
      </c>
      <c r="G35" s="34">
        <v>0.48717948717948717</v>
      </c>
      <c r="H35" t="s">
        <v>1955</v>
      </c>
      <c r="I35" s="35">
        <v>66.39</v>
      </c>
      <c r="J35" s="31">
        <v>5.2631578947368418E-2</v>
      </c>
      <c r="K35">
        <f>SUMIF(ТЕХ_Расчет!$A$2:$A$26,D35,ТЕХ_Расчет!$B$2:$B$26)</f>
        <v>0</v>
      </c>
      <c r="L35">
        <f>SUMPRODUCT(ТЕХ_Списки!E35:AW35,$AA$2:$BS$2)</f>
        <v>0</v>
      </c>
      <c r="M35">
        <f>SUMPRODUCT(ТЕХ_Списки!E35:AW35,$AA$3:$BS$3)</f>
        <v>0</v>
      </c>
      <c r="N35">
        <f>SUMPRODUCT(ТЕХ_Списки!E35:AW35,$AA$4:$BS$4)</f>
        <v>0</v>
      </c>
      <c r="O35">
        <f>SUMPRODUCT(ТЕХ_Списки!E35:AW35,$AA$5:$BS$5)</f>
        <v>0</v>
      </c>
      <c r="P35">
        <f>M35*3+N35*2+O35</f>
        <v>0</v>
      </c>
      <c r="Q35">
        <f>IF(C35="Танк",'РЕЙД-КОНСТРУКТОР'!$R$30,IF(C35="Хилер",'РЕЙД-КОНСТРУКТОР'!$R$31,IF(C35="Саппорт",'РЕЙД-КОНСТРУКТОР'!$R$32,'РЕЙД-КОНСТРУКТОР'!$R$33)))</f>
        <v>2</v>
      </c>
      <c r="R35">
        <f>IF(C35="Танк",IF(Q35&gt;0,70,-150),IF(C35="Хилер",IF(Q35&gt;0,55,-120),IF(C35="Саппорт",IF(Q35&gt;0,50,-120),IF(Q35&gt;0,15,-120))))</f>
        <v>70</v>
      </c>
      <c r="S35" s="35">
        <f ca="1">IF(OR('РЕЙД-КОНСТРУКТОР'!$E$3&gt;='РЕЙД-КОНСТРУКТОР'!$R$3,AND('РЕЙД-КОНСТРУКТОР'!$C$3&lt;&gt;"Любая",'РЕЙД-КОНСТРУКТОР'!$C$3&lt;&gt;C35),Y35=0),-999,IF(SUM($AA$3:$BS$3)&gt;0,M35*45+N35*12+O35*2+I35*0.25+R35-X35,IF(SUM($AA$4:$BS$4)&gt;0,N35*25+O35*4+I35*0.5+R35-X35,I35+R35-K35*2-X35)))+0*'РЕЙД-КОНСТРУКТОР'!$N$52</f>
        <v>136.38999999999999</v>
      </c>
      <c r="T35">
        <f ca="1">IF(S35&lt;0,"",S35+ROW()/100000)</f>
        <v>136.39034999999998</v>
      </c>
      <c r="U35" t="e">
        <f ca="1">ТЕХ_Расчет!K83</f>
        <v>#NAME?</v>
      </c>
      <c r="V35" t="str">
        <f>IF(SUM($AA$3:$BS$3)&gt;0,"Закрывает "&amp;M35&amp;" крит. и "&amp;N35&amp;" важных; "&amp;IF(Q35&gt;0,"роль нужна","роль уже заполнена")&amp;"; "&amp;H35&amp;", логи "&amp;TEXT(I35,"0")&amp;"/100. "&amp;IF(U35="—","","Эффекты: "&amp;U35)&amp;IF(X35&gt;0,"; повтор: спек "&amp;K35&amp;", класс "&amp;W35&amp;", штраф "&amp;TEXT(X35,"0"),""),IF(SUM($AA$4:$BS$4)&gt;0,"Критичные закрыты; закрывает "&amp;N35&amp;" важных; "&amp;IF(Q35&gt;0,"роль нужна","роль уже заполнена")&amp;"; "&amp;H35&amp;", логи "&amp;TEXT(I35,"0")&amp;"/100."&amp;IF(X35&gt;0," Повтор: спек "&amp;K35&amp;", класс "&amp;W35&amp;", штраф "&amp;TEXT(X35,"0"),""),"Критичные и важные эффекты закрыты — выбор по роли и логам: "&amp;H35&amp;", "&amp;TEXT(I35,"0")&amp;"/100."&amp;IF(X35&gt;0," Повтор: спек "&amp;K35&amp;", класс "&amp;W35&amp;", штраф "&amp;TEXT(X35,"0"),"")))</f>
        <v>Критичные и важные эффекты закрыты — выбор по роли и логам: DTPS 433, 66/100.</v>
      </c>
      <c r="W35">
        <f>SUMIF('РЕЙД-КОНСТРУКТОР'!$C$6:$C$30,A35,ТЕХ_Расчет!$B$2:$B$26)</f>
        <v>0</v>
      </c>
      <c r="X35">
        <f>IF('РЕЙД-КОНСТРУКТОР'!$R$2="Без ограничений",0,IF('РЕЙД-КОНСТРУКТОР'!$R$2="Умеренно",K35*25+W35*6,K35*55+W35*12))</f>
        <v>0</v>
      </c>
      <c r="Y35">
        <f>IF('РЕЙД-КОНСТРУКТОР'!$R$2="Без ограничений",1,IF(OR(K35&gt;='РЕЙД-КОНСТРУКТОР'!$T$2,W35&gt;='РЕЙД-КОНСТРУКТОР'!$V$2),0,1))</f>
        <v>1</v>
      </c>
      <c r="BT35" t="str">
        <f>'РЕЙД-КОНСТРУКТОР'!J39</f>
        <v>30% Bleed Damage</v>
      </c>
      <c r="BU35" t="str">
        <f>'РЕЙД-КОНСТРУКТОР'!M39</f>
        <v>Опционально</v>
      </c>
      <c r="BV35">
        <f>'СПРАВОЧНИК ЭФФЕКТОВ'!F37</f>
        <v>8</v>
      </c>
      <c r="BW35" t="str">
        <f>'СПРАВОЧНИК ЭФФЕКТОВ'!L37</f>
        <v>Bloodmage — любой спек; Primalist — Wildwalker; Ranger — Archery; Barbarian — Brutality/Headhunting</v>
      </c>
      <c r="BX35">
        <f>IF('РЕЙД-КОНСТРУКТОР'!K39&gt;0,"",IF(BU35="Критично",3000,IF(BU35="Важно",2000,1000))+(100-MIN(BV35,99))+ROW()/100000)</f>
        <v>1092.00035</v>
      </c>
    </row>
    <row r="36" spans="1:76">
      <c r="A36" t="s">
        <v>162</v>
      </c>
      <c r="B36" t="s">
        <v>166</v>
      </c>
      <c r="C36" t="s">
        <v>139</v>
      </c>
      <c r="D36" t="s">
        <v>647</v>
      </c>
      <c r="E36" t="s">
        <v>1871</v>
      </c>
      <c r="F36">
        <v>20</v>
      </c>
      <c r="G36" s="34">
        <v>0.5</v>
      </c>
      <c r="H36" t="s">
        <v>1932</v>
      </c>
      <c r="I36" s="35">
        <v>65.17</v>
      </c>
      <c r="J36" s="31">
        <v>0.05</v>
      </c>
      <c r="K36">
        <f>SUMIF(ТЕХ_Расчет!$A$2:$A$26,D36,ТЕХ_Расчет!$B$2:$B$26)</f>
        <v>0</v>
      </c>
      <c r="L36">
        <f>SUMPRODUCT(ТЕХ_Списки!E12:AW12,$AA$2:$BS$2)</f>
        <v>0</v>
      </c>
      <c r="M36">
        <f>SUMPRODUCT(ТЕХ_Списки!E12:AW12,$AA$3:$BS$3)</f>
        <v>0</v>
      </c>
      <c r="N36">
        <f>SUMPRODUCT(ТЕХ_Списки!E12:AW12,$AA$4:$BS$4)</f>
        <v>0</v>
      </c>
      <c r="O36">
        <f>SUMPRODUCT(ТЕХ_Списки!E12:AW12,$AA$5:$BS$5)</f>
        <v>0</v>
      </c>
      <c r="P36">
        <f>M36*3+N36*2+O36</f>
        <v>0</v>
      </c>
      <c r="Q36">
        <f>IF(C36="Танк",'РЕЙД-КОНСТРУКТОР'!$R$30,IF(C36="Хилер",'РЕЙД-КОНСТРУКТОР'!$R$31,IF(C36="Саппорт",'РЕЙД-КОНСТРУКТОР'!$R$32,'РЕЙД-КОНСТРУКТОР'!$R$33)))</f>
        <v>16</v>
      </c>
      <c r="R36">
        <f>IF(C36="Танк",IF(Q36&gt;0,70,-150),IF(C36="Хилер",IF(Q36&gt;0,55,-120),IF(C36="Саппорт",IF(Q36&gt;0,50,-120),IF(Q36&gt;0,15,-120))))</f>
        <v>15</v>
      </c>
      <c r="S36" s="35">
        <f ca="1">IF(OR('РЕЙД-КОНСТРУКТОР'!$E$3&gt;='РЕЙД-КОНСТРУКТОР'!$R$3,AND('РЕЙД-КОНСТРУКТОР'!$C$3&lt;&gt;"Любая",'РЕЙД-КОНСТРУКТОР'!$C$3&lt;&gt;C36),Y36=0),-999,IF(SUM($AA$3:$BS$3)&gt;0,M36*45+N36*12+O36*2+I36*0.25+R36-X36,IF(SUM($AA$4:$BS$4)&gt;0,N36*25+O36*4+I36*0.5+R36-X36,I36+R36-K36*2-X36)))+0*'РЕЙД-КОНСТРУКТОР'!$N$52</f>
        <v>80.17</v>
      </c>
      <c r="T36">
        <f ca="1">IF(S36&lt;0,"",S36+ROW()/100000)</f>
        <v>80.170360000000002</v>
      </c>
      <c r="U36" t="e">
        <f ca="1">ТЕХ_Расчет!K60</f>
        <v>#NAME?</v>
      </c>
      <c r="V36" t="str">
        <f>IF(SUM($AA$3:$BS$3)&gt;0,"Закрывает "&amp;M36&amp;" крит. и "&amp;N36&amp;" важных; "&amp;IF(Q36&gt;0,"роль нужна","роль уже заполнена")&amp;"; "&amp;H36&amp;", логи "&amp;TEXT(I36,"0")&amp;"/100. "&amp;IF(U36="—","","Эффекты: "&amp;U36)&amp;IF(X36&gt;0,"; повтор: спек "&amp;K36&amp;", класс "&amp;W36&amp;", штраф "&amp;TEXT(X36,"0"),""),IF(SUM($AA$4:$BS$4)&gt;0,"Критичные закрыты; закрывает "&amp;N36&amp;" важных; "&amp;IF(Q36&gt;0,"роль нужна","роль уже заполнена")&amp;"; "&amp;H36&amp;", логи "&amp;TEXT(I36,"0")&amp;"/100."&amp;IF(X36&gt;0," Повтор: спек "&amp;K36&amp;", класс "&amp;W36&amp;", штраф "&amp;TEXT(X36,"0"),""),"Критичные и важные эффекты закрыты — выбор по роли и логам: "&amp;H36&amp;", "&amp;TEXT(I36,"0")&amp;"/100."&amp;IF(X36&gt;0," Повтор: спек "&amp;K36&amp;", класс "&amp;W36&amp;", штраф "&amp;TEXT(X36,"0"),"")))</f>
        <v>Критичные и важные эффекты закрыты — выбор по роли и логам: DPS 4221, 65/100.</v>
      </c>
      <c r="W36">
        <f>SUMIF('РЕЙД-КОНСТРУКТОР'!$C$6:$C$30,A36,ТЕХ_Расчет!$B$2:$B$26)</f>
        <v>0</v>
      </c>
      <c r="X36">
        <f>IF('РЕЙД-КОНСТРУКТОР'!$R$2="Без ограничений",0,IF('РЕЙД-КОНСТРУКТОР'!$R$2="Умеренно",K36*25+W36*6,K36*55+W36*12))</f>
        <v>0</v>
      </c>
      <c r="Y36">
        <f>IF('РЕЙД-КОНСТРУКТОР'!$R$2="Без ограничений",1,IF(OR(K36&gt;='РЕЙД-КОНСТРУКТОР'!$T$2,W36&gt;='РЕЙД-КОНСТРУКТОР'!$V$2),0,1))</f>
        <v>1</v>
      </c>
      <c r="BT36" t="str">
        <f>'РЕЙД-КОНСТРУКТОР'!J16</f>
        <v>Spell Power</v>
      </c>
      <c r="BU36" t="str">
        <f>'РЕЙД-КОНСТРУКТОР'!M16</f>
        <v>Важно</v>
      </c>
      <c r="BV36">
        <f>'СПРАВОЧНИК ЭФФЕКТОВ'!F14</f>
        <v>8</v>
      </c>
      <c r="BW36" t="str">
        <f>'СПРАВОЧНИК ЭФФЕКТОВ'!L14</f>
        <v>Necromancer — любой спек; Sun Cleric — любой спек; Cultist — Corruption</v>
      </c>
      <c r="BX36">
        <f>IF('РЕЙД-КОНСТРУКТОР'!K16&gt;0,"",IF(BU36="Критично",3000,IF(BU36="Важно",2000,1000))+(100-MIN(BV36,99))+ROW()/100000)</f>
        <v>2092.00036</v>
      </c>
    </row>
    <row r="37" spans="1:76">
      <c r="A37" t="s">
        <v>285</v>
      </c>
      <c r="B37" t="s">
        <v>286</v>
      </c>
      <c r="C37" t="s">
        <v>135</v>
      </c>
      <c r="D37" t="s">
        <v>688</v>
      </c>
      <c r="E37" t="s">
        <v>1871</v>
      </c>
      <c r="F37">
        <v>20</v>
      </c>
      <c r="G37" s="34">
        <v>0.5</v>
      </c>
      <c r="H37" t="s">
        <v>1972</v>
      </c>
      <c r="I37" s="35">
        <v>64.66</v>
      </c>
      <c r="J37" s="31">
        <v>0.15</v>
      </c>
      <c r="K37">
        <f>SUMIF(ТЕХ_Расчет!$A$2:$A$26,D37,ТЕХ_Расчет!$B$2:$B$26)</f>
        <v>0</v>
      </c>
      <c r="L37">
        <f>SUMPRODUCT(ТЕХ_Списки!E53:AW53,$AA$2:$BS$2)</f>
        <v>0</v>
      </c>
      <c r="M37">
        <f>SUMPRODUCT(ТЕХ_Списки!E53:AW53,$AA$3:$BS$3)</f>
        <v>0</v>
      </c>
      <c r="N37">
        <f>SUMPRODUCT(ТЕХ_Списки!E53:AW53,$AA$4:$BS$4)</f>
        <v>0</v>
      </c>
      <c r="O37">
        <f>SUMPRODUCT(ТЕХ_Списки!E53:AW53,$AA$5:$BS$5)</f>
        <v>0</v>
      </c>
      <c r="P37">
        <f>M37*3+N37*2+O37</f>
        <v>0</v>
      </c>
      <c r="Q37">
        <f>IF(C37="Танк",'РЕЙД-КОНСТРУКТОР'!$R$30,IF(C37="Хилер",'РЕЙД-КОНСТРУКТОР'!$R$31,IF(C37="Саппорт",'РЕЙД-КОНСТРУКТОР'!$R$32,'РЕЙД-КОНСТРУКТОР'!$R$33)))</f>
        <v>16</v>
      </c>
      <c r="R37">
        <f>IF(C37="Танк",IF(Q37&gt;0,70,-150),IF(C37="Хилер",IF(Q37&gt;0,55,-120),IF(C37="Саппорт",IF(Q37&gt;0,50,-120),IF(Q37&gt;0,15,-120))))</f>
        <v>15</v>
      </c>
      <c r="S37" s="35">
        <f ca="1">IF(OR('РЕЙД-КОНСТРУКТОР'!$E$3&gt;='РЕЙД-КОНСТРУКТОР'!$R$3,AND('РЕЙД-КОНСТРУКТОР'!$C$3&lt;&gt;"Любая",'РЕЙД-КОНСТРУКТОР'!$C$3&lt;&gt;C37),Y37=0),-999,IF(SUM($AA$3:$BS$3)&gt;0,M37*45+N37*12+O37*2+I37*0.25+R37-X37,IF(SUM($AA$4:$BS$4)&gt;0,N37*25+O37*4+I37*0.5+R37-X37,I37+R37-K37*2-X37)))+0*'РЕЙД-КОНСТРУКТОР'!$N$52</f>
        <v>79.66</v>
      </c>
      <c r="T37">
        <f ca="1">IF(S37&lt;0,"",S37+ROW()/100000)</f>
        <v>79.66037</v>
      </c>
      <c r="U37" t="e">
        <f ca="1">ТЕХ_Расчет!K101</f>
        <v>#NAME?</v>
      </c>
      <c r="V37" t="str">
        <f>IF(SUM($AA$3:$BS$3)&gt;0,"Закрывает "&amp;M37&amp;" крит. и "&amp;N37&amp;" важных; "&amp;IF(Q37&gt;0,"роль нужна","роль уже заполнена")&amp;"; "&amp;H37&amp;", логи "&amp;TEXT(I37,"0")&amp;"/100. "&amp;IF(U37="—","","Эффекты: "&amp;U37)&amp;IF(X37&gt;0,"; повтор: спек "&amp;K37&amp;", класс "&amp;W37&amp;", штраф "&amp;TEXT(X37,"0"),""),IF(SUM($AA$4:$BS$4)&gt;0,"Критичные закрыты; закрывает "&amp;N37&amp;" важных; "&amp;IF(Q37&gt;0,"роль нужна","роль уже заполнена")&amp;"; "&amp;H37&amp;", логи "&amp;TEXT(I37,"0")&amp;"/100."&amp;IF(X37&gt;0," Повтор: спек "&amp;K37&amp;", класс "&amp;W37&amp;", штраф "&amp;TEXT(X37,"0"),""),"Критичные и важные эффекты закрыты — выбор по роли и логам: "&amp;H37&amp;", "&amp;TEXT(I37,"0")&amp;"/100."&amp;IF(X37&gt;0," Повтор: спек "&amp;K37&amp;", класс "&amp;W37&amp;", штраф "&amp;TEXT(X37,"0"),"")))</f>
        <v>Критичные и важные эффекты закрыты — выбор по роли и логам: DPS 4395, 65/100.</v>
      </c>
      <c r="W37">
        <f>SUMIF('РЕЙД-КОНСТРУКТОР'!$C$6:$C$30,A37,ТЕХ_Расчет!$B$2:$B$26)</f>
        <v>0</v>
      </c>
      <c r="X37">
        <f>IF('РЕЙД-КОНСТРУКТОР'!$R$2="Без ограничений",0,IF('РЕЙД-КОНСТРУКТОР'!$R$2="Умеренно",K37*25+W37*6,K37*55+W37*12))</f>
        <v>0</v>
      </c>
      <c r="Y37">
        <f>IF('РЕЙД-КОНСТРУКТОР'!$R$2="Без ограничений",1,IF(OR(K37&gt;='РЕЙД-КОНСТРУКТОР'!$T$2,W37&gt;='РЕЙД-КОНСТРУКТОР'!$V$2),0,1))</f>
        <v>1</v>
      </c>
    </row>
    <row r="38" spans="1:76">
      <c r="A38" t="s">
        <v>244</v>
      </c>
      <c r="B38" t="s">
        <v>245</v>
      </c>
      <c r="C38" t="s">
        <v>135</v>
      </c>
      <c r="D38" t="s">
        <v>674</v>
      </c>
      <c r="E38" t="s">
        <v>1871</v>
      </c>
      <c r="F38">
        <v>105</v>
      </c>
      <c r="G38" s="34">
        <v>0.84</v>
      </c>
      <c r="H38" t="s">
        <v>1958</v>
      </c>
      <c r="I38" s="35">
        <v>64.19</v>
      </c>
      <c r="J38" s="31">
        <v>6.6666666666666666E-2</v>
      </c>
      <c r="K38">
        <f>SUMIF(ТЕХ_Расчет!$A$2:$A$26,D38,ТЕХ_Расчет!$B$2:$B$26)</f>
        <v>0</v>
      </c>
      <c r="L38">
        <f>SUMPRODUCT(ТЕХ_Списки!E39:AW39,$AA$2:$BS$2)</f>
        <v>0</v>
      </c>
      <c r="M38">
        <f>SUMPRODUCT(ТЕХ_Списки!E39:AW39,$AA$3:$BS$3)</f>
        <v>0</v>
      </c>
      <c r="N38">
        <f>SUMPRODUCT(ТЕХ_Списки!E39:AW39,$AA$4:$BS$4)</f>
        <v>0</v>
      </c>
      <c r="O38">
        <f>SUMPRODUCT(ТЕХ_Списки!E39:AW39,$AA$5:$BS$5)</f>
        <v>0</v>
      </c>
      <c r="P38">
        <f>M38*3+N38*2+O38</f>
        <v>0</v>
      </c>
      <c r="Q38">
        <f>IF(C38="Танк",'РЕЙД-КОНСТРУКТОР'!$R$30,IF(C38="Хилер",'РЕЙД-КОНСТРУКТОР'!$R$31,IF(C38="Саппорт",'РЕЙД-КОНСТРУКТОР'!$R$32,'РЕЙД-КОНСТРУКТОР'!$R$33)))</f>
        <v>16</v>
      </c>
      <c r="R38">
        <f>IF(C38="Танк",IF(Q38&gt;0,70,-150),IF(C38="Хилер",IF(Q38&gt;0,55,-120),IF(C38="Саппорт",IF(Q38&gt;0,50,-120),IF(Q38&gt;0,15,-120))))</f>
        <v>15</v>
      </c>
      <c r="S38" s="35">
        <f ca="1">IF(OR('РЕЙД-КОНСТРУКТОР'!$E$3&gt;='РЕЙД-КОНСТРУКТОР'!$R$3,AND('РЕЙД-КОНСТРУКТОР'!$C$3&lt;&gt;"Любая",'РЕЙД-КОНСТРУКТОР'!$C$3&lt;&gt;C38),Y38=0),-999,IF(SUM($AA$3:$BS$3)&gt;0,M38*45+N38*12+O38*2+I38*0.25+R38-X38,IF(SUM($AA$4:$BS$4)&gt;0,N38*25+O38*4+I38*0.5+R38-X38,I38+R38-K38*2-X38)))+0*'РЕЙД-КОНСТРУКТОР'!$N$52</f>
        <v>79.19</v>
      </c>
      <c r="T38">
        <f ca="1">IF(S38&lt;0,"",S38+ROW()/100000)</f>
        <v>79.190380000000005</v>
      </c>
      <c r="U38" t="e">
        <f ca="1">ТЕХ_Расчет!K87</f>
        <v>#NAME?</v>
      </c>
      <c r="V38" t="str">
        <f>IF(SUM($AA$3:$BS$3)&gt;0,"Закрывает "&amp;M38&amp;" крит. и "&amp;N38&amp;" важных; "&amp;IF(Q38&gt;0,"роль нужна","роль уже заполнена")&amp;"; "&amp;H38&amp;", логи "&amp;TEXT(I38,"0")&amp;"/100. "&amp;IF(U38="—","","Эффекты: "&amp;U38)&amp;IF(X38&gt;0,"; повтор: спек "&amp;K38&amp;", класс "&amp;W38&amp;", штраф "&amp;TEXT(X38,"0"),""),IF(SUM($AA$4:$BS$4)&gt;0,"Критичные закрыты; закрывает "&amp;N38&amp;" важных; "&amp;IF(Q38&gt;0,"роль нужна","роль уже заполнена")&amp;"; "&amp;H38&amp;", логи "&amp;TEXT(I38,"0")&amp;"/100."&amp;IF(X38&gt;0," Повтор: спек "&amp;K38&amp;", класс "&amp;W38&amp;", штраф "&amp;TEXT(X38,"0"),""),"Критичные и важные эффекты закрыты — выбор по роли и логам: "&amp;H38&amp;", "&amp;TEXT(I38,"0")&amp;"/100."&amp;IF(X38&gt;0," Повтор: спек "&amp;K38&amp;", класс "&amp;W38&amp;", штраф "&amp;TEXT(X38,"0"),"")))</f>
        <v>Критичные и важные эффекты закрыты — выбор по роли и логам: DPS 3866, 64/100.</v>
      </c>
      <c r="W38">
        <f>SUMIF('РЕЙД-КОНСТРУКТОР'!$C$6:$C$30,A38,ТЕХ_Расчет!$B$2:$B$26)</f>
        <v>0</v>
      </c>
      <c r="X38">
        <f>IF('РЕЙД-КОНСТРУКТОР'!$R$2="Без ограничений",0,IF('РЕЙД-КОНСТРУКТОР'!$R$2="Умеренно",K38*25+W38*6,K38*55+W38*12))</f>
        <v>0</v>
      </c>
      <c r="Y38">
        <f>IF('РЕЙД-КОНСТРУКТОР'!$R$2="Без ограничений",1,IF(OR(K38&gt;='РЕЙД-КОНСТРУКТОР'!$T$2,W38&gt;='РЕЙД-КОНСТРУКТОР'!$V$2),0,1))</f>
        <v>1</v>
      </c>
      <c r="BT38" t="str">
        <f>'РЕЙД-КОНСТРУКТОР'!J43</f>
        <v>3% Spell Hit</v>
      </c>
      <c r="BU38" t="str">
        <f>'РЕЙД-КОНСТРУКТОР'!M43</f>
        <v>Критично</v>
      </c>
      <c r="BV38">
        <f>'СПРАВОЧНИК ЭФФЕКТОВ'!F41</f>
        <v>7</v>
      </c>
      <c r="BW38" t="str">
        <f>'СПРАВОЧНИК ЭФФЕКТОВ'!L41</f>
        <v>Chronomancer — Infinite; Cultist — Corruption; Felsworn — Infernal; Primalist — Geomancy; + ещё 3 классов</v>
      </c>
      <c r="BX38">
        <f>IF('РЕЙД-КОНСТРУКТОР'!K43&gt;0,"",IF(BU38="Критично",3000,IF(BU38="Важно",2000,1000))+(100-MIN(BV38,99))+ROW()/100000)</f>
        <v>3093.00038</v>
      </c>
    </row>
    <row r="39" spans="1:76">
      <c r="A39" t="s">
        <v>130</v>
      </c>
      <c r="B39" t="s">
        <v>138</v>
      </c>
      <c r="C39" t="s">
        <v>139</v>
      </c>
      <c r="D39" t="s">
        <v>637</v>
      </c>
      <c r="E39" t="s">
        <v>1871</v>
      </c>
      <c r="F39">
        <v>28</v>
      </c>
      <c r="G39" s="34">
        <v>0.58333333333333337</v>
      </c>
      <c r="H39" t="s">
        <v>1924</v>
      </c>
      <c r="I39" s="35">
        <v>63.48</v>
      </c>
      <c r="J39" s="31">
        <v>3.5714285714285712E-2</v>
      </c>
      <c r="K39">
        <f>SUMIF(ТЕХ_Расчет!$A$2:$A$26,D39,ТЕХ_Расчет!$B$2:$B$26)</f>
        <v>0</v>
      </c>
      <c r="L39">
        <f>SUMPRODUCT(ТЕХ_Списки!E4:AW4,$AA$2:$BS$2)</f>
        <v>0</v>
      </c>
      <c r="M39">
        <f>SUMPRODUCT(ТЕХ_Списки!E4:AW4,$AA$3:$BS$3)</f>
        <v>0</v>
      </c>
      <c r="N39">
        <f>SUMPRODUCT(ТЕХ_Списки!E4:AW4,$AA$4:$BS$4)</f>
        <v>0</v>
      </c>
      <c r="O39">
        <f>SUMPRODUCT(ТЕХ_Списки!E4:AW4,$AA$5:$BS$5)</f>
        <v>0</v>
      </c>
      <c r="P39">
        <f>M39*3+N39*2+O39</f>
        <v>0</v>
      </c>
      <c r="Q39">
        <f>IF(C39="Танк",'РЕЙД-КОНСТРУКТОР'!$R$30,IF(C39="Хилер",'РЕЙД-КОНСТРУКТОР'!$R$31,IF(C39="Саппорт",'РЕЙД-КОНСТРУКТОР'!$R$32,'РЕЙД-КОНСТРУКТОР'!$R$33)))</f>
        <v>16</v>
      </c>
      <c r="R39">
        <f>IF(C39="Танк",IF(Q39&gt;0,70,-150),IF(C39="Хилер",IF(Q39&gt;0,55,-120),IF(C39="Саппорт",IF(Q39&gt;0,50,-120),IF(Q39&gt;0,15,-120))))</f>
        <v>15</v>
      </c>
      <c r="S39" s="35">
        <f ca="1">IF(OR('РЕЙД-КОНСТРУКТОР'!$E$3&gt;='РЕЙД-КОНСТРУКТОР'!$R$3,AND('РЕЙД-КОНСТРУКТОР'!$C$3&lt;&gt;"Любая",'РЕЙД-КОНСТРУКТОР'!$C$3&lt;&gt;C39),Y39=0),-999,IF(SUM($AA$3:$BS$3)&gt;0,M39*45+N39*12+O39*2+I39*0.25+R39-X39,IF(SUM($AA$4:$BS$4)&gt;0,N39*25+O39*4+I39*0.5+R39-X39,I39+R39-K39*2-X39)))+0*'РЕЙД-КОНСТРУКТОР'!$N$52</f>
        <v>78.47999999999999</v>
      </c>
      <c r="T39">
        <f ca="1">IF(S39&lt;0,"",S39+ROW()/100000)</f>
        <v>78.480389999999986</v>
      </c>
      <c r="U39" t="e">
        <f ca="1">ТЕХ_Расчет!K52</f>
        <v>#NAME?</v>
      </c>
      <c r="V39" t="str">
        <f>IF(SUM($AA$3:$BS$3)&gt;0,"Закрывает "&amp;M39&amp;" крит. и "&amp;N39&amp;" важных; "&amp;IF(Q39&gt;0,"роль нужна","роль уже заполнена")&amp;"; "&amp;H39&amp;", логи "&amp;TEXT(I39,"0")&amp;"/100. "&amp;IF(U39="—","","Эффекты: "&amp;U39)&amp;IF(X39&gt;0,"; повтор: спек "&amp;K39&amp;", класс "&amp;W39&amp;", штраф "&amp;TEXT(X39,"0"),""),IF(SUM($AA$4:$BS$4)&gt;0,"Критичные закрыты; закрывает "&amp;N39&amp;" важных; "&amp;IF(Q39&gt;0,"роль нужна","роль уже заполнена")&amp;"; "&amp;H39&amp;", логи "&amp;TEXT(I39,"0")&amp;"/100."&amp;IF(X39&gt;0," Повтор: спек "&amp;K39&amp;", класс "&amp;W39&amp;", штраф "&amp;TEXT(X39,"0"),""),"Критичные и важные эффекты закрыты — выбор по роли и логам: "&amp;H39&amp;", "&amp;TEXT(I39,"0")&amp;"/100."&amp;IF(X39&gt;0," Повтор: спек "&amp;K39&amp;", класс "&amp;W39&amp;", штраф "&amp;TEXT(X39,"0"),"")))</f>
        <v>Критичные и важные эффекты закрыты — выбор по роли и логам: DPS 3762, 63/100.</v>
      </c>
      <c r="W39">
        <f>SUMIF('РЕЙД-КОНСТРУКТОР'!$C$6:$C$30,A39,ТЕХ_Расчет!$B$2:$B$26)</f>
        <v>0</v>
      </c>
      <c r="X39">
        <f>IF('РЕЙД-КОНСТРУКТОР'!$R$2="Без ограничений",0,IF('РЕЙД-КОНСТРУКТОР'!$R$2="Умеренно",K39*25+W39*6,K39*55+W39*12))</f>
        <v>0</v>
      </c>
      <c r="Y39">
        <f>IF('РЕЙД-КОНСТРУКТОР'!$R$2="Без ограничений",1,IF(OR(K39&gt;='РЕЙД-КОНСТРУКТОР'!$T$2,W39&gt;='РЕЙД-КОНСТРУКТОР'!$V$2),0,1))</f>
        <v>1</v>
      </c>
      <c r="AA39">
        <f>IF(AND('РЕЙД-КОНСТРУКТОР'!K6=0,'РЕЙД-КОНСТРУКТОР'!M6="Важно"),1,0)</f>
        <v>0</v>
      </c>
      <c r="AB39">
        <f>IF(AND('РЕЙД-КОНСТРУКТОР'!K7=0,'РЕЙД-КОНСТРУКТОР'!M7="Важно"),1,0)</f>
        <v>1</v>
      </c>
      <c r="AC39">
        <f>IF(AND('РЕЙД-КОНСТРУКТОР'!K8=0,'РЕЙД-КОНСТРУКТОР'!M8="Важно"),1,0)</f>
        <v>1</v>
      </c>
      <c r="AD39">
        <f>IF(AND('РЕЙД-КОНСТРУКТОР'!K9=0,'РЕЙД-КОНСТРУКТОР'!M9="Важно"),1,0)</f>
        <v>1</v>
      </c>
      <c r="AE39">
        <f>IF(AND('РЕЙД-КОНСТРУКТОР'!K10=0,'РЕЙД-КОНСТРУКТОР'!M10="Важно"),1,0)</f>
        <v>1</v>
      </c>
      <c r="AF39">
        <f>IF(AND('РЕЙД-КОНСТРУКТОР'!K11=0,'РЕЙД-КОНСТРУКТОР'!M11="Важно"),1,0)</f>
        <v>1</v>
      </c>
      <c r="AG39">
        <f>IF(AND('РЕЙД-КОНСТРУКТОР'!K12=0,'РЕЙД-КОНСТРУКТОР'!M12="Важно"),1,0)</f>
        <v>0</v>
      </c>
      <c r="AH39">
        <f>IF(AND('РЕЙД-КОНСТРУКТОР'!K13=0,'РЕЙД-КОНСТРУКТОР'!M13="Важно"),1,0)</f>
        <v>0</v>
      </c>
      <c r="AI39">
        <f>IF(AND('РЕЙД-КОНСТРУКТОР'!K14=0,'РЕЙД-КОНСТРУКТОР'!M14="Важно"),1,0)</f>
        <v>1</v>
      </c>
      <c r="AJ39">
        <f>IF(AND('РЕЙД-КОНСТРУКТОР'!K15=0,'РЕЙД-КОНСТРУКТОР'!M15="Важно"),1,0)</f>
        <v>1</v>
      </c>
      <c r="AK39">
        <f>IF(AND('РЕЙД-КОНСТРУКТОР'!K16=0,'РЕЙД-КОНСТРУКТОР'!M16="Важно"),1,0)</f>
        <v>1</v>
      </c>
      <c r="AL39">
        <f>IF(AND('РЕЙД-КОНСТРУКТОР'!K17=0,'РЕЙД-КОНСТРУКТОР'!M17="Важно"),1,0)</f>
        <v>0</v>
      </c>
      <c r="AM39">
        <f>IF(AND('РЕЙД-КОНСТРУКТОР'!K18=0,'РЕЙД-КОНСТРУКТОР'!M18="Важно"),1,0)</f>
        <v>1</v>
      </c>
      <c r="AN39">
        <f>IF(AND('РЕЙД-КОНСТРУКТОР'!K19=0,'РЕЙД-КОНСТРУКТОР'!M19="Важно"),1,0)</f>
        <v>0</v>
      </c>
      <c r="AO39">
        <f>IF(AND('РЕЙД-КОНСТРУКТОР'!K20=0,'РЕЙД-КОНСТРУКТОР'!M20="Важно"),1,0)</f>
        <v>0</v>
      </c>
      <c r="AP39">
        <f>IF(AND('РЕЙД-КОНСТРУКТОР'!K21=0,'РЕЙД-КОНСТРУКТОР'!M21="Важно"),1,0)</f>
        <v>0</v>
      </c>
      <c r="AQ39">
        <f>IF(AND('РЕЙД-КОНСТРУКТОР'!K22=0,'РЕЙД-КОНСТРУКТОР'!M22="Важно"),1,0)</f>
        <v>0</v>
      </c>
      <c r="AR39">
        <f>IF(AND('РЕЙД-КОНСТРУКТОР'!K23=0,'РЕЙД-КОНСТРУКТОР'!M23="Важно"),1,0)</f>
        <v>0</v>
      </c>
      <c r="AS39">
        <f>IF(AND('РЕЙД-КОНСТРУКТОР'!K24=0,'РЕЙД-КОНСТРУКТОР'!M24="Важно"),1,0)</f>
        <v>0</v>
      </c>
      <c r="AT39">
        <f>IF(AND('РЕЙД-КОНСТРУКТОР'!K25=0,'РЕЙД-КОНСТРУКТОР'!M25="Важно"),1,0)</f>
        <v>0</v>
      </c>
      <c r="AU39">
        <f>IF(AND('РЕЙД-КОНСТРУКТОР'!K26=0,'РЕЙД-КОНСТРУКТОР'!M26="Важно"),1,0)</f>
        <v>0</v>
      </c>
      <c r="AV39">
        <f>IF(AND('РЕЙД-КОНСТРУКТОР'!K27=0,'РЕЙД-КОНСТРУКТОР'!M27="Важно"),1,0)</f>
        <v>0</v>
      </c>
      <c r="AW39">
        <f>IF(AND('РЕЙД-КОНСТРУКТОР'!K28=0,'РЕЙД-КОНСТРУКТОР'!M28="Важно"),1,0)</f>
        <v>0</v>
      </c>
      <c r="AX39">
        <f>IF(AND('РЕЙД-КОНСТРУКТОР'!K29=0,'РЕЙД-КОНСТРУКТОР'!M29="Важно"),1,0)</f>
        <v>0</v>
      </c>
      <c r="AY39">
        <f>IF(AND('РЕЙД-КОНСТРУКТОР'!K30=0,'РЕЙД-КОНСТРУКТОР'!M30="Важно"),1,0)</f>
        <v>0</v>
      </c>
      <c r="AZ39">
        <f>IF(AND('РЕЙД-КОНСТРУКТОР'!K31=0,'РЕЙД-КОНСТРУКТОР'!M31="Важно"),1,0)</f>
        <v>0</v>
      </c>
      <c r="BA39">
        <f>IF(AND('РЕЙД-КОНСТРУКТОР'!K32=0,'РЕЙД-КОНСТРУКТОР'!M32="Важно"),1,0)</f>
        <v>0</v>
      </c>
      <c r="BB39">
        <f>IF(AND('РЕЙД-КОНСТРУКТОР'!K33=0,'РЕЙД-КОНСТРУКТОР'!M33="Важно"),1,0)</f>
        <v>0</v>
      </c>
      <c r="BC39">
        <f>IF(AND('РЕЙД-КОНСТРУКТОР'!K34=0,'РЕЙД-КОНСТРУКТОР'!M34="Важно"),1,0)</f>
        <v>0</v>
      </c>
      <c r="BD39">
        <f>IF(AND('РЕЙД-КОНСТРУКТОР'!K35=0,'РЕЙД-КОНСТРУКТОР'!M35="Важно"),1,0)</f>
        <v>0</v>
      </c>
      <c r="BE39">
        <f>IF(AND('РЕЙД-КОНСТРУКТОР'!K36=0,'РЕЙД-КОНСТРУКТОР'!M36="Важно"),1,0)</f>
        <v>0</v>
      </c>
      <c r="BF39">
        <f>IF(AND('РЕЙД-КОНСТРУКТОР'!K37=0,'РЕЙД-КОНСТРУКТОР'!M37="Важно"),1,0)</f>
        <v>0</v>
      </c>
      <c r="BG39">
        <f>IF(AND('РЕЙД-КОНСТРУКТОР'!K38=0,'РЕЙД-КОНСТРУКТОР'!M38="Важно"),1,0)</f>
        <v>0</v>
      </c>
      <c r="BH39">
        <f>IF(AND('РЕЙД-КОНСТРУКТОР'!K39=0,'РЕЙД-КОНСТРУКТОР'!M39="Важно"),1,0)</f>
        <v>0</v>
      </c>
      <c r="BI39">
        <f>IF(AND('РЕЙД-КОНСТРУКТОР'!K40=0,'РЕЙД-КОНСТРУКТОР'!M40="Важно"),1,0)</f>
        <v>0</v>
      </c>
      <c r="BJ39">
        <f>IF(AND('РЕЙД-КОНСТРУКТОР'!K41=0,'РЕЙД-КОНСТРУКТОР'!M41="Важно"),1,0)</f>
        <v>0</v>
      </c>
      <c r="BK39">
        <f>IF(AND('РЕЙД-КОНСТРУКТОР'!K42=0,'РЕЙД-КОНСТРУКТОР'!M42="Важно"),1,0)</f>
        <v>0</v>
      </c>
      <c r="BL39">
        <f>IF(AND('РЕЙД-КОНСТРУКТОР'!K43=0,'РЕЙД-КОНСТРУКТОР'!M43="Важно"),1,0)</f>
        <v>0</v>
      </c>
      <c r="BM39">
        <f>IF(AND('РЕЙД-КОНСТРУКТОР'!K44=0,'РЕЙД-КОНСТРУКТОР'!M44="Важно"),1,0)</f>
        <v>0</v>
      </c>
      <c r="BN39">
        <f>IF(AND('РЕЙД-КОНСТРУКТОР'!K45=0,'РЕЙД-КОНСТРУКТОР'!M45="Важно"),1,0)</f>
        <v>0</v>
      </c>
      <c r="BO39">
        <f>IF(AND('РЕЙД-КОНСТРУКТОР'!K46=0,'РЕЙД-КОНСТРУКТОР'!M46="Важно"),1,0)</f>
        <v>0</v>
      </c>
      <c r="BP39">
        <f>IF(AND('РЕЙД-КОНСТРУКТОР'!K47=0,'РЕЙД-КОНСТРУКТОР'!M47="Важно"),1,0)</f>
        <v>0</v>
      </c>
      <c r="BQ39">
        <f>IF(AND('РЕЙД-КОНСТРУКТОР'!K48=0,'РЕЙД-КОНСТРУКТОР'!M48="Важно"),1,0)</f>
        <v>0</v>
      </c>
      <c r="BR39">
        <f>IF(AND('РЕЙД-КОНСТРУКТОР'!K49=0,'РЕЙД-КОНСТРУКТОР'!M49="Важно"),1,0)</f>
        <v>0</v>
      </c>
      <c r="BS39">
        <f>IF(AND('РЕЙД-КОНСТРУКТОР'!K50=0,'РЕЙД-КОНСТРУКТОР'!M50="Важно"),1,0)</f>
        <v>0</v>
      </c>
      <c r="BT39" t="str">
        <f>'РЕЙД-КОНСТРУКТОР'!J8</f>
        <v>Stamina</v>
      </c>
      <c r="BU39" t="str">
        <f>'РЕЙД-КОНСТРУКТОР'!M8</f>
        <v>Важно</v>
      </c>
      <c r="BV39">
        <f>'СПРАВОЧНИК ЭФФЕКТОВ'!F6</f>
        <v>13</v>
      </c>
      <c r="BW39" t="str">
        <f>'СПРАВОЧНИК ЭФФЕКТОВ'!L6</f>
        <v>Bloodmage — любой спек; Knight of Xoroth — любой спек; Necromancer — любой спек; Reaper — любой спек</v>
      </c>
      <c r="BX39">
        <f>IF('РЕЙД-КОНСТРУКТОР'!K8&gt;0,"",IF(BU39="Критично",3000,IF(BU39="Важно",2000,1000))+(100-MIN(BV39,99))+ROW()/100000)</f>
        <v>2087.0003900000002</v>
      </c>
    </row>
    <row r="40" spans="1:76">
      <c r="A40" t="s">
        <v>213</v>
      </c>
      <c r="B40" t="s">
        <v>214</v>
      </c>
      <c r="C40" t="s">
        <v>81</v>
      </c>
      <c r="D40" t="s">
        <v>663</v>
      </c>
      <c r="E40" t="s">
        <v>1872</v>
      </c>
      <c r="F40">
        <v>120</v>
      </c>
      <c r="G40" s="34">
        <v>0.8571428571428571</v>
      </c>
      <c r="H40" t="s">
        <v>1948</v>
      </c>
      <c r="I40" s="35">
        <v>63.47</v>
      </c>
      <c r="J40" s="31">
        <v>9.166666666666666E-2</v>
      </c>
      <c r="K40">
        <f>SUMIF(ТЕХ_Расчет!$A$2:$A$26,D40,ТЕХ_Расчет!$B$2:$B$26)</f>
        <v>0</v>
      </c>
      <c r="L40">
        <f>SUMPRODUCT(ТЕХ_Списки!E28:AW28,$AA$2:$BS$2)</f>
        <v>0</v>
      </c>
      <c r="M40">
        <f>SUMPRODUCT(ТЕХ_Списки!E28:AW28,$AA$3:$BS$3)</f>
        <v>0</v>
      </c>
      <c r="N40">
        <f>SUMPRODUCT(ТЕХ_Списки!E28:AW28,$AA$4:$BS$4)</f>
        <v>0</v>
      </c>
      <c r="O40">
        <f>SUMPRODUCT(ТЕХ_Списки!E28:AW28,$AA$5:$BS$5)</f>
        <v>0</v>
      </c>
      <c r="P40">
        <f>M40*3+N40*2+O40</f>
        <v>0</v>
      </c>
      <c r="Q40">
        <f>IF(C40="Танк",'РЕЙД-КОНСТРУКТОР'!$R$30,IF(C40="Хилер",'РЕЙД-КОНСТРУКТОР'!$R$31,IF(C40="Саппорт",'РЕЙД-КОНСТРУКТОР'!$R$32,'РЕЙД-КОНСТРУКТОР'!$R$33)))</f>
        <v>5</v>
      </c>
      <c r="R40">
        <f>IF(C40="Танк",IF(Q40&gt;0,70,-150),IF(C40="Хилер",IF(Q40&gt;0,55,-120),IF(C40="Саппорт",IF(Q40&gt;0,50,-120),IF(Q40&gt;0,15,-120))))</f>
        <v>55</v>
      </c>
      <c r="S40" s="35">
        <f ca="1">IF(OR('РЕЙД-КОНСТРУКТОР'!$E$3&gt;='РЕЙД-КОНСТРУКТОР'!$R$3,AND('РЕЙД-КОНСТРУКТОР'!$C$3&lt;&gt;"Любая",'РЕЙД-КОНСТРУКТОР'!$C$3&lt;&gt;C40),Y40=0),-999,IF(SUM($AA$3:$BS$3)&gt;0,M40*45+N40*12+O40*2+I40*0.25+R40-X40,IF(SUM($AA$4:$BS$4)&gt;0,N40*25+O40*4+I40*0.5+R40-X40,I40+R40-K40*2-X40)))+0*'РЕЙД-КОНСТРУКТОР'!$N$52</f>
        <v>118.47</v>
      </c>
      <c r="T40">
        <f ca="1">IF(S40&lt;0,"",S40+ROW()/100000)</f>
        <v>118.4704</v>
      </c>
      <c r="U40" t="e">
        <f ca="1">ТЕХ_Расчет!K76</f>
        <v>#NAME?</v>
      </c>
      <c r="V40" t="str">
        <f>IF(SUM($AA$3:$BS$3)&gt;0,"Закрывает "&amp;M40&amp;" крит. и "&amp;N40&amp;" важных; "&amp;IF(Q40&gt;0,"роль нужна","роль уже заполнена")&amp;"; "&amp;H40&amp;", логи "&amp;TEXT(I40,"0")&amp;"/100. "&amp;IF(U40="—","","Эффекты: "&amp;U40)&amp;IF(X40&gt;0,"; повтор: спек "&amp;K40&amp;", класс "&amp;W40&amp;", штраф "&amp;TEXT(X40,"0"),""),IF(SUM($AA$4:$BS$4)&gt;0,"Критичные закрыты; закрывает "&amp;N40&amp;" важных; "&amp;IF(Q40&gt;0,"роль нужна","роль уже заполнена")&amp;"; "&amp;H40&amp;", логи "&amp;TEXT(I40,"0")&amp;"/100."&amp;IF(X40&gt;0," Повтор: спек "&amp;K40&amp;", класс "&amp;W40&amp;", штраф "&amp;TEXT(X40,"0"),""),"Критичные и важные эффекты закрыты — выбор по роли и логам: "&amp;H40&amp;", "&amp;TEXT(I40,"0")&amp;"/100."&amp;IF(X40&gt;0," Повтор: спек "&amp;K40&amp;", класс "&amp;W40&amp;", штраф "&amp;TEXT(X40,"0"),"")))</f>
        <v>Критичные и важные эффекты закрыты — выбор по роли и логам: HPS 866, 63/100.</v>
      </c>
      <c r="W40">
        <f>SUMIF('РЕЙД-КОНСТРУКТОР'!$C$6:$C$30,A40,ТЕХ_Расчет!$B$2:$B$26)</f>
        <v>0</v>
      </c>
      <c r="X40">
        <f>IF('РЕЙД-КОНСТРУКТОР'!$R$2="Без ограничений",0,IF('РЕЙД-КОНСТРУКТОР'!$R$2="Умеренно",K40*25+W40*6,K40*55+W40*12))</f>
        <v>0</v>
      </c>
      <c r="Y40">
        <f>IF('РЕЙД-КОНСТРУКТОР'!$R$2="Без ограничений",1,IF(OR(K40&gt;='РЕЙД-КОНСТРУКТОР'!$T$2,W40&gt;='РЕЙД-КОНСТРУКТОР'!$V$2),0,1))</f>
        <v>1</v>
      </c>
      <c r="BT40" t="str">
        <f>'РЕЙД-КОНСТРУКТОР'!J32</f>
        <v>Concentration</v>
      </c>
      <c r="BU40" t="str">
        <f>'РЕЙД-КОНСТРУКТОР'!M32</f>
        <v>Опционально</v>
      </c>
      <c r="BV40">
        <f>'СПРАВОЧНИК ЭФФЕКТОВ'!F30</f>
        <v>13</v>
      </c>
      <c r="BW40" t="str">
        <f>'СПРАВОЧНИК ЭФФЕКТОВ'!L30</f>
        <v>Barbarian — любой спек; Bloodmage — любой спек; Stormbringer — любой спек; Tinker — любой спек</v>
      </c>
      <c r="BX40">
        <f>IF('РЕЙД-КОНСТРУКТОР'!K32&gt;0,"",IF(BU40="Критично",3000,IF(BU40="Важно",2000,1000))+(100-MIN(BV40,99))+ROW()/100000)</f>
        <v>1087.0003999999999</v>
      </c>
    </row>
    <row r="41" spans="1:76">
      <c r="A41" t="s">
        <v>256</v>
      </c>
      <c r="B41" t="s">
        <v>262</v>
      </c>
      <c r="C41" t="s">
        <v>135</v>
      </c>
      <c r="D41" t="s">
        <v>680</v>
      </c>
      <c r="E41" t="s">
        <v>1871</v>
      </c>
      <c r="F41">
        <v>14</v>
      </c>
      <c r="G41" s="34">
        <v>0.41176470588235292</v>
      </c>
      <c r="H41" t="s">
        <v>1964</v>
      </c>
      <c r="I41" s="35">
        <v>63.35</v>
      </c>
      <c r="J41" s="31">
        <v>0</v>
      </c>
      <c r="K41">
        <f>SUMIF(ТЕХ_Расчет!$A$2:$A$26,D41,ТЕХ_Расчет!$B$2:$B$26)</f>
        <v>0</v>
      </c>
      <c r="L41">
        <f>SUMPRODUCT(ТЕХ_Списки!E45:AW45,$AA$2:$BS$2)</f>
        <v>0</v>
      </c>
      <c r="M41">
        <f>SUMPRODUCT(ТЕХ_Списки!E45:AW45,$AA$3:$BS$3)</f>
        <v>0</v>
      </c>
      <c r="N41">
        <f>SUMPRODUCT(ТЕХ_Списки!E45:AW45,$AA$4:$BS$4)</f>
        <v>0</v>
      </c>
      <c r="O41">
        <f>SUMPRODUCT(ТЕХ_Списки!E45:AW45,$AA$5:$BS$5)</f>
        <v>0</v>
      </c>
      <c r="P41">
        <f>M41*3+N41*2+O41</f>
        <v>0</v>
      </c>
      <c r="Q41">
        <f>IF(C41="Танк",'РЕЙД-КОНСТРУКТОР'!$R$30,IF(C41="Хилер",'РЕЙД-КОНСТРУКТОР'!$R$31,IF(C41="Саппорт",'РЕЙД-КОНСТРУКТОР'!$R$32,'РЕЙД-КОНСТРУКТОР'!$R$33)))</f>
        <v>16</v>
      </c>
      <c r="R41">
        <f>IF(C41="Танк",IF(Q41&gt;0,70,-150),IF(C41="Хилер",IF(Q41&gt;0,55,-120),IF(C41="Саппорт",IF(Q41&gt;0,50,-120),IF(Q41&gt;0,15,-120))))</f>
        <v>15</v>
      </c>
      <c r="S41" s="35">
        <f ca="1">IF(OR('РЕЙД-КОНСТРУКТОР'!$E$3&gt;='РЕЙД-КОНСТРУКТОР'!$R$3,AND('РЕЙД-КОНСТРУКТОР'!$C$3&lt;&gt;"Любая",'РЕЙД-КОНСТРУКТОР'!$C$3&lt;&gt;C41),Y41=0),-999,IF(SUM($AA$3:$BS$3)&gt;0,M41*45+N41*12+O41*2+I41*0.25+R41-X41,IF(SUM($AA$4:$BS$4)&gt;0,N41*25+O41*4+I41*0.5+R41-X41,I41+R41-K41*2-X41)))+0*'РЕЙД-КОНСТРУКТОР'!$N$52</f>
        <v>78.349999999999994</v>
      </c>
      <c r="T41">
        <f ca="1">IF(S41&lt;0,"",S41+ROW()/100000)</f>
        <v>78.350409999999997</v>
      </c>
      <c r="U41" t="e">
        <f ca="1">ТЕХ_Расчет!K93</f>
        <v>#NAME?</v>
      </c>
      <c r="V41" t="str">
        <f>IF(SUM($AA$3:$BS$3)&gt;0,"Закрывает "&amp;M41&amp;" крит. и "&amp;N41&amp;" важных; "&amp;IF(Q41&gt;0,"роль нужна","роль уже заполнена")&amp;"; "&amp;H41&amp;", логи "&amp;TEXT(I41,"0")&amp;"/100. "&amp;IF(U41="—","","Эффекты: "&amp;U41)&amp;IF(X41&gt;0,"; повтор: спек "&amp;K41&amp;", класс "&amp;W41&amp;", штраф "&amp;TEXT(X41,"0"),""),IF(SUM($AA$4:$BS$4)&gt;0,"Критичные закрыты; закрывает "&amp;N41&amp;" важных; "&amp;IF(Q41&gt;0,"роль нужна","роль уже заполнена")&amp;"; "&amp;H41&amp;", логи "&amp;TEXT(I41,"0")&amp;"/100."&amp;IF(X41&gt;0," Повтор: спек "&amp;K41&amp;", класс "&amp;W41&amp;", штраф "&amp;TEXT(X41,"0"),""),"Критичные и важные эффекты закрыты — выбор по роли и логам: "&amp;H41&amp;", "&amp;TEXT(I41,"0")&amp;"/100."&amp;IF(X41&gt;0," Повтор: спек "&amp;K41&amp;", класс "&amp;W41&amp;", штраф "&amp;TEXT(X41,"0"),"")))</f>
        <v>Критичные и важные эффекты закрыты — выбор по роли и логам: DPS 4164, 63/100.</v>
      </c>
      <c r="W41">
        <f>SUMIF('РЕЙД-КОНСТРУКТОР'!$C$6:$C$30,A41,ТЕХ_Расчет!$B$2:$B$26)</f>
        <v>0</v>
      </c>
      <c r="X41">
        <f>IF('РЕЙД-КОНСТРУКТОР'!$R$2="Без ограничений",0,IF('РЕЙД-КОНСТРУКТОР'!$R$2="Умеренно",K41*25+W41*6,K41*55+W41*12))</f>
        <v>0</v>
      </c>
      <c r="Y41">
        <f>IF('РЕЙД-КОНСТРУКТОР'!$R$2="Без ограничений",1,IF(OR(K41&gt;='РЕЙД-КОНСТРУКТОР'!$T$2,W41&gt;='РЕЙД-КОНСТРУКТОР'!$V$2),0,1))</f>
        <v>1</v>
      </c>
      <c r="BT41" t="str">
        <f>'РЕЙД-КОНСТРУКТОР'!J49</f>
        <v>Cast Speed Slow</v>
      </c>
      <c r="BU41" t="str">
        <f>'РЕЙД-КОНСТРУКТОР'!M49</f>
        <v>Опционально</v>
      </c>
      <c r="BV41">
        <f>'СПРАВОЧНИК ЭФФЕКТОВ'!F47</f>
        <v>15</v>
      </c>
      <c r="BW41" t="str">
        <f>'СПРАВОЧНИК ЭФФЕКТОВ'!L47</f>
        <v>Venomancer — любой спек; Witch Doctor — любой спек; Witch Hunter — любой спек; Chronomancer — Infinite; + ещё 3 классов</v>
      </c>
      <c r="BX41">
        <f>IF('РЕЙД-КОНСТРУКТОР'!K49&gt;0,"",IF(BU41="Критично",3000,IF(BU41="Важно",2000,1000))+(100-MIN(BV41,99))+ROW()/100000)</f>
        <v>1085.0004100000001</v>
      </c>
    </row>
    <row r="42" spans="1:76">
      <c r="A42" t="s">
        <v>204</v>
      </c>
      <c r="B42" t="s">
        <v>205</v>
      </c>
      <c r="C42" t="s">
        <v>78</v>
      </c>
      <c r="D42" t="s">
        <v>660</v>
      </c>
      <c r="E42" t="s">
        <v>1874</v>
      </c>
      <c r="F42">
        <v>23</v>
      </c>
      <c r="G42" s="34">
        <v>0.53488372093023251</v>
      </c>
      <c r="H42" t="s">
        <v>1945</v>
      </c>
      <c r="I42" s="35">
        <v>62.16</v>
      </c>
      <c r="J42" s="31">
        <v>0</v>
      </c>
      <c r="K42">
        <f>SUMIF(ТЕХ_Расчет!$A$2:$A$26,D42,ТЕХ_Расчет!$B$2:$B$26)</f>
        <v>0</v>
      </c>
      <c r="L42">
        <f>SUMPRODUCT(ТЕХ_Списки!E25:AW25,$AA$2:$BS$2)</f>
        <v>0</v>
      </c>
      <c r="M42">
        <f>SUMPRODUCT(ТЕХ_Списки!E25:AW25,$AA$3:$BS$3)</f>
        <v>0</v>
      </c>
      <c r="N42">
        <f>SUMPRODUCT(ТЕХ_Списки!E25:AW25,$AA$4:$BS$4)</f>
        <v>0</v>
      </c>
      <c r="O42">
        <f>SUMPRODUCT(ТЕХ_Списки!E25:AW25,$AA$5:$BS$5)</f>
        <v>0</v>
      </c>
      <c r="P42">
        <f>M42*3+N42*2+O42</f>
        <v>0</v>
      </c>
      <c r="Q42">
        <f>IF(C42="Танк",'РЕЙД-КОНСТРУКТОР'!$R$30,IF(C42="Хилер",'РЕЙД-КОНСТРУКТОР'!$R$31,IF(C42="Саппорт",'РЕЙД-КОНСТРУКТОР'!$R$32,'РЕЙД-КОНСТРУКТОР'!$R$33)))</f>
        <v>2</v>
      </c>
      <c r="R42">
        <f>IF(C42="Танк",IF(Q42&gt;0,70,-150),IF(C42="Хилер",IF(Q42&gt;0,55,-120),IF(C42="Саппорт",IF(Q42&gt;0,50,-120),IF(Q42&gt;0,15,-120))))</f>
        <v>70</v>
      </c>
      <c r="S42" s="35">
        <f ca="1">IF(OR('РЕЙД-КОНСТРУКТОР'!$E$3&gt;='РЕЙД-КОНСТРУКТОР'!$R$3,AND('РЕЙД-КОНСТРУКТОР'!$C$3&lt;&gt;"Любая",'РЕЙД-КОНСТРУКТОР'!$C$3&lt;&gt;C42),Y42=0),-999,IF(SUM($AA$3:$BS$3)&gt;0,M42*45+N42*12+O42*2+I42*0.25+R42-X42,IF(SUM($AA$4:$BS$4)&gt;0,N42*25+O42*4+I42*0.5+R42-X42,I42+R42-K42*2-X42)))+0*'РЕЙД-КОНСТРУКТОР'!$N$52</f>
        <v>132.16</v>
      </c>
      <c r="T42">
        <f ca="1">IF(S42&lt;0,"",S42+ROW()/100000)</f>
        <v>132.16041999999999</v>
      </c>
      <c r="U42" t="e">
        <f ca="1">ТЕХ_Расчет!K73</f>
        <v>#NAME?</v>
      </c>
      <c r="V42" t="str">
        <f>IF(SUM($AA$3:$BS$3)&gt;0,"Закрывает "&amp;M42&amp;" крит. и "&amp;N42&amp;" важных; "&amp;IF(Q42&gt;0,"роль нужна","роль уже заполнена")&amp;"; "&amp;H42&amp;", логи "&amp;TEXT(I42,"0")&amp;"/100. "&amp;IF(U42="—","","Эффекты: "&amp;U42)&amp;IF(X42&gt;0,"; повтор: спек "&amp;K42&amp;", класс "&amp;W42&amp;", штраф "&amp;TEXT(X42,"0"),""),IF(SUM($AA$4:$BS$4)&gt;0,"Критичные закрыты; закрывает "&amp;N42&amp;" важных; "&amp;IF(Q42&gt;0,"роль нужна","роль уже заполнена")&amp;"; "&amp;H42&amp;", логи "&amp;TEXT(I42,"0")&amp;"/100."&amp;IF(X42&gt;0," Повтор: спек "&amp;K42&amp;", класс "&amp;W42&amp;", штраф "&amp;TEXT(X42,"0"),""),"Критичные и важные эффекты закрыты — выбор по роли и логам: "&amp;H42&amp;", "&amp;TEXT(I42,"0")&amp;"/100."&amp;IF(X42&gt;0," Повтор: спек "&amp;K42&amp;", класс "&amp;W42&amp;", штраф "&amp;TEXT(X42,"0"),"")))</f>
        <v>Критичные и важные эффекты закрыты — выбор по роли и логам: DTPS 483, 62/100.</v>
      </c>
      <c r="W42">
        <f>SUMIF('РЕЙД-КОНСТРУКТОР'!$C$6:$C$30,A42,ТЕХ_Расчет!$B$2:$B$26)</f>
        <v>0</v>
      </c>
      <c r="X42">
        <f>IF('РЕЙД-КОНСТРУКТОР'!$R$2="Без ограничений",0,IF('РЕЙД-КОНСТРУКТОР'!$R$2="Умеренно",K42*25+W42*6,K42*55+W42*12))</f>
        <v>0</v>
      </c>
      <c r="Y42">
        <f>IF('РЕЙД-КОНСТРУКТОР'!$R$2="Без ограничений",1,IF(OR(K42&gt;='РЕЙД-КОНСТРУКТОР'!$T$2,W42&gt;='РЕЙД-КОНСТРУКТОР'!$V$2),0,1))</f>
        <v>1</v>
      </c>
      <c r="BT42" t="str">
        <f>'РЕЙД-КОНСТРУКТОР'!J29</f>
        <v>5% Resource Reduction</v>
      </c>
      <c r="BU42" t="str">
        <f>'РЕЙД-КОНСТРУКТОР'!M29</f>
        <v>Опционально</v>
      </c>
      <c r="BV42">
        <f>'СПРАВОЧНИК ЭФФЕКТОВ'!F27</f>
        <v>13</v>
      </c>
      <c r="BW42" t="str">
        <f>'СПРАВОЧНИК ЭФФЕКТОВ'!L27</f>
        <v>Knight of Xoroth — любой спек; Runemaster — любой спек; Sun Cleric — любой спек; Witch Doctor — любой спек</v>
      </c>
      <c r="BX42">
        <f>IF('РЕЙД-КОНСТРУКТОР'!K29&gt;0,"",IF(BU42="Критично",3000,IF(BU42="Важно",2000,1000))+(100-MIN(BV42,99))+ROW()/100000)</f>
        <v>1087.0004200000001</v>
      </c>
    </row>
    <row r="43" spans="1:76">
      <c r="A43" t="s">
        <v>183</v>
      </c>
      <c r="B43" t="s">
        <v>189</v>
      </c>
      <c r="C43" t="s">
        <v>139</v>
      </c>
      <c r="D43" t="s">
        <v>655</v>
      </c>
      <c r="E43" t="s">
        <v>1871</v>
      </c>
      <c r="F43">
        <v>12</v>
      </c>
      <c r="G43" s="34">
        <v>0.375</v>
      </c>
      <c r="H43" t="s">
        <v>1940</v>
      </c>
      <c r="I43" s="35">
        <v>60.6</v>
      </c>
      <c r="J43" s="31">
        <v>0</v>
      </c>
      <c r="K43">
        <f>SUMIF(ТЕХ_Расчет!$A$2:$A$26,D43,ТЕХ_Расчет!$B$2:$B$26)</f>
        <v>0</v>
      </c>
      <c r="L43">
        <f>SUMPRODUCT(ТЕХ_Списки!E20:AW20,$AA$2:$BS$2)</f>
        <v>0</v>
      </c>
      <c r="M43">
        <f>SUMPRODUCT(ТЕХ_Списки!E20:AW20,$AA$3:$BS$3)</f>
        <v>0</v>
      </c>
      <c r="N43">
        <f>SUMPRODUCT(ТЕХ_Списки!E20:AW20,$AA$4:$BS$4)</f>
        <v>0</v>
      </c>
      <c r="O43">
        <f>SUMPRODUCT(ТЕХ_Списки!E20:AW20,$AA$5:$BS$5)</f>
        <v>0</v>
      </c>
      <c r="P43">
        <f>M43*3+N43*2+O43</f>
        <v>0</v>
      </c>
      <c r="Q43">
        <f>IF(C43="Танк",'РЕЙД-КОНСТРУКТОР'!$R$30,IF(C43="Хилер",'РЕЙД-КОНСТРУКТОР'!$R$31,IF(C43="Саппорт",'РЕЙД-КОНСТРУКТОР'!$R$32,'РЕЙД-КОНСТРУКТОР'!$R$33)))</f>
        <v>16</v>
      </c>
      <c r="R43">
        <f>IF(C43="Танк",IF(Q43&gt;0,70,-150),IF(C43="Хилер",IF(Q43&gt;0,55,-120),IF(C43="Саппорт",IF(Q43&gt;0,50,-120),IF(Q43&gt;0,15,-120))))</f>
        <v>15</v>
      </c>
      <c r="S43" s="35">
        <f ca="1">IF(OR('РЕЙД-КОНСТРУКТОР'!$E$3&gt;='РЕЙД-КОНСТРУКТОР'!$R$3,AND('РЕЙД-КОНСТРУКТОР'!$C$3&lt;&gt;"Любая",'РЕЙД-КОНСТРУКТОР'!$C$3&lt;&gt;C43),Y43=0),-999,IF(SUM($AA$3:$BS$3)&gt;0,M43*45+N43*12+O43*2+I43*0.25+R43-X43,IF(SUM($AA$4:$BS$4)&gt;0,N43*25+O43*4+I43*0.5+R43-X43,I43+R43-K43*2-X43)))+0*'РЕЙД-КОНСТРУКТОР'!$N$52</f>
        <v>75.599999999999994</v>
      </c>
      <c r="T43">
        <f ca="1">IF(S43&lt;0,"",S43+ROW()/100000)</f>
        <v>75.600429999999989</v>
      </c>
      <c r="U43" t="e">
        <f ca="1">ТЕХ_Расчет!K68</f>
        <v>#NAME?</v>
      </c>
      <c r="V43" t="str">
        <f>IF(SUM($AA$3:$BS$3)&gt;0,"Закрывает "&amp;M43&amp;" крит. и "&amp;N43&amp;" важных; "&amp;IF(Q43&gt;0,"роль нужна","роль уже заполнена")&amp;"; "&amp;H43&amp;", логи "&amp;TEXT(I43,"0")&amp;"/100. "&amp;IF(U43="—","","Эффекты: "&amp;U43)&amp;IF(X43&gt;0,"; повтор: спек "&amp;K43&amp;", класс "&amp;W43&amp;", штраф "&amp;TEXT(X43,"0"),""),IF(SUM($AA$4:$BS$4)&gt;0,"Критичные закрыты; закрывает "&amp;N43&amp;" важных; "&amp;IF(Q43&gt;0,"роль нужна","роль уже заполнена")&amp;"; "&amp;H43&amp;", логи "&amp;TEXT(I43,"0")&amp;"/100."&amp;IF(X43&gt;0," Повтор: спек "&amp;K43&amp;", класс "&amp;W43&amp;", штраф "&amp;TEXT(X43,"0"),""),"Критичные и важные эффекты закрыты — выбор по роли и логам: "&amp;H43&amp;", "&amp;TEXT(I43,"0")&amp;"/100."&amp;IF(X43&gt;0," Повтор: спек "&amp;K43&amp;", класс "&amp;W43&amp;", штраф "&amp;TEXT(X43,"0"),"")))</f>
        <v>Критичные и важные эффекты закрыты — выбор по роли и логам: DPS 3716, 61/100.</v>
      </c>
      <c r="W43">
        <f>SUMIF('РЕЙД-КОНСТРУКТОР'!$C$6:$C$30,A43,ТЕХ_Расчет!$B$2:$B$26)</f>
        <v>0</v>
      </c>
      <c r="X43">
        <f>IF('РЕЙД-КОНСТРУКТОР'!$R$2="Без ограничений",0,IF('РЕЙД-КОНСТРУКТОР'!$R$2="Умеренно",K43*25+W43*6,K43*55+W43*12))</f>
        <v>0</v>
      </c>
      <c r="Y43">
        <f>IF('РЕЙД-КОНСТРУКТОР'!$R$2="Без ограничений",1,IF(OR(K43&gt;='РЕЙД-КОНСТРУКТОР'!$T$2,W43&gt;='РЕЙД-КОНСТРУКТОР'!$V$2),0,1))</f>
        <v>1</v>
      </c>
      <c r="BT43" t="str">
        <f>'РЕЙД-КОНСТРУКТОР'!J24</f>
        <v>Fire Resistance</v>
      </c>
      <c r="BU43" t="str">
        <f>'РЕЙД-КОНСТРУКТОР'!M24</f>
        <v>Опционально</v>
      </c>
      <c r="BV43">
        <f>'СПРАВОЧНИК ЭФФЕКТОВ'!F22</f>
        <v>19</v>
      </c>
      <c r="BW43" t="str">
        <f>'СПРАВОЧНИК ЭФФЕКТОВ'!L22</f>
        <v>Felsworn — любой спек; Knight of Xoroth — любой спек; Necromancer — любой спек; Pyromancer — любой спек; + ещё 2 классов</v>
      </c>
      <c r="BX43">
        <f>IF('РЕЙД-КОНСТРУКТОР'!K24&gt;0,"",IF(BU43="Критично",3000,IF(BU43="Важно",2000,1000))+(100-MIN(BV43,99))+ROW()/100000)</f>
        <v>1081.0004300000001</v>
      </c>
    </row>
    <row r="44" spans="1:76">
      <c r="A44" t="s">
        <v>285</v>
      </c>
      <c r="B44" t="s">
        <v>289</v>
      </c>
      <c r="C44" t="s">
        <v>135</v>
      </c>
      <c r="D44" t="s">
        <v>689</v>
      </c>
      <c r="E44" t="s">
        <v>1871</v>
      </c>
      <c r="F44">
        <v>151</v>
      </c>
      <c r="G44" s="34">
        <v>0.88304093567251463</v>
      </c>
      <c r="H44" t="s">
        <v>1973</v>
      </c>
      <c r="I44" s="35">
        <v>60.35</v>
      </c>
      <c r="J44" s="31">
        <v>0</v>
      </c>
      <c r="K44">
        <f>SUMIF(ТЕХ_Расчет!$A$2:$A$26,D44,ТЕХ_Расчет!$B$2:$B$26)</f>
        <v>0</v>
      </c>
      <c r="L44">
        <f>SUMPRODUCT(ТЕХ_Списки!E54:AW54,$AA$2:$BS$2)</f>
        <v>0</v>
      </c>
      <c r="M44">
        <f>SUMPRODUCT(ТЕХ_Списки!E54:AW54,$AA$3:$BS$3)</f>
        <v>0</v>
      </c>
      <c r="N44">
        <f>SUMPRODUCT(ТЕХ_Списки!E54:AW54,$AA$4:$BS$4)</f>
        <v>0</v>
      </c>
      <c r="O44">
        <f>SUMPRODUCT(ТЕХ_Списки!E54:AW54,$AA$5:$BS$5)</f>
        <v>0</v>
      </c>
      <c r="P44">
        <f>M44*3+N44*2+O44</f>
        <v>0</v>
      </c>
      <c r="Q44">
        <f>IF(C44="Танк",'РЕЙД-КОНСТРУКТОР'!$R$30,IF(C44="Хилер",'РЕЙД-КОНСТРУКТОР'!$R$31,IF(C44="Саппорт",'РЕЙД-КОНСТРУКТОР'!$R$32,'РЕЙД-КОНСТРУКТОР'!$R$33)))</f>
        <v>16</v>
      </c>
      <c r="R44">
        <f>IF(C44="Танк",IF(Q44&gt;0,70,-150),IF(C44="Хилер",IF(Q44&gt;0,55,-120),IF(C44="Саппорт",IF(Q44&gt;0,50,-120),IF(Q44&gt;0,15,-120))))</f>
        <v>15</v>
      </c>
      <c r="S44" s="35">
        <f ca="1">IF(OR('РЕЙД-КОНСТРУКТОР'!$E$3&gt;='РЕЙД-КОНСТРУКТОР'!$R$3,AND('РЕЙД-КОНСТРУКТОР'!$C$3&lt;&gt;"Любая",'РЕЙД-КОНСТРУКТОР'!$C$3&lt;&gt;C44),Y44=0),-999,IF(SUM($AA$3:$BS$3)&gt;0,M44*45+N44*12+O44*2+I44*0.25+R44-X44,IF(SUM($AA$4:$BS$4)&gt;0,N44*25+O44*4+I44*0.5+R44-X44,I44+R44-K44*2-X44)))+0*'РЕЙД-КОНСТРУКТОР'!$N$52</f>
        <v>75.349999999999994</v>
      </c>
      <c r="T44">
        <f ca="1">IF(S44&lt;0,"",S44+ROW()/100000)</f>
        <v>75.350439999999992</v>
      </c>
      <c r="U44" t="e">
        <f ca="1">ТЕХ_Расчет!K102</f>
        <v>#NAME?</v>
      </c>
      <c r="V44" t="str">
        <f>IF(SUM($AA$3:$BS$3)&gt;0,"Закрывает "&amp;M44&amp;" крит. и "&amp;N44&amp;" важных; "&amp;IF(Q44&gt;0,"роль нужна","роль уже заполнена")&amp;"; "&amp;H44&amp;", логи "&amp;TEXT(I44,"0")&amp;"/100. "&amp;IF(U44="—","","Эффекты: "&amp;U44)&amp;IF(X44&gt;0,"; повтор: спек "&amp;K44&amp;", класс "&amp;W44&amp;", штраф "&amp;TEXT(X44,"0"),""),IF(SUM($AA$4:$BS$4)&gt;0,"Критичные закрыты; закрывает "&amp;N44&amp;" важных; "&amp;IF(Q44&gt;0,"роль нужна","роль уже заполнена")&amp;"; "&amp;H44&amp;", логи "&amp;TEXT(I44,"0")&amp;"/100."&amp;IF(X44&gt;0," Повтор: спек "&amp;K44&amp;", класс "&amp;W44&amp;", штраф "&amp;TEXT(X44,"0"),""),"Критичные и важные эффекты закрыты — выбор по роли и логам: "&amp;H44&amp;", "&amp;TEXT(I44,"0")&amp;"/100."&amp;IF(X44&gt;0," Повтор: спек "&amp;K44&amp;", класс "&amp;W44&amp;", штраф "&amp;TEXT(X44,"0"),"")))</f>
        <v>Критичные и важные эффекты закрыты — выбор по роли и логам: DPS 3534, 60/100.</v>
      </c>
      <c r="W44">
        <f>SUMIF('РЕЙД-КОНСТРУКТОР'!$C$6:$C$30,A44,ТЕХ_Расчет!$B$2:$B$26)</f>
        <v>0</v>
      </c>
      <c r="X44">
        <f>IF('РЕЙД-КОНСТРУКТОР'!$R$2="Без ограничений",0,IF('РЕЙД-КОНСТРУКТОР'!$R$2="Умеренно",K44*25+W44*6,K44*55+W44*12))</f>
        <v>0</v>
      </c>
      <c r="Y44">
        <f>IF('РЕЙД-КОНСТРУКТОР'!$R$2="Без ограничений",1,IF(OR(K44&gt;='РЕЙД-КОНСТРУКТОР'!$T$2,W44&gt;='РЕЙД-КОНСТРУКТОР'!$V$2),0,1))</f>
        <v>1</v>
      </c>
    </row>
    <row r="45" spans="1:76">
      <c r="A45" t="s">
        <v>294</v>
      </c>
      <c r="B45" t="s">
        <v>295</v>
      </c>
      <c r="C45" t="s">
        <v>139</v>
      </c>
      <c r="D45" t="s">
        <v>691</v>
      </c>
      <c r="E45" t="s">
        <v>1871</v>
      </c>
      <c r="F45">
        <v>66</v>
      </c>
      <c r="G45" s="34">
        <v>0.76744186046511631</v>
      </c>
      <c r="H45" t="s">
        <v>1975</v>
      </c>
      <c r="I45" s="35">
        <v>59.79</v>
      </c>
      <c r="J45" s="31">
        <v>0.15151515151515152</v>
      </c>
      <c r="K45">
        <f>SUMIF(ТЕХ_Расчет!$A$2:$A$26,D45,ТЕХ_Расчет!$B$2:$B$26)</f>
        <v>0</v>
      </c>
      <c r="L45">
        <f>SUMPRODUCT(ТЕХ_Списки!E56:AW56,$AA$2:$BS$2)</f>
        <v>0</v>
      </c>
      <c r="M45">
        <f>SUMPRODUCT(ТЕХ_Списки!E56:AW56,$AA$3:$BS$3)</f>
        <v>0</v>
      </c>
      <c r="N45">
        <f>SUMPRODUCT(ТЕХ_Списки!E56:AW56,$AA$4:$BS$4)</f>
        <v>0</v>
      </c>
      <c r="O45">
        <f>SUMPRODUCT(ТЕХ_Списки!E56:AW56,$AA$5:$BS$5)</f>
        <v>0</v>
      </c>
      <c r="P45">
        <f>M45*3+N45*2+O45</f>
        <v>0</v>
      </c>
      <c r="Q45">
        <f>IF(C45="Танк",'РЕЙД-КОНСТРУКТОР'!$R$30,IF(C45="Хилер",'РЕЙД-КОНСТРУКТОР'!$R$31,IF(C45="Саппорт",'РЕЙД-КОНСТРУКТОР'!$R$32,'РЕЙД-КОНСТРУКТОР'!$R$33)))</f>
        <v>16</v>
      </c>
      <c r="R45">
        <f>IF(C45="Танк",IF(Q45&gt;0,70,-150),IF(C45="Хилер",IF(Q45&gt;0,55,-120),IF(C45="Саппорт",IF(Q45&gt;0,50,-120),IF(Q45&gt;0,15,-120))))</f>
        <v>15</v>
      </c>
      <c r="S45" s="35">
        <f ca="1">IF(OR('РЕЙД-КОНСТРУКТОР'!$E$3&gt;='РЕЙД-КОНСТРУКТОР'!$R$3,AND('РЕЙД-КОНСТРУКТОР'!$C$3&lt;&gt;"Любая",'РЕЙД-КОНСТРУКТОР'!$C$3&lt;&gt;C45),Y45=0),-999,IF(SUM($AA$3:$BS$3)&gt;0,M45*45+N45*12+O45*2+I45*0.25+R45-X45,IF(SUM($AA$4:$BS$4)&gt;0,N45*25+O45*4+I45*0.5+R45-X45,I45+R45-K45*2-X45)))+0*'РЕЙД-КОНСТРУКТОР'!$N$52</f>
        <v>74.789999999999992</v>
      </c>
      <c r="T45">
        <f ca="1">IF(S45&lt;0,"",S45+ROW()/100000)</f>
        <v>74.790449999999993</v>
      </c>
      <c r="U45" t="e">
        <f ca="1">ТЕХ_Расчет!K104</f>
        <v>#NAME?</v>
      </c>
      <c r="V45" t="str">
        <f>IF(SUM($AA$3:$BS$3)&gt;0,"Закрывает "&amp;M45&amp;" крит. и "&amp;N45&amp;" важных; "&amp;IF(Q45&gt;0,"роль нужна","роль уже заполнена")&amp;"; "&amp;H45&amp;", логи "&amp;TEXT(I45,"0")&amp;"/100. "&amp;IF(U45="—","","Эффекты: "&amp;U45)&amp;IF(X45&gt;0,"; повтор: спек "&amp;K45&amp;", класс "&amp;W45&amp;", штраф "&amp;TEXT(X45,"0"),""),IF(SUM($AA$4:$BS$4)&gt;0,"Критичные закрыты; закрывает "&amp;N45&amp;" важных; "&amp;IF(Q45&gt;0,"роль нужна","роль уже заполнена")&amp;"; "&amp;H45&amp;", логи "&amp;TEXT(I45,"0")&amp;"/100."&amp;IF(X45&gt;0," Повтор: спек "&amp;K45&amp;", класс "&amp;W45&amp;", штраф "&amp;TEXT(X45,"0"),""),"Критичные и важные эффекты закрыты — выбор по роли и логам: "&amp;H45&amp;", "&amp;TEXT(I45,"0")&amp;"/100."&amp;IF(X45&gt;0," Повтор: спек "&amp;K45&amp;", класс "&amp;W45&amp;", штраф "&amp;TEXT(X45,"0"),"")))</f>
        <v>Критичные и важные эффекты закрыты — выбор по роли и логам: DPS 3735, 60/100.</v>
      </c>
      <c r="W45">
        <f>SUMIF('РЕЙД-КОНСТРУКТОР'!$C$6:$C$30,A45,ТЕХ_Расчет!$B$2:$B$26)</f>
        <v>0</v>
      </c>
      <c r="X45">
        <f>IF('РЕЙД-КОНСТРУКТОР'!$R$2="Без ограничений",0,IF('РЕЙД-КОНСТРУКТОР'!$R$2="Умеренно",K45*25+W45*6,K45*55+W45*12))</f>
        <v>0</v>
      </c>
      <c r="Y45">
        <f>IF('РЕЙД-КОНСТРУКТОР'!$R$2="Без ограничений",1,IF(OR(K45&gt;='РЕЙД-КОНСТРУКТОР'!$T$2,W45&gt;='РЕЙД-КОНСТРУКТОР'!$V$2),0,1))</f>
        <v>1</v>
      </c>
    </row>
    <row r="46" spans="1:76">
      <c r="A46" t="s">
        <v>213</v>
      </c>
      <c r="B46" t="s">
        <v>221</v>
      </c>
      <c r="C46" t="s">
        <v>78</v>
      </c>
      <c r="D46" t="s">
        <v>666</v>
      </c>
      <c r="E46" t="s">
        <v>1874</v>
      </c>
      <c r="F46">
        <v>22</v>
      </c>
      <c r="G46" s="34">
        <v>0.52380952380952384</v>
      </c>
      <c r="H46" t="s">
        <v>1951</v>
      </c>
      <c r="I46" s="35">
        <v>59.05</v>
      </c>
      <c r="J46" s="31">
        <v>0.40909090909090912</v>
      </c>
      <c r="K46">
        <f>SUMIF(ТЕХ_Расчет!$A$2:$A$26,D46,ТЕХ_Расчет!$B$2:$B$26)</f>
        <v>0</v>
      </c>
      <c r="L46">
        <f>SUMPRODUCT(ТЕХ_Списки!E31:AW31,$AA$2:$BS$2)</f>
        <v>0</v>
      </c>
      <c r="M46">
        <f>SUMPRODUCT(ТЕХ_Списки!E31:AW31,$AA$3:$BS$3)</f>
        <v>0</v>
      </c>
      <c r="N46">
        <f>SUMPRODUCT(ТЕХ_Списки!E31:AW31,$AA$4:$BS$4)</f>
        <v>0</v>
      </c>
      <c r="O46">
        <f>SUMPRODUCT(ТЕХ_Списки!E31:AW31,$AA$5:$BS$5)</f>
        <v>0</v>
      </c>
      <c r="P46">
        <f>M46*3+N46*2+O46</f>
        <v>0</v>
      </c>
      <c r="Q46">
        <f>IF(C46="Танк",'РЕЙД-КОНСТРУКТОР'!$R$30,IF(C46="Хилер",'РЕЙД-КОНСТРУКТОР'!$R$31,IF(C46="Саппорт",'РЕЙД-КОНСТРУКТОР'!$R$32,'РЕЙД-КОНСТРУКТОР'!$R$33)))</f>
        <v>2</v>
      </c>
      <c r="R46">
        <f>IF(C46="Танк",IF(Q46&gt;0,70,-150),IF(C46="Хилер",IF(Q46&gt;0,55,-120),IF(C46="Саппорт",IF(Q46&gt;0,50,-120),IF(Q46&gt;0,15,-120))))</f>
        <v>70</v>
      </c>
      <c r="S46" s="35">
        <f ca="1">IF(OR('РЕЙД-КОНСТРУКТОР'!$E$3&gt;='РЕЙД-КОНСТРУКТОР'!$R$3,AND('РЕЙД-КОНСТРУКТОР'!$C$3&lt;&gt;"Любая",'РЕЙД-КОНСТРУКТОР'!$C$3&lt;&gt;C46),Y46=0),-999,IF(SUM($AA$3:$BS$3)&gt;0,M46*45+N46*12+O46*2+I46*0.25+R46-X46,IF(SUM($AA$4:$BS$4)&gt;0,N46*25+O46*4+I46*0.5+R46-X46,I46+R46-K46*2-X46)))+0*'РЕЙД-КОНСТРУКТОР'!$N$52</f>
        <v>129.05000000000001</v>
      </c>
      <c r="T46">
        <f ca="1">IF(S46&lt;0,"",S46+ROW()/100000)</f>
        <v>129.05046000000002</v>
      </c>
      <c r="U46" t="e">
        <f ca="1">ТЕХ_Расчет!K79</f>
        <v>#NAME?</v>
      </c>
      <c r="V46" t="str">
        <f>IF(SUM($AA$3:$BS$3)&gt;0,"Закрывает "&amp;M46&amp;" крит. и "&amp;N46&amp;" важных; "&amp;IF(Q46&gt;0,"роль нужна","роль уже заполнена")&amp;"; "&amp;H46&amp;", логи "&amp;TEXT(I46,"0")&amp;"/100. "&amp;IF(U46="—","","Эффекты: "&amp;U46)&amp;IF(X46&gt;0,"; повтор: спек "&amp;K46&amp;", класс "&amp;W46&amp;", штраф "&amp;TEXT(X46,"0"),""),IF(SUM($AA$4:$BS$4)&gt;0,"Критичные закрыты; закрывает "&amp;N46&amp;" важных; "&amp;IF(Q46&gt;0,"роль нужна","роль уже заполнена")&amp;"; "&amp;H46&amp;", логи "&amp;TEXT(I46,"0")&amp;"/100."&amp;IF(X46&gt;0," Повтор: спек "&amp;K46&amp;", класс "&amp;W46&amp;", штраф "&amp;TEXT(X46,"0"),""),"Критичные и важные эффекты закрыты — выбор по роли и логам: "&amp;H46&amp;", "&amp;TEXT(I46,"0")&amp;"/100."&amp;IF(X46&gt;0," Повтор: спек "&amp;K46&amp;", класс "&amp;W46&amp;", штраф "&amp;TEXT(X46,"0"),"")))</f>
        <v>Критичные и важные эффекты закрыты — выбор по роли и логам: DTPS 335, 59/100.</v>
      </c>
      <c r="W46">
        <f>SUMIF('РЕЙД-КОНСТРУКТОР'!$C$6:$C$30,A46,ТЕХ_Расчет!$B$2:$B$26)</f>
        <v>0</v>
      </c>
      <c r="X46">
        <f>IF('РЕЙД-КОНСТРУКТОР'!$R$2="Без ограничений",0,IF('РЕЙД-КОНСТРУКТОР'!$R$2="Умеренно",K46*25+W46*6,K46*55+W46*12))</f>
        <v>0</v>
      </c>
      <c r="Y46">
        <f>IF('РЕЙД-КОНСТРУКТОР'!$R$2="Без ограничений",1,IF(OR(K46&gt;='РЕЙД-КОНСТРУКТОР'!$T$2,W46&gt;='РЕЙД-КОНСТРУКТОР'!$V$2),0,1))</f>
        <v>1</v>
      </c>
      <c r="BT46" t="str">
        <f>'РЕЙД-КОНСТРУКТОР'!J35</f>
        <v>Armor</v>
      </c>
      <c r="BU46" t="str">
        <f>'РЕЙД-КОНСТРУКТОР'!M35</f>
        <v>Критично</v>
      </c>
      <c r="BV46">
        <f>'СПРАВОЧНИК ЭФФЕКТОВ'!F33</f>
        <v>7</v>
      </c>
      <c r="BW46" t="str">
        <f>'СПРАВОЧНИК ЭФФЕКТОВ'!L33</f>
        <v>Barbarian — Ancestry; Bloodmage — Fleshweaver; Felsworn — Slaying; Guardian — Inspiration; + ещё 3 классов</v>
      </c>
      <c r="BX46">
        <f>IF('РЕЙД-КОНСТРУКТОР'!K35&gt;0,"",IF(BU46="Критично",3000,IF(BU46="Важно",2000,1000))+(100-MIN(BV46,99))+ROW()/100000)</f>
        <v>3093.0004600000002</v>
      </c>
    </row>
    <row r="47" spans="1:76">
      <c r="A47" t="s">
        <v>174</v>
      </c>
      <c r="B47" t="s">
        <v>175</v>
      </c>
      <c r="C47" t="s">
        <v>139</v>
      </c>
      <c r="D47" t="s">
        <v>650</v>
      </c>
      <c r="E47" t="s">
        <v>1871</v>
      </c>
      <c r="F47">
        <v>24</v>
      </c>
      <c r="G47" s="34">
        <v>0.54545454545454541</v>
      </c>
      <c r="H47" t="s">
        <v>1935</v>
      </c>
      <c r="I47" s="35">
        <v>58.65</v>
      </c>
      <c r="J47" s="31">
        <v>0</v>
      </c>
      <c r="K47">
        <f>SUMIF(ТЕХ_Расчет!$A$2:$A$26,D47,ТЕХ_Расчет!$B$2:$B$26)</f>
        <v>0</v>
      </c>
      <c r="L47">
        <f>SUMPRODUCT(ТЕХ_Списки!E15:AW15,$AA$2:$BS$2)</f>
        <v>0</v>
      </c>
      <c r="M47">
        <f>SUMPRODUCT(ТЕХ_Списки!E15:AW15,$AA$3:$BS$3)</f>
        <v>0</v>
      </c>
      <c r="N47">
        <f>SUMPRODUCT(ТЕХ_Списки!E15:AW15,$AA$4:$BS$4)</f>
        <v>0</v>
      </c>
      <c r="O47">
        <f>SUMPRODUCT(ТЕХ_Списки!E15:AW15,$AA$5:$BS$5)</f>
        <v>0</v>
      </c>
      <c r="P47">
        <f>M47*3+N47*2+O47</f>
        <v>0</v>
      </c>
      <c r="Q47">
        <f>IF(C47="Танк",'РЕЙД-КОНСТРУКТОР'!$R$30,IF(C47="Хилер",'РЕЙД-КОНСТРУКТОР'!$R$31,IF(C47="Саппорт",'РЕЙД-КОНСТРУКТОР'!$R$32,'РЕЙД-КОНСТРУКТОР'!$R$33)))</f>
        <v>16</v>
      </c>
      <c r="R47">
        <f>IF(C47="Танк",IF(Q47&gt;0,70,-150),IF(C47="Хилер",IF(Q47&gt;0,55,-120),IF(C47="Саппорт",IF(Q47&gt;0,50,-120),IF(Q47&gt;0,15,-120))))</f>
        <v>15</v>
      </c>
      <c r="S47" s="35">
        <f ca="1">IF(OR('РЕЙД-КОНСТРУКТОР'!$E$3&gt;='РЕЙД-КОНСТРУКТОР'!$R$3,AND('РЕЙД-КОНСТРУКТОР'!$C$3&lt;&gt;"Любая",'РЕЙД-КОНСТРУКТОР'!$C$3&lt;&gt;C47),Y47=0),-999,IF(SUM($AA$3:$BS$3)&gt;0,M47*45+N47*12+O47*2+I47*0.25+R47-X47,IF(SUM($AA$4:$BS$4)&gt;0,N47*25+O47*4+I47*0.5+R47-X47,I47+R47-K47*2-X47)))+0*'РЕЙД-КОНСТРУКТОР'!$N$52</f>
        <v>73.650000000000006</v>
      </c>
      <c r="T47">
        <f ca="1">IF(S47&lt;0,"",S47+ROW()/100000)</f>
        <v>73.650470000000013</v>
      </c>
      <c r="U47" t="e">
        <f ca="1">ТЕХ_Расчет!K63</f>
        <v>#NAME?</v>
      </c>
      <c r="V47" t="str">
        <f>IF(SUM($AA$3:$BS$3)&gt;0,"Закрывает "&amp;M47&amp;" крит. и "&amp;N47&amp;" важных; "&amp;IF(Q47&gt;0,"роль нужна","роль уже заполнена")&amp;"; "&amp;H47&amp;", логи "&amp;TEXT(I47,"0")&amp;"/100. "&amp;IF(U47="—","","Эффекты: "&amp;U47)&amp;IF(X47&gt;0,"; повтор: спек "&amp;K47&amp;", класс "&amp;W47&amp;", штраф "&amp;TEXT(X47,"0"),""),IF(SUM($AA$4:$BS$4)&gt;0,"Критичные закрыты; закрывает "&amp;N47&amp;" важных; "&amp;IF(Q47&gt;0,"роль нужна","роль уже заполнена")&amp;"; "&amp;H47&amp;", логи "&amp;TEXT(I47,"0")&amp;"/100."&amp;IF(X47&gt;0," Повтор: спек "&amp;K47&amp;", класс "&amp;W47&amp;", штраф "&amp;TEXT(X47,"0"),""),"Критичные и важные эффекты закрыты — выбор по роли и логам: "&amp;H47&amp;", "&amp;TEXT(I47,"0")&amp;"/100."&amp;IF(X47&gt;0," Повтор: спек "&amp;K47&amp;", класс "&amp;W47&amp;", штраф "&amp;TEXT(X47,"0"),"")))</f>
        <v>Критичные и важные эффекты закрыты — выбор по роли и логам: DPS 3354, 59/100.</v>
      </c>
      <c r="W47">
        <f>SUMIF('РЕЙД-КОНСТРУКТОР'!$C$6:$C$30,A47,ТЕХ_Расчет!$B$2:$B$26)</f>
        <v>0</v>
      </c>
      <c r="X47">
        <f>IF('РЕЙД-КОНСТРУКТОР'!$R$2="Без ограничений",0,IF('РЕЙД-КОНСТРУКТОР'!$R$2="Умеренно",K47*25+W47*6,K47*55+W47*12))</f>
        <v>0</v>
      </c>
      <c r="Y47">
        <f>IF('РЕЙД-КОНСТРУКТОР'!$R$2="Без ограничений",1,IF(OR(K47&gt;='РЕЙД-КОНСТРУКТОР'!$T$2,W47&gt;='РЕЙД-КОНСТРУКТОР'!$V$2),0,1))</f>
        <v>1</v>
      </c>
      <c r="BT47" t="str">
        <f>'РЕЙД-КОНСТРУКТОР'!J19</f>
        <v>Replenishment</v>
      </c>
      <c r="BU47" t="str">
        <f>'РЕЙД-КОНСТРУКТОР'!M19</f>
        <v>Критично</v>
      </c>
      <c r="BV47">
        <f>'СПРАВОЧНИК ЭФФЕКТОВ'!F17</f>
        <v>11</v>
      </c>
      <c r="BW47" t="str">
        <f>'СПРАВОЧНИК ЭФФЕКТОВ'!L17</f>
        <v>Runemaster — любой спек; Chronomancer — Artificer; Cultist — Heretic; Primalist — Mountain King; + ещё 5 классов</v>
      </c>
      <c r="BX47">
        <f>IF('РЕЙД-КОНСТРУКТОР'!K19&gt;0,"",IF(BU47="Критично",3000,IF(BU47="Важно",2000,1000))+(100-MIN(BV47,99))+ROW()/100000)</f>
        <v>3089.00047</v>
      </c>
    </row>
    <row r="48" spans="1:76">
      <c r="A48" t="s">
        <v>162</v>
      </c>
      <c r="B48" t="s">
        <v>168</v>
      </c>
      <c r="C48" t="s">
        <v>78</v>
      </c>
      <c r="D48" t="s">
        <v>648</v>
      </c>
      <c r="E48" t="s">
        <v>1874</v>
      </c>
      <c r="F48">
        <v>52</v>
      </c>
      <c r="G48" s="34">
        <v>0.72222222222222221</v>
      </c>
      <c r="H48" t="s">
        <v>1933</v>
      </c>
      <c r="I48" s="35">
        <v>58.54</v>
      </c>
      <c r="J48" s="31">
        <v>0.19230769230769232</v>
      </c>
      <c r="K48">
        <f>SUMIF(ТЕХ_Расчет!$A$2:$A$26,D48,ТЕХ_Расчет!$B$2:$B$26)</f>
        <v>0</v>
      </c>
      <c r="L48">
        <f>SUMPRODUCT(ТЕХ_Списки!E13:AW13,$AA$2:$BS$2)</f>
        <v>0</v>
      </c>
      <c r="M48">
        <f>SUMPRODUCT(ТЕХ_Списки!E13:AW13,$AA$3:$BS$3)</f>
        <v>0</v>
      </c>
      <c r="N48">
        <f>SUMPRODUCT(ТЕХ_Списки!E13:AW13,$AA$4:$BS$4)</f>
        <v>0</v>
      </c>
      <c r="O48">
        <f>SUMPRODUCT(ТЕХ_Списки!E13:AW13,$AA$5:$BS$5)</f>
        <v>0</v>
      </c>
      <c r="P48">
        <f>M48*3+N48*2+O48</f>
        <v>0</v>
      </c>
      <c r="Q48">
        <f>IF(C48="Танк",'РЕЙД-КОНСТРУКТОР'!$R$30,IF(C48="Хилер",'РЕЙД-КОНСТРУКТОР'!$R$31,IF(C48="Саппорт",'РЕЙД-КОНСТРУКТОР'!$R$32,'РЕЙД-КОНСТРУКТОР'!$R$33)))</f>
        <v>2</v>
      </c>
      <c r="R48">
        <f>IF(C48="Танк",IF(Q48&gt;0,70,-150),IF(C48="Хилер",IF(Q48&gt;0,55,-120),IF(C48="Саппорт",IF(Q48&gt;0,50,-120),IF(Q48&gt;0,15,-120))))</f>
        <v>70</v>
      </c>
      <c r="S48" s="35">
        <f ca="1">IF(OR('РЕЙД-КОНСТРУКТОР'!$E$3&gt;='РЕЙД-КОНСТРУКТОР'!$R$3,AND('РЕЙД-КОНСТРУКТОР'!$C$3&lt;&gt;"Любая",'РЕЙД-КОНСТРУКТОР'!$C$3&lt;&gt;C48),Y48=0),-999,IF(SUM($AA$3:$BS$3)&gt;0,M48*45+N48*12+O48*2+I48*0.25+R48-X48,IF(SUM($AA$4:$BS$4)&gt;0,N48*25+O48*4+I48*0.5+R48-X48,I48+R48-K48*2-X48)))+0*'РЕЙД-КОНСТРУКТОР'!$N$52</f>
        <v>128.54</v>
      </c>
      <c r="T48">
        <f ca="1">IF(S48&lt;0,"",S48+ROW()/100000)</f>
        <v>128.54048</v>
      </c>
      <c r="U48" t="e">
        <f ca="1">ТЕХ_Расчет!K61</f>
        <v>#NAME?</v>
      </c>
      <c r="V48" t="str">
        <f>IF(SUM($AA$3:$BS$3)&gt;0,"Закрывает "&amp;M48&amp;" крит. и "&amp;N48&amp;" важных; "&amp;IF(Q48&gt;0,"роль нужна","роль уже заполнена")&amp;"; "&amp;H48&amp;", логи "&amp;TEXT(I48,"0")&amp;"/100. "&amp;IF(U48="—","","Эффекты: "&amp;U48)&amp;IF(X48&gt;0,"; повтор: спек "&amp;K48&amp;", класс "&amp;W48&amp;", штраф "&amp;TEXT(X48,"0"),""),IF(SUM($AA$4:$BS$4)&gt;0,"Критичные закрыты; закрывает "&amp;N48&amp;" важных; "&amp;IF(Q48&gt;0,"роль нужна","роль уже заполнена")&amp;"; "&amp;H48&amp;", логи "&amp;TEXT(I48,"0")&amp;"/100."&amp;IF(X48&gt;0," Повтор: спек "&amp;K48&amp;", класс "&amp;W48&amp;", штраф "&amp;TEXT(X48,"0"),""),"Критичные и важные эффекты закрыты — выбор по роли и логам: "&amp;H48&amp;", "&amp;TEXT(I48,"0")&amp;"/100."&amp;IF(X48&gt;0," Повтор: спек "&amp;K48&amp;", класс "&amp;W48&amp;", штраф "&amp;TEXT(X48,"0"),"")))</f>
        <v>Критичные и важные эффекты закрыты — выбор по роли и логам: DTPS 456, 59/100.</v>
      </c>
      <c r="W48">
        <f>SUMIF('РЕЙД-КОНСТРУКТОР'!$C$6:$C$30,A48,ТЕХ_Расчет!$B$2:$B$26)</f>
        <v>0</v>
      </c>
      <c r="X48">
        <f>IF('РЕЙД-КОНСТРУКТОР'!$R$2="Без ограничений",0,IF('РЕЙД-КОНСТРУКТОР'!$R$2="Умеренно",K48*25+W48*6,K48*55+W48*12))</f>
        <v>0</v>
      </c>
      <c r="Y48">
        <f>IF('РЕЙД-КОНСТРУКТОР'!$R$2="Без ограничений",1,IF(OR(K48&gt;='РЕЙД-КОНСТРУКТОР'!$T$2,W48&gt;='РЕЙД-КОНСТРУКТОР'!$V$2),0,1))</f>
        <v>1</v>
      </c>
      <c r="BT48" t="str">
        <f>'РЕЙД-КОНСТРУКТОР'!J17</f>
        <v>3% Spell Haste</v>
      </c>
      <c r="BU48" t="str">
        <f>'РЕЙД-КОНСТРУКТОР'!M17</f>
        <v>Критично</v>
      </c>
      <c r="BV48">
        <f>'СПРАВОЧНИК ЭФФЕКТОВ'!F15</f>
        <v>14</v>
      </c>
      <c r="BW48" t="str">
        <f>'СПРАВОЧНИК ЭФФЕКТОВ'!L15</f>
        <v>Witch Doctor — любой спек; Chronomancer — Time; Cultist — Corruption; Necromancer — Death; + ещё 7 классов</v>
      </c>
      <c r="BX48">
        <f>IF('РЕЙД-КОНСТРУКТОР'!K17&gt;0,"",IF(BU48="Критично",3000,IF(BU48="Важно",2000,1000))+(100-MIN(BV48,99))+ROW()/100000)</f>
        <v>3086.0004800000002</v>
      </c>
    </row>
    <row r="49" spans="1:76">
      <c r="A49" t="s">
        <v>322</v>
      </c>
      <c r="B49" t="s">
        <v>323</v>
      </c>
      <c r="C49" t="s">
        <v>135</v>
      </c>
      <c r="D49" t="s">
        <v>700</v>
      </c>
      <c r="E49" t="s">
        <v>1871</v>
      </c>
      <c r="F49">
        <v>26</v>
      </c>
      <c r="G49" s="34">
        <v>0.56521739130434778</v>
      </c>
      <c r="H49" t="s">
        <v>1984</v>
      </c>
      <c r="I49" s="35">
        <v>58.38</v>
      </c>
      <c r="J49" s="31">
        <v>7.6923076923076927E-2</v>
      </c>
      <c r="K49">
        <f>SUMIF(ТЕХ_Расчет!$A$2:$A$26,D49,ТЕХ_Расчет!$B$2:$B$26)</f>
        <v>0</v>
      </c>
      <c r="L49">
        <f>SUMPRODUCT(ТЕХ_Списки!E65:AW65,$AA$2:$BS$2)</f>
        <v>0</v>
      </c>
      <c r="M49">
        <f>SUMPRODUCT(ТЕХ_Списки!E65:AW65,$AA$3:$BS$3)</f>
        <v>0</v>
      </c>
      <c r="N49">
        <f>SUMPRODUCT(ТЕХ_Списки!E65:AW65,$AA$4:$BS$4)</f>
        <v>0</v>
      </c>
      <c r="O49">
        <f>SUMPRODUCT(ТЕХ_Списки!E65:AW65,$AA$5:$BS$5)</f>
        <v>0</v>
      </c>
      <c r="P49">
        <f>M49*3+N49*2+O49</f>
        <v>0</v>
      </c>
      <c r="Q49">
        <f>IF(C49="Танк",'РЕЙД-КОНСТРУКТОР'!$R$30,IF(C49="Хилер",'РЕЙД-КОНСТРУКТОР'!$R$31,IF(C49="Саппорт",'РЕЙД-КОНСТРУКТОР'!$R$32,'РЕЙД-КОНСТРУКТОР'!$R$33)))</f>
        <v>16</v>
      </c>
      <c r="R49">
        <f>IF(C49="Танк",IF(Q49&gt;0,70,-150),IF(C49="Хилер",IF(Q49&gt;0,55,-120),IF(C49="Саппорт",IF(Q49&gt;0,50,-120),IF(Q49&gt;0,15,-120))))</f>
        <v>15</v>
      </c>
      <c r="S49" s="35">
        <f ca="1">IF(OR('РЕЙД-КОНСТРУКТОР'!$E$3&gt;='РЕЙД-КОНСТРУКТОР'!$R$3,AND('РЕЙД-КОНСТРУКТОР'!$C$3&lt;&gt;"Любая",'РЕЙД-КОНСТРУКТОР'!$C$3&lt;&gt;C49),Y49=0),-999,IF(SUM($AA$3:$BS$3)&gt;0,M49*45+N49*12+O49*2+I49*0.25+R49-X49,IF(SUM($AA$4:$BS$4)&gt;0,N49*25+O49*4+I49*0.5+R49-X49,I49+R49-K49*2-X49)))+0*'РЕЙД-КОНСТРУКТОР'!$N$52</f>
        <v>73.38</v>
      </c>
      <c r="T49">
        <f ca="1">IF(S49&lt;0,"",S49+ROW()/100000)</f>
        <v>73.380489999999995</v>
      </c>
      <c r="U49" t="e">
        <f ca="1">ТЕХ_Расчет!K113</f>
        <v>#NAME?</v>
      </c>
      <c r="V49" t="str">
        <f>IF(SUM($AA$3:$BS$3)&gt;0,"Закрывает "&amp;M49&amp;" крит. и "&amp;N49&amp;" важных; "&amp;IF(Q49&gt;0,"роль нужна","роль уже заполнена")&amp;"; "&amp;H49&amp;", логи "&amp;TEXT(I49,"0")&amp;"/100. "&amp;IF(U49="—","","Эффекты: "&amp;U49)&amp;IF(X49&gt;0,"; повтор: спек "&amp;K49&amp;", класс "&amp;W49&amp;", штраф "&amp;TEXT(X49,"0"),""),IF(SUM($AA$4:$BS$4)&gt;0,"Критичные закрыты; закрывает "&amp;N49&amp;" важных; "&amp;IF(Q49&gt;0,"роль нужна","роль уже заполнена")&amp;"; "&amp;H49&amp;", логи "&amp;TEXT(I49,"0")&amp;"/100."&amp;IF(X49&gt;0," Повтор: спек "&amp;K49&amp;", класс "&amp;W49&amp;", штраф "&amp;TEXT(X49,"0"),""),"Критичные и важные эффекты закрыты — выбор по роли и логам: "&amp;H49&amp;", "&amp;TEXT(I49,"0")&amp;"/100."&amp;IF(X49&gt;0," Повтор: спек "&amp;K49&amp;", класс "&amp;W49&amp;", штраф "&amp;TEXT(X49,"0"),"")))</f>
        <v>Критичные и важные эффекты закрыты — выбор по роли и логам: DPS 3521, 58/100.</v>
      </c>
      <c r="W49">
        <f>SUMIF('РЕЙД-КОНСТРУКТОР'!$C$6:$C$30,A49,ТЕХ_Расчет!$B$2:$B$26)</f>
        <v>0</v>
      </c>
      <c r="X49">
        <f>IF('РЕЙД-КОНСТРУКТОР'!$R$2="Без ограничений",0,IF('РЕЙД-КОНСТРУКТОР'!$R$2="Умеренно",K49*25+W49*6,K49*55+W49*12))</f>
        <v>0</v>
      </c>
      <c r="Y49">
        <f>IF('РЕЙД-КОНСТРУКТОР'!$R$2="Без ограничений",1,IF(OR(K49&gt;='РЕЙД-КОНСТРУКТОР'!$T$2,W49&gt;='РЕЙД-КОНСТРУКТОР'!$V$2),0,1))</f>
        <v>1</v>
      </c>
    </row>
    <row r="50" spans="1:76">
      <c r="A50" t="s">
        <v>312</v>
      </c>
      <c r="B50" t="s">
        <v>319</v>
      </c>
      <c r="C50" t="s">
        <v>139</v>
      </c>
      <c r="D50" t="s">
        <v>699</v>
      </c>
      <c r="E50" t="s">
        <v>1871</v>
      </c>
      <c r="F50">
        <v>56</v>
      </c>
      <c r="G50" s="34">
        <v>0.73684210526315785</v>
      </c>
      <c r="H50" t="s">
        <v>1983</v>
      </c>
      <c r="I50" s="35">
        <v>57.88</v>
      </c>
      <c r="J50" s="31">
        <v>0.10714285714285714</v>
      </c>
      <c r="K50">
        <f>SUMIF(ТЕХ_Расчет!$A$2:$A$26,D50,ТЕХ_Расчет!$B$2:$B$26)</f>
        <v>0</v>
      </c>
      <c r="L50">
        <f>SUMPRODUCT(ТЕХ_Списки!E64:AW64,$AA$2:$BS$2)</f>
        <v>0</v>
      </c>
      <c r="M50">
        <f>SUMPRODUCT(ТЕХ_Списки!E64:AW64,$AA$3:$BS$3)</f>
        <v>0</v>
      </c>
      <c r="N50">
        <f>SUMPRODUCT(ТЕХ_Списки!E64:AW64,$AA$4:$BS$4)</f>
        <v>0</v>
      </c>
      <c r="O50">
        <f>SUMPRODUCT(ТЕХ_Списки!E64:AW64,$AA$5:$BS$5)</f>
        <v>0</v>
      </c>
      <c r="P50">
        <f>M50*3+N50*2+O50</f>
        <v>0</v>
      </c>
      <c r="Q50">
        <f>IF(C50="Танк",'РЕЙД-КОНСТРУКТОР'!$R$30,IF(C50="Хилер",'РЕЙД-КОНСТРУКТОР'!$R$31,IF(C50="Саппорт",'РЕЙД-КОНСТРУКТОР'!$R$32,'РЕЙД-КОНСТРУКТОР'!$R$33)))</f>
        <v>16</v>
      </c>
      <c r="R50">
        <f>IF(C50="Танк",IF(Q50&gt;0,70,-150),IF(C50="Хилер",IF(Q50&gt;0,55,-120),IF(C50="Саппорт",IF(Q50&gt;0,50,-120),IF(Q50&gt;0,15,-120))))</f>
        <v>15</v>
      </c>
      <c r="S50" s="35">
        <f ca="1">IF(OR('РЕЙД-КОНСТРУКТОР'!$E$3&gt;='РЕЙД-КОНСТРУКТОР'!$R$3,AND('РЕЙД-КОНСТРУКТОР'!$C$3&lt;&gt;"Любая",'РЕЙД-КОНСТРУКТОР'!$C$3&lt;&gt;C50),Y50=0),-999,IF(SUM($AA$3:$BS$3)&gt;0,M50*45+N50*12+O50*2+I50*0.25+R50-X50,IF(SUM($AA$4:$BS$4)&gt;0,N50*25+O50*4+I50*0.5+R50-X50,I50+R50-K50*2-X50)))+0*'РЕЙД-КОНСТРУКТОР'!$N$52</f>
        <v>72.88</v>
      </c>
      <c r="T50">
        <f ca="1">IF(S50&lt;0,"",S50+ROW()/100000)</f>
        <v>72.880499999999998</v>
      </c>
      <c r="U50" t="e">
        <f ca="1">ТЕХ_Расчет!K112</f>
        <v>#NAME?</v>
      </c>
      <c r="V50" t="str">
        <f>IF(SUM($AA$3:$BS$3)&gt;0,"Закрывает "&amp;M50&amp;" крит. и "&amp;N50&amp;" важных; "&amp;IF(Q50&gt;0,"роль нужна","роль уже заполнена")&amp;"; "&amp;H50&amp;", логи "&amp;TEXT(I50,"0")&amp;"/100. "&amp;IF(U50="—","","Эффекты: "&amp;U50)&amp;IF(X50&gt;0,"; повтор: спек "&amp;K50&amp;", класс "&amp;W50&amp;", штраф "&amp;TEXT(X50,"0"),""),IF(SUM($AA$4:$BS$4)&gt;0,"Критичные закрыты; закрывает "&amp;N50&amp;" важных; "&amp;IF(Q50&gt;0,"роль нужна","роль уже заполнена")&amp;"; "&amp;H50&amp;", логи "&amp;TEXT(I50,"0")&amp;"/100."&amp;IF(X50&gt;0," Повтор: спек "&amp;K50&amp;", класс "&amp;W50&amp;", штраф "&amp;TEXT(X50,"0"),""),"Критичные и важные эффекты закрыты — выбор по роли и логам: "&amp;H50&amp;", "&amp;TEXT(I50,"0")&amp;"/100."&amp;IF(X50&gt;0," Повтор: спек "&amp;K50&amp;", класс "&amp;W50&amp;", штраф "&amp;TEXT(X50,"0"),"")))</f>
        <v>Критичные и важные эффекты закрыты — выбор по роли и логам: DPS 3586, 58/100.</v>
      </c>
      <c r="W50">
        <f>SUMIF('РЕЙД-КОНСТРУКТОР'!$C$6:$C$30,A50,ТЕХ_Расчет!$B$2:$B$26)</f>
        <v>0</v>
      </c>
      <c r="X50">
        <f>IF('РЕЙД-КОНСТРУКТОР'!$R$2="Без ограничений",0,IF('РЕЙД-КОНСТРУКТОР'!$R$2="Умеренно",K50*25+W50*6,K50*55+W50*12))</f>
        <v>0</v>
      </c>
      <c r="Y50">
        <f>IF('РЕЙД-КОНСТРУКТОР'!$R$2="Без ограничений",1,IF(OR(K50&gt;='РЕЙД-КОНСТРУКТОР'!$T$2,W50&gt;='РЕЙД-КОНСТРУКТОР'!$V$2),0,1))</f>
        <v>1</v>
      </c>
    </row>
    <row r="51" spans="1:76">
      <c r="A51" t="s">
        <v>244</v>
      </c>
      <c r="B51" t="s">
        <v>251</v>
      </c>
      <c r="C51" t="s">
        <v>139</v>
      </c>
      <c r="D51" t="s">
        <v>676</v>
      </c>
      <c r="E51" t="s">
        <v>1871</v>
      </c>
      <c r="F51">
        <v>26</v>
      </c>
      <c r="G51" s="34">
        <v>0.56521739130434778</v>
      </c>
      <c r="H51" t="s">
        <v>1960</v>
      </c>
      <c r="I51" s="35">
        <v>57.8</v>
      </c>
      <c r="J51" s="31">
        <v>0</v>
      </c>
      <c r="K51">
        <f>SUMIF(ТЕХ_Расчет!$A$2:$A$26,D51,ТЕХ_Расчет!$B$2:$B$26)</f>
        <v>0</v>
      </c>
      <c r="L51">
        <f>SUMPRODUCT(ТЕХ_Списки!E41:AW41,$AA$2:$BS$2)</f>
        <v>0</v>
      </c>
      <c r="M51">
        <f>SUMPRODUCT(ТЕХ_Списки!E41:AW41,$AA$3:$BS$3)</f>
        <v>0</v>
      </c>
      <c r="N51">
        <f>SUMPRODUCT(ТЕХ_Списки!E41:AW41,$AA$4:$BS$4)</f>
        <v>0</v>
      </c>
      <c r="O51">
        <f>SUMPRODUCT(ТЕХ_Списки!E41:AW41,$AA$5:$BS$5)</f>
        <v>0</v>
      </c>
      <c r="P51">
        <f>M51*3+N51*2+O51</f>
        <v>0</v>
      </c>
      <c r="Q51">
        <f>IF(C51="Танк",'РЕЙД-КОНСТРУКТОР'!$R$30,IF(C51="Хилер",'РЕЙД-КОНСТРУКТОР'!$R$31,IF(C51="Саппорт",'РЕЙД-КОНСТРУКТОР'!$R$32,'РЕЙД-КОНСТРУКТОР'!$R$33)))</f>
        <v>16</v>
      </c>
      <c r="R51">
        <f>IF(C51="Танк",IF(Q51&gt;0,70,-150),IF(C51="Хилер",IF(Q51&gt;0,55,-120),IF(C51="Саппорт",IF(Q51&gt;0,50,-120),IF(Q51&gt;0,15,-120))))</f>
        <v>15</v>
      </c>
      <c r="S51" s="35">
        <f ca="1">IF(OR('РЕЙД-КОНСТРУКТОР'!$E$3&gt;='РЕЙД-КОНСТРУКТОР'!$R$3,AND('РЕЙД-КОНСТРУКТОР'!$C$3&lt;&gt;"Любая",'РЕЙД-КОНСТРУКТОР'!$C$3&lt;&gt;C51),Y51=0),-999,IF(SUM($AA$3:$BS$3)&gt;0,M51*45+N51*12+O51*2+I51*0.25+R51-X51,IF(SUM($AA$4:$BS$4)&gt;0,N51*25+O51*4+I51*0.5+R51-X51,I51+R51-K51*2-X51)))+0*'РЕЙД-КОНСТРУКТОР'!$N$52</f>
        <v>72.8</v>
      </c>
      <c r="T51">
        <f ca="1">IF(S51&lt;0,"",S51+ROW()/100000)</f>
        <v>72.800510000000003</v>
      </c>
      <c r="U51" t="e">
        <f ca="1">ТЕХ_Расчет!K89</f>
        <v>#NAME?</v>
      </c>
      <c r="V51" t="str">
        <f>IF(SUM($AA$3:$BS$3)&gt;0,"Закрывает "&amp;M51&amp;" крит. и "&amp;N51&amp;" важных; "&amp;IF(Q51&gt;0,"роль нужна","роль уже заполнена")&amp;"; "&amp;H51&amp;", логи "&amp;TEXT(I51,"0")&amp;"/100. "&amp;IF(U51="—","","Эффекты: "&amp;U51)&amp;IF(X51&gt;0,"; повтор: спек "&amp;K51&amp;", класс "&amp;W51&amp;", штраф "&amp;TEXT(X51,"0"),""),IF(SUM($AA$4:$BS$4)&gt;0,"Критичные закрыты; закрывает "&amp;N51&amp;" важных; "&amp;IF(Q51&gt;0,"роль нужна","роль уже заполнена")&amp;"; "&amp;H51&amp;", логи "&amp;TEXT(I51,"0")&amp;"/100."&amp;IF(X51&gt;0," Повтор: спек "&amp;K51&amp;", класс "&amp;W51&amp;", штраф "&amp;TEXT(X51,"0"),""),"Критичные и важные эффекты закрыты — выбор по роли и логам: "&amp;H51&amp;", "&amp;TEXT(I51,"0")&amp;"/100."&amp;IF(X51&gt;0," Повтор: спек "&amp;K51&amp;", класс "&amp;W51&amp;", штраф "&amp;TEXT(X51,"0"),"")))</f>
        <v>Критичные и важные эффекты закрыты — выбор по роли и логам: DPS 3226, 58/100.</v>
      </c>
      <c r="W51">
        <f>SUMIF('РЕЙД-КОНСТРУКТОР'!$C$6:$C$30,A51,ТЕХ_Расчет!$B$2:$B$26)</f>
        <v>0</v>
      </c>
      <c r="X51">
        <f>IF('РЕЙД-КОНСТРУКТОР'!$R$2="Без ограничений",0,IF('РЕЙД-КОНСТРУКТОР'!$R$2="Умеренно",K51*25+W51*6,K51*55+W51*12))</f>
        <v>0</v>
      </c>
      <c r="Y51">
        <f>IF('РЕЙД-КОНСТРУКТОР'!$R$2="Без ограничений",1,IF(OR(K51&gt;='РЕЙД-КОНСТРУКТОР'!$T$2,W51&gt;='РЕЙД-КОНСТРУКТОР'!$V$2),0,1))</f>
        <v>1</v>
      </c>
      <c r="BT51" t="str">
        <f>'РЕЙД-КОНСТРУКТОР'!J45</f>
        <v>Attack Power Reduction</v>
      </c>
      <c r="BU51" t="str">
        <f>'РЕЙД-КОНСТРУКТОР'!M45</f>
        <v>Критично</v>
      </c>
      <c r="BV51">
        <f>'СПРАВОЧНИК ЭФФЕКТОВ'!F43</f>
        <v>14</v>
      </c>
      <c r="BW51" t="str">
        <f>'СПРАВОЧНИК ЭФФЕКТОВ'!L43</f>
        <v>Necromancer — любой спек; Felsworn — Tyrant; Guardian — Vanguard; Knight of Xoroth — Defiance; + ещё 7 классов</v>
      </c>
      <c r="BX51">
        <f>IF('РЕЙД-КОНСТРУКТОР'!K45&gt;0,"",IF(BU51="Критично",3000,IF(BU51="Важно",2000,1000))+(100-MIN(BV51,99))+ROW()/100000)</f>
        <v>3086.0005099999998</v>
      </c>
    </row>
    <row r="52" spans="1:76">
      <c r="A52" t="s">
        <v>213</v>
      </c>
      <c r="B52" t="s">
        <v>216</v>
      </c>
      <c r="C52" t="s">
        <v>135</v>
      </c>
      <c r="D52" t="s">
        <v>664</v>
      </c>
      <c r="E52" t="s">
        <v>1871</v>
      </c>
      <c r="F52">
        <v>160</v>
      </c>
      <c r="G52" s="34">
        <v>0.88888888888888884</v>
      </c>
      <c r="H52" t="s">
        <v>1949</v>
      </c>
      <c r="I52" s="35">
        <v>56.74</v>
      </c>
      <c r="J52" s="31">
        <v>0.1</v>
      </c>
      <c r="K52">
        <f>SUMIF(ТЕХ_Расчет!$A$2:$A$26,D52,ТЕХ_Расчет!$B$2:$B$26)</f>
        <v>0</v>
      </c>
      <c r="L52">
        <f>SUMPRODUCT(ТЕХ_Списки!E29:AW29,$AA$2:$BS$2)</f>
        <v>0</v>
      </c>
      <c r="M52">
        <f>SUMPRODUCT(ТЕХ_Списки!E29:AW29,$AA$3:$BS$3)</f>
        <v>0</v>
      </c>
      <c r="N52">
        <f>SUMPRODUCT(ТЕХ_Списки!E29:AW29,$AA$4:$BS$4)</f>
        <v>0</v>
      </c>
      <c r="O52">
        <f>SUMPRODUCT(ТЕХ_Списки!E29:AW29,$AA$5:$BS$5)</f>
        <v>0</v>
      </c>
      <c r="P52">
        <f>M52*3+N52*2+O52</f>
        <v>0</v>
      </c>
      <c r="Q52">
        <f>IF(C52="Танк",'РЕЙД-КОНСТРУКТОР'!$R$30,IF(C52="Хилер",'РЕЙД-КОНСТРУКТОР'!$R$31,IF(C52="Саппорт",'РЕЙД-КОНСТРУКТОР'!$R$32,'РЕЙД-КОНСТРУКТОР'!$R$33)))</f>
        <v>16</v>
      </c>
      <c r="R52">
        <f>IF(C52="Танк",IF(Q52&gt;0,70,-150),IF(C52="Хилер",IF(Q52&gt;0,55,-120),IF(C52="Саппорт",IF(Q52&gt;0,50,-120),IF(Q52&gt;0,15,-120))))</f>
        <v>15</v>
      </c>
      <c r="S52" s="35">
        <f ca="1">IF(OR('РЕЙД-КОНСТРУКТОР'!$E$3&gt;='РЕЙД-КОНСТРУКТОР'!$R$3,AND('РЕЙД-КОНСТРУКТОР'!$C$3&lt;&gt;"Любая",'РЕЙД-КОНСТРУКТОР'!$C$3&lt;&gt;C52),Y52=0),-999,IF(SUM($AA$3:$BS$3)&gt;0,M52*45+N52*12+O52*2+I52*0.25+R52-X52,IF(SUM($AA$4:$BS$4)&gt;0,N52*25+O52*4+I52*0.5+R52-X52,I52+R52-K52*2-X52)))+0*'РЕЙД-КОНСТРУКТОР'!$N$52</f>
        <v>71.740000000000009</v>
      </c>
      <c r="T52">
        <f ca="1">IF(S52&lt;0,"",S52+ROW()/100000)</f>
        <v>71.740520000000004</v>
      </c>
      <c r="U52" t="e">
        <f ca="1">ТЕХ_Расчет!K77</f>
        <v>#NAME?</v>
      </c>
      <c r="V52" t="str">
        <f>IF(SUM($AA$3:$BS$3)&gt;0,"Закрывает "&amp;M52&amp;" крит. и "&amp;N52&amp;" важных; "&amp;IF(Q52&gt;0,"роль нужна","роль уже заполнена")&amp;"; "&amp;H52&amp;", логи "&amp;TEXT(I52,"0")&amp;"/100. "&amp;IF(U52="—","","Эффекты: "&amp;U52)&amp;IF(X52&gt;0,"; повтор: спек "&amp;K52&amp;", класс "&amp;W52&amp;", штраф "&amp;TEXT(X52,"0"),""),IF(SUM($AA$4:$BS$4)&gt;0,"Критичные закрыты; закрывает "&amp;N52&amp;" важных; "&amp;IF(Q52&gt;0,"роль нужна","роль уже заполнена")&amp;"; "&amp;H52&amp;", логи "&amp;TEXT(I52,"0")&amp;"/100."&amp;IF(X52&gt;0," Повтор: спек "&amp;K52&amp;", класс "&amp;W52&amp;", штраф "&amp;TEXT(X52,"0"),""),"Критичные и важные эффекты закрыты — выбор по роли и логам: "&amp;H52&amp;", "&amp;TEXT(I52,"0")&amp;"/100."&amp;IF(X52&gt;0," Повтор: спек "&amp;K52&amp;", класс "&amp;W52&amp;", штраф "&amp;TEXT(X52,"0"),"")))</f>
        <v>Критичные и важные эффекты закрыты — выбор по роли и логам: DPS 3515, 57/100.</v>
      </c>
      <c r="W52">
        <f>SUMIF('РЕЙД-КОНСТРУКТОР'!$C$6:$C$30,A52,ТЕХ_Расчет!$B$2:$B$26)</f>
        <v>0</v>
      </c>
      <c r="X52">
        <f>IF('РЕЙД-КОНСТРУКТОР'!$R$2="Без ограничений",0,IF('РЕЙД-КОНСТРУКТОР'!$R$2="Умеренно",K52*25+W52*6,K52*55+W52*12))</f>
        <v>0</v>
      </c>
      <c r="Y52">
        <f>IF('РЕЙД-КОНСТРУКТОР'!$R$2="Без ограничений",1,IF(OR(K52&gt;='РЕЙД-КОНСТРУКТОР'!$T$2,W52&gt;='РЕЙД-КОНСТРУКТОР'!$V$2),0,1))</f>
        <v>1</v>
      </c>
      <c r="BT52" t="str">
        <f>'РЕЙД-КОНСТРУКТОР'!J33</f>
        <v>Amplify Magic</v>
      </c>
      <c r="BU52" t="str">
        <f>'РЕЙД-КОНСТРУКТОР'!M33</f>
        <v>Опционально</v>
      </c>
      <c r="BV52">
        <f>'СПРАВОЧНИК ЭФФЕКТОВ'!F31</f>
        <v>9</v>
      </c>
      <c r="BW52" t="str">
        <f>'СПРАВОЧНИК ЭФФЕКТОВ'!L31</f>
        <v>Chronomancer — любой спек; Runemaster — любой спек; Tinker — любой спек</v>
      </c>
      <c r="BX52">
        <f>IF('РЕЙД-КОНСТРУКТОР'!K33&gt;0,"",IF(BU52="Критично",3000,IF(BU52="Важно",2000,1000))+(100-MIN(BV52,99))+ROW()/100000)</f>
        <v>1091.0005200000001</v>
      </c>
    </row>
    <row r="53" spans="1:76">
      <c r="A53" t="s">
        <v>142</v>
      </c>
      <c r="B53" t="s">
        <v>149</v>
      </c>
      <c r="C53" t="s">
        <v>81</v>
      </c>
      <c r="D53" t="s">
        <v>642</v>
      </c>
      <c r="E53" t="s">
        <v>1872</v>
      </c>
      <c r="F53">
        <v>145</v>
      </c>
      <c r="G53" s="34">
        <v>0.87878787878787878</v>
      </c>
      <c r="H53" t="s">
        <v>1927</v>
      </c>
      <c r="I53" s="35">
        <v>56.28</v>
      </c>
      <c r="J53" s="31">
        <v>0.13793103448275862</v>
      </c>
      <c r="K53">
        <f>SUMIF(ТЕХ_Расчет!$A$2:$A$26,D53,ТЕХ_Расчет!$B$2:$B$26)</f>
        <v>0</v>
      </c>
      <c r="L53">
        <f>SUMPRODUCT(ТЕХ_Списки!E7:AW7,$AA$2:$BS$2)</f>
        <v>0</v>
      </c>
      <c r="M53">
        <f>SUMPRODUCT(ТЕХ_Списки!E7:AW7,$AA$3:$BS$3)</f>
        <v>0</v>
      </c>
      <c r="N53">
        <f>SUMPRODUCT(ТЕХ_Списки!E7:AW7,$AA$4:$BS$4)</f>
        <v>0</v>
      </c>
      <c r="O53">
        <f>SUMPRODUCT(ТЕХ_Списки!E7:AW7,$AA$5:$BS$5)</f>
        <v>0</v>
      </c>
      <c r="P53">
        <f>M53*3+N53*2+O53</f>
        <v>0</v>
      </c>
      <c r="Q53">
        <f>IF(C53="Танк",'РЕЙД-КОНСТРУКТОР'!$R$30,IF(C53="Хилер",'РЕЙД-КОНСТРУКТОР'!$R$31,IF(C53="Саппорт",'РЕЙД-КОНСТРУКТОР'!$R$32,'РЕЙД-КОНСТРУКТОР'!$R$33)))</f>
        <v>5</v>
      </c>
      <c r="R53">
        <f>IF(C53="Танк",IF(Q53&gt;0,70,-150),IF(C53="Хилер",IF(Q53&gt;0,55,-120),IF(C53="Саппорт",IF(Q53&gt;0,50,-120),IF(Q53&gt;0,15,-120))))</f>
        <v>55</v>
      </c>
      <c r="S53" s="35">
        <f ca="1">IF(OR('РЕЙД-КОНСТРУКТОР'!$E$3&gt;='РЕЙД-КОНСТРУКТОР'!$R$3,AND('РЕЙД-КОНСТРУКТОР'!$C$3&lt;&gt;"Любая",'РЕЙД-КОНСТРУКТОР'!$C$3&lt;&gt;C53),Y53=0),-999,IF(SUM($AA$3:$BS$3)&gt;0,M53*45+N53*12+O53*2+I53*0.25+R53-X53,IF(SUM($AA$4:$BS$4)&gt;0,N53*25+O53*4+I53*0.5+R53-X53,I53+R53-K53*2-X53)))+0*'РЕЙД-КОНСТРУКТОР'!$N$52</f>
        <v>111.28</v>
      </c>
      <c r="T53">
        <f ca="1">IF(S53&lt;0,"",S53+ROW()/100000)</f>
        <v>111.28053</v>
      </c>
      <c r="U53" t="e">
        <f ca="1">ТЕХ_Расчет!K55</f>
        <v>#NAME?</v>
      </c>
      <c r="V53" t="str">
        <f>IF(SUM($AA$3:$BS$3)&gt;0,"Закрывает "&amp;M53&amp;" крит. и "&amp;N53&amp;" важных; "&amp;IF(Q53&gt;0,"роль нужна","роль уже заполнена")&amp;"; "&amp;H53&amp;", логи "&amp;TEXT(I53,"0")&amp;"/100. "&amp;IF(U53="—","","Эффекты: "&amp;U53)&amp;IF(X53&gt;0,"; повтор: спек "&amp;K53&amp;", класс "&amp;W53&amp;", штраф "&amp;TEXT(X53,"0"),""),IF(SUM($AA$4:$BS$4)&gt;0,"Критичные закрыты; закрывает "&amp;N53&amp;" важных; "&amp;IF(Q53&gt;0,"роль нужна","роль уже заполнена")&amp;"; "&amp;H53&amp;", логи "&amp;TEXT(I53,"0")&amp;"/100."&amp;IF(X53&gt;0," Повтор: спек "&amp;K53&amp;", класс "&amp;W53&amp;", штраф "&amp;TEXT(X53,"0"),""),"Критичные и важные эффекты закрыты — выбор по роли и логам: "&amp;H53&amp;", "&amp;TEXT(I53,"0")&amp;"/100."&amp;IF(X53&gt;0," Повтор: спек "&amp;K53&amp;", класс "&amp;W53&amp;", штраф "&amp;TEXT(X53,"0"),"")))</f>
        <v>Критичные и важные эффекты закрыты — выбор по роли и логам: HPS 756, 56/100.</v>
      </c>
      <c r="W53">
        <f>SUMIF('РЕЙД-КОНСТРУКТОР'!$C$6:$C$30,A53,ТЕХ_Расчет!$B$2:$B$26)</f>
        <v>0</v>
      </c>
      <c r="X53">
        <f>IF('РЕЙД-КОНСТРУКТОР'!$R$2="Без ограничений",0,IF('РЕЙД-КОНСТРУКТОР'!$R$2="Умеренно",K53*25+W53*6,K53*55+W53*12))</f>
        <v>0</v>
      </c>
      <c r="Y53">
        <f>IF('РЕЙД-КОНСТРУКТОР'!$R$2="Без ограничений",1,IF(OR(K53&gt;='РЕЙД-КОНСТРУКТОР'!$T$2,W53&gt;='РЕЙД-КОНСТРУКТОР'!$V$2),0,1))</f>
        <v>1</v>
      </c>
      <c r="BT53" t="str">
        <f>'РЕЙД-КОНСТРУКТОР'!J11</f>
        <v>Attack Power</v>
      </c>
      <c r="BU53" t="str">
        <f>'РЕЙД-КОНСТРУКТОР'!M11</f>
        <v>Важно</v>
      </c>
      <c r="BV53">
        <f>'СПРАВОЧНИК ЭФФЕКТОВ'!F9</f>
        <v>17</v>
      </c>
      <c r="BW53" t="str">
        <f>'СПРАВОЧНИК ЭФФЕКТОВ'!L9</f>
        <v>Barbarian — любой спек; Felsworn — любой спек; Sun Cleric — любой спек; Tinker — любой спек; + ещё 1 классов</v>
      </c>
      <c r="BX53">
        <f>IF('РЕЙД-КОНСТРУКТОР'!K11&gt;0,"",IF(BU53="Критично",3000,IF(BU53="Важно",2000,1000))+(100-MIN(BV53,99))+ROW()/100000)</f>
        <v>2083.0005299999998</v>
      </c>
    </row>
    <row r="54" spans="1:76">
      <c r="A54" t="s">
        <v>162</v>
      </c>
      <c r="B54" t="s">
        <v>171</v>
      </c>
      <c r="C54" t="s">
        <v>139</v>
      </c>
      <c r="D54" t="s">
        <v>649</v>
      </c>
      <c r="E54" t="s">
        <v>1871</v>
      </c>
      <c r="F54">
        <v>28</v>
      </c>
      <c r="G54" s="34">
        <v>0.58333333333333337</v>
      </c>
      <c r="H54" t="s">
        <v>1934</v>
      </c>
      <c r="I54" s="35">
        <v>55.63</v>
      </c>
      <c r="J54" s="31">
        <v>0.10714285714285714</v>
      </c>
      <c r="K54">
        <f>SUMIF(ТЕХ_Расчет!$A$2:$A$26,D54,ТЕХ_Расчет!$B$2:$B$26)</f>
        <v>0</v>
      </c>
      <c r="L54">
        <f>SUMPRODUCT(ТЕХ_Списки!E14:AW14,$AA$2:$BS$2)</f>
        <v>0</v>
      </c>
      <c r="M54">
        <f>SUMPRODUCT(ТЕХ_Списки!E14:AW14,$AA$3:$BS$3)</f>
        <v>0</v>
      </c>
      <c r="N54">
        <f>SUMPRODUCT(ТЕХ_Списки!E14:AW14,$AA$4:$BS$4)</f>
        <v>0</v>
      </c>
      <c r="O54">
        <f>SUMPRODUCT(ТЕХ_Списки!E14:AW14,$AA$5:$BS$5)</f>
        <v>0</v>
      </c>
      <c r="P54">
        <f>M54*3+N54*2+O54</f>
        <v>0</v>
      </c>
      <c r="Q54">
        <f>IF(C54="Танк",'РЕЙД-КОНСТРУКТОР'!$R$30,IF(C54="Хилер",'РЕЙД-КОНСТРУКТОР'!$R$31,IF(C54="Саппорт",'РЕЙД-КОНСТРУКТОР'!$R$32,'РЕЙД-КОНСТРУКТОР'!$R$33)))</f>
        <v>16</v>
      </c>
      <c r="R54">
        <f>IF(C54="Танк",IF(Q54&gt;0,70,-150),IF(C54="Хилер",IF(Q54&gt;0,55,-120),IF(C54="Саппорт",IF(Q54&gt;0,50,-120),IF(Q54&gt;0,15,-120))))</f>
        <v>15</v>
      </c>
      <c r="S54" s="35">
        <f ca="1">IF(OR('РЕЙД-КОНСТРУКТОР'!$E$3&gt;='РЕЙД-КОНСТРУКТОР'!$R$3,AND('РЕЙД-КОНСТРУКТОР'!$C$3&lt;&gt;"Любая",'РЕЙД-КОНСТРУКТОР'!$C$3&lt;&gt;C54),Y54=0),-999,IF(SUM($AA$3:$BS$3)&gt;0,M54*45+N54*12+O54*2+I54*0.25+R54-X54,IF(SUM($AA$4:$BS$4)&gt;0,N54*25+O54*4+I54*0.5+R54-X54,I54+R54-K54*2-X54)))+0*'РЕЙД-КОНСТРУКТОР'!$N$52</f>
        <v>70.63</v>
      </c>
      <c r="T54">
        <f ca="1">IF(S54&lt;0,"",S54+ROW()/100000)</f>
        <v>70.630539999999996</v>
      </c>
      <c r="U54" t="e">
        <f ca="1">ТЕХ_Расчет!K62</f>
        <v>#NAME?</v>
      </c>
      <c r="V54" t="str">
        <f>IF(SUM($AA$3:$BS$3)&gt;0,"Закрывает "&amp;M54&amp;" крит. и "&amp;N54&amp;" важных; "&amp;IF(Q54&gt;0,"роль нужна","роль уже заполнена")&amp;"; "&amp;H54&amp;", логи "&amp;TEXT(I54,"0")&amp;"/100. "&amp;IF(U54="—","","Эффекты: "&amp;U54)&amp;IF(X54&gt;0,"; повтор: спек "&amp;K54&amp;", класс "&amp;W54&amp;", штраф "&amp;TEXT(X54,"0"),""),IF(SUM($AA$4:$BS$4)&gt;0,"Критичные закрыты; закрывает "&amp;N54&amp;" важных; "&amp;IF(Q54&gt;0,"роль нужна","роль уже заполнена")&amp;"; "&amp;H54&amp;", логи "&amp;TEXT(I54,"0")&amp;"/100."&amp;IF(X54&gt;0," Повтор: спек "&amp;K54&amp;", класс "&amp;W54&amp;", штраф "&amp;TEXT(X54,"0"),""),"Критичные и важные эффекты закрыты — выбор по роли и логам: "&amp;H54&amp;", "&amp;TEXT(I54,"0")&amp;"/100."&amp;IF(X54&gt;0," Повтор: спек "&amp;K54&amp;", класс "&amp;W54&amp;", штраф "&amp;TEXT(X54,"0"),"")))</f>
        <v>Критичные и важные эффекты закрыты — выбор по роли и логам: DPS 3372, 56/100.</v>
      </c>
      <c r="W54">
        <f>SUMIF('РЕЙД-КОНСТРУКТОР'!$C$6:$C$30,A54,ТЕХ_Расчет!$B$2:$B$26)</f>
        <v>0</v>
      </c>
      <c r="X54">
        <f>IF('РЕЙД-КОНСТРУКТОР'!$R$2="Без ограничений",0,IF('РЕЙД-КОНСТРУКТОР'!$R$2="Умеренно",K54*25+W54*6,K54*55+W54*12))</f>
        <v>0</v>
      </c>
      <c r="Y54">
        <f>IF('РЕЙД-КОНСТРУКТОР'!$R$2="Без ограничений",1,IF(OR(K54&gt;='РЕЙД-КОНСТРУКТОР'!$T$2,W54&gt;='РЕЙД-КОНСТРУКТОР'!$V$2),0,1))</f>
        <v>1</v>
      </c>
      <c r="BT54" t="str">
        <f>'РЕЙД-КОНСТРУКТОР'!J18</f>
        <v>Mana Regeneration</v>
      </c>
      <c r="BU54" t="str">
        <f>'РЕЙД-КОНСТРУКТОР'!M18</f>
        <v>Важно</v>
      </c>
      <c r="BV54">
        <f>'СПРАВОЧНИК ЭФФЕКТОВ'!F16</f>
        <v>17</v>
      </c>
      <c r="BW54" t="str">
        <f>'СПРАВОЧНИК ЭФФЕКТОВ'!L16</f>
        <v>Stormbringer — любой спек; Sun Cleric — любой спек; Tinker — любой спек; Witch Doctor — любой спек; + ещё 1 классов</v>
      </c>
      <c r="BX54">
        <f>IF('РЕЙД-КОНСТРУКТОР'!K18&gt;0,"",IF(BU54="Критично",3000,IF(BU54="Важно",2000,1000))+(100-MIN(BV54,99))+ROW()/100000)</f>
        <v>2083.00054</v>
      </c>
    </row>
    <row r="55" spans="1:76">
      <c r="A55" t="s">
        <v>256</v>
      </c>
      <c r="B55" t="s">
        <v>257</v>
      </c>
      <c r="C55" t="s">
        <v>139</v>
      </c>
      <c r="D55" t="s">
        <v>678</v>
      </c>
      <c r="E55" t="s">
        <v>1871</v>
      </c>
      <c r="F55">
        <v>34</v>
      </c>
      <c r="G55" s="34">
        <v>0.62962962962962965</v>
      </c>
      <c r="H55" t="s">
        <v>1962</v>
      </c>
      <c r="I55" s="35">
        <v>55.43</v>
      </c>
      <c r="J55" s="31">
        <v>0.17647058823529413</v>
      </c>
      <c r="K55">
        <f>SUMIF(ТЕХ_Расчет!$A$2:$A$26,D55,ТЕХ_Расчет!$B$2:$B$26)</f>
        <v>0</v>
      </c>
      <c r="L55">
        <f>SUMPRODUCT(ТЕХ_Списки!E43:AW43,$AA$2:$BS$2)</f>
        <v>0</v>
      </c>
      <c r="M55">
        <f>SUMPRODUCT(ТЕХ_Списки!E43:AW43,$AA$3:$BS$3)</f>
        <v>0</v>
      </c>
      <c r="N55">
        <f>SUMPRODUCT(ТЕХ_Списки!E43:AW43,$AA$4:$BS$4)</f>
        <v>0</v>
      </c>
      <c r="O55">
        <f>SUMPRODUCT(ТЕХ_Списки!E43:AW43,$AA$5:$BS$5)</f>
        <v>0</v>
      </c>
      <c r="P55">
        <f>M55*3+N55*2+O55</f>
        <v>0</v>
      </c>
      <c r="Q55">
        <f>IF(C55="Танк",'РЕЙД-КОНСТРУКТОР'!$R$30,IF(C55="Хилер",'РЕЙД-КОНСТРУКТОР'!$R$31,IF(C55="Саппорт",'РЕЙД-КОНСТРУКТОР'!$R$32,'РЕЙД-КОНСТРУКТОР'!$R$33)))</f>
        <v>16</v>
      </c>
      <c r="R55">
        <f>IF(C55="Танк",IF(Q55&gt;0,70,-150),IF(C55="Хилер",IF(Q55&gt;0,55,-120),IF(C55="Саппорт",IF(Q55&gt;0,50,-120),IF(Q55&gt;0,15,-120))))</f>
        <v>15</v>
      </c>
      <c r="S55" s="35">
        <f ca="1">IF(OR('РЕЙД-КОНСТРУКТОР'!$E$3&gt;='РЕЙД-КОНСТРУКТОР'!$R$3,AND('РЕЙД-КОНСТРУКТОР'!$C$3&lt;&gt;"Любая",'РЕЙД-КОНСТРУКТОР'!$C$3&lt;&gt;C55),Y55=0),-999,IF(SUM($AA$3:$BS$3)&gt;0,M55*45+N55*12+O55*2+I55*0.25+R55-X55,IF(SUM($AA$4:$BS$4)&gt;0,N55*25+O55*4+I55*0.5+R55-X55,I55+R55-K55*2-X55)))+0*'РЕЙД-КОНСТРУКТОР'!$N$52</f>
        <v>70.430000000000007</v>
      </c>
      <c r="T55">
        <f ca="1">IF(S55&lt;0,"",S55+ROW()/100000)</f>
        <v>70.430550000000011</v>
      </c>
      <c r="U55" t="e">
        <f ca="1">ТЕХ_Расчет!K91</f>
        <v>#NAME?</v>
      </c>
      <c r="V55" t="str">
        <f>IF(SUM($AA$3:$BS$3)&gt;0,"Закрывает "&amp;M55&amp;" крит. и "&amp;N55&amp;" важных; "&amp;IF(Q55&gt;0,"роль нужна","роль уже заполнена")&amp;"; "&amp;H55&amp;", логи "&amp;TEXT(I55,"0")&amp;"/100. "&amp;IF(U55="—","","Эффекты: "&amp;U55)&amp;IF(X55&gt;0,"; повтор: спек "&amp;K55&amp;", класс "&amp;W55&amp;", штраф "&amp;TEXT(X55,"0"),""),IF(SUM($AA$4:$BS$4)&gt;0,"Критичные закрыты; закрывает "&amp;N55&amp;" важных; "&amp;IF(Q55&gt;0,"роль нужна","роль уже заполнена")&amp;"; "&amp;H55&amp;", логи "&amp;TEXT(I55,"0")&amp;"/100."&amp;IF(X55&gt;0," Повтор: спек "&amp;K55&amp;", класс "&amp;W55&amp;", штраф "&amp;TEXT(X55,"0"),""),"Критичные и важные эффекты закрыты — выбор по роли и логам: "&amp;H55&amp;", "&amp;TEXT(I55,"0")&amp;"/100."&amp;IF(X55&gt;0," Повтор: спек "&amp;K55&amp;", класс "&amp;W55&amp;", штраф "&amp;TEXT(X55,"0"),"")))</f>
        <v>Критичные и важные эффекты закрыты — выбор по роли и логам: DPS 3499, 55/100.</v>
      </c>
      <c r="W55">
        <f>SUMIF('РЕЙД-КОНСТРУКТОР'!$C$6:$C$30,A55,ТЕХ_Расчет!$B$2:$B$26)</f>
        <v>0</v>
      </c>
      <c r="X55">
        <f>IF('РЕЙД-КОНСТРУКТОР'!$R$2="Без ограничений",0,IF('РЕЙД-КОНСТРУКТОР'!$R$2="Умеренно",K55*25+W55*6,K55*55+W55*12))</f>
        <v>0</v>
      </c>
      <c r="Y55">
        <f>IF('РЕЙД-КОНСТРУКТОР'!$R$2="Без ограничений",1,IF(OR(K55&gt;='РЕЙД-КОНСТРУКТОР'!$T$2,W55&gt;='РЕЙД-КОНСТРУКТОР'!$V$2),0,1))</f>
        <v>1</v>
      </c>
      <c r="BT55" t="str">
        <f>'РЕЙД-КОНСТРУКТОР'!J47</f>
        <v>3% Hit Reduction</v>
      </c>
      <c r="BU55" t="str">
        <f>'РЕЙД-КОНСТРУКТОР'!M47</f>
        <v>Опционально</v>
      </c>
      <c r="BV55">
        <f>'СПРАВОЧНИК ЭФФЕКТОВ'!F45</f>
        <v>17</v>
      </c>
      <c r="BW55" t="str">
        <f>'СПРАВОЧНИК ЭФФЕКТОВ'!L45</f>
        <v>Ranger — любой спек; Reaper — любой спек; Bloodmage — Eternal; Chronomancer — Artificer; + ещё 6 классов</v>
      </c>
      <c r="BX55">
        <f>IF('РЕЙД-КОНСТРУКТОР'!K47&gt;0,"",IF(BU55="Критично",3000,IF(BU55="Важно",2000,1000))+(100-MIN(BV55,99))+ROW()/100000)</f>
        <v>1083.00055</v>
      </c>
    </row>
    <row r="56" spans="1:76">
      <c r="A56" t="s">
        <v>236</v>
      </c>
      <c r="B56" t="s">
        <v>241</v>
      </c>
      <c r="C56" t="s">
        <v>78</v>
      </c>
      <c r="D56" t="s">
        <v>673</v>
      </c>
      <c r="E56" t="s">
        <v>1874</v>
      </c>
      <c r="F56">
        <v>61</v>
      </c>
      <c r="G56" s="34">
        <v>0.75308641975308643</v>
      </c>
      <c r="H56" t="s">
        <v>1957</v>
      </c>
      <c r="I56" s="35">
        <v>54.79</v>
      </c>
      <c r="J56" s="31">
        <v>0</v>
      </c>
      <c r="K56">
        <f>SUMIF(ТЕХ_Расчет!$A$2:$A$26,D56,ТЕХ_Расчет!$B$2:$B$26)</f>
        <v>0</v>
      </c>
      <c r="L56">
        <f>SUMPRODUCT(ТЕХ_Списки!E38:AW38,$AA$2:$BS$2)</f>
        <v>0</v>
      </c>
      <c r="M56">
        <f>SUMPRODUCT(ТЕХ_Списки!E38:AW38,$AA$3:$BS$3)</f>
        <v>0</v>
      </c>
      <c r="N56">
        <f>SUMPRODUCT(ТЕХ_Списки!E38:AW38,$AA$4:$BS$4)</f>
        <v>0</v>
      </c>
      <c r="O56">
        <f>SUMPRODUCT(ТЕХ_Списки!E38:AW38,$AA$5:$BS$5)</f>
        <v>0</v>
      </c>
      <c r="P56">
        <f>M56*3+N56*2+O56</f>
        <v>0</v>
      </c>
      <c r="Q56">
        <f>IF(C56="Танк",'РЕЙД-КОНСТРУКТОР'!$R$30,IF(C56="Хилер",'РЕЙД-КОНСТРУКТОР'!$R$31,IF(C56="Саппорт",'РЕЙД-КОНСТРУКТОР'!$R$32,'РЕЙД-КОНСТРУКТОР'!$R$33)))</f>
        <v>2</v>
      </c>
      <c r="R56">
        <f>IF(C56="Танк",IF(Q56&gt;0,70,-150),IF(C56="Хилер",IF(Q56&gt;0,55,-120),IF(C56="Саппорт",IF(Q56&gt;0,50,-120),IF(Q56&gt;0,15,-120))))</f>
        <v>70</v>
      </c>
      <c r="S56" s="35">
        <f ca="1">IF(OR('РЕЙД-КОНСТРУКТОР'!$E$3&gt;='РЕЙД-КОНСТРУКТОР'!$R$3,AND('РЕЙД-КОНСТРУКТОР'!$C$3&lt;&gt;"Любая",'РЕЙД-КОНСТРУКТОР'!$C$3&lt;&gt;C56),Y56=0),-999,IF(SUM($AA$3:$BS$3)&gt;0,M56*45+N56*12+O56*2+I56*0.25+R56-X56,IF(SUM($AA$4:$BS$4)&gt;0,N56*25+O56*4+I56*0.5+R56-X56,I56+R56-K56*2-X56)))+0*'РЕЙД-КОНСТРУКТОР'!$N$52</f>
        <v>124.78999999999999</v>
      </c>
      <c r="T56">
        <f ca="1">IF(S56&lt;0,"",S56+ROW()/100000)</f>
        <v>124.79055999999999</v>
      </c>
      <c r="U56" t="e">
        <f ca="1">ТЕХ_Расчет!K86</f>
        <v>#NAME?</v>
      </c>
      <c r="V56" t="str">
        <f>IF(SUM($AA$3:$BS$3)&gt;0,"Закрывает "&amp;M56&amp;" крит. и "&amp;N56&amp;" важных; "&amp;IF(Q56&gt;0,"роль нужна","роль уже заполнена")&amp;"; "&amp;H56&amp;", логи "&amp;TEXT(I56,"0")&amp;"/100. "&amp;IF(U56="—","","Эффекты: "&amp;U56)&amp;IF(X56&gt;0,"; повтор: спек "&amp;K56&amp;", класс "&amp;W56&amp;", штраф "&amp;TEXT(X56,"0"),""),IF(SUM($AA$4:$BS$4)&gt;0,"Критичные закрыты; закрывает "&amp;N56&amp;" важных; "&amp;IF(Q56&gt;0,"роль нужна","роль уже заполнена")&amp;"; "&amp;H56&amp;", логи "&amp;TEXT(I56,"0")&amp;"/100."&amp;IF(X56&gt;0," Повтор: спек "&amp;K56&amp;", класс "&amp;W56&amp;", штраф "&amp;TEXT(X56,"0"),""),"Критичные и важные эффекты закрыты — выбор по роли и логам: "&amp;H56&amp;", "&amp;TEXT(I56,"0")&amp;"/100."&amp;IF(X56&gt;0," Повтор: спек "&amp;K56&amp;", класс "&amp;W56&amp;", штраф "&amp;TEXT(X56,"0"),"")))</f>
        <v>Критичные и важные эффекты закрыты — выбор по роли и логам: DTPS 520, 55/100.</v>
      </c>
      <c r="W56">
        <f>SUMIF('РЕЙД-КОНСТРУКТОР'!$C$6:$C$30,A56,ТЕХ_Расчет!$B$2:$B$26)</f>
        <v>0</v>
      </c>
      <c r="X56">
        <f>IF('РЕЙД-КОНСТРУКТОР'!$R$2="Без ограничений",0,IF('РЕЙД-КОНСТРУКТОР'!$R$2="Умеренно",K56*25+W56*6,K56*55+W56*12))</f>
        <v>0</v>
      </c>
      <c r="Y56">
        <f>IF('РЕЙД-КОНСТРУКТОР'!$R$2="Без ограничений",1,IF(OR(K56&gt;='РЕЙД-КОНСТРУКТОР'!$T$2,W56&gt;='РЕЙД-КОНСТРУКТОР'!$V$2),0,1))</f>
        <v>1</v>
      </c>
      <c r="BT56" t="str">
        <f>'РЕЙД-КОНСТРУКТОР'!J42</f>
        <v>3% Spell Critical Strike Chance</v>
      </c>
      <c r="BU56" t="str">
        <f>'РЕЙД-КОНСТРУКТОР'!M42</f>
        <v>Критично</v>
      </c>
      <c r="BV56">
        <f>'СПРАВОЧНИК ЭФФЕКТОВ'!F40</f>
        <v>7</v>
      </c>
      <c r="BW56" t="str">
        <f>'СПРАВОЧНИК ЭФФЕКТОВ'!L40</f>
        <v>Bloodmage — Sanguine; Knight of Xoroth — Hellfire; Necromancer — Rime; Primalist — Geomancy; + ещё 3 классов</v>
      </c>
      <c r="BX56">
        <f>IF('РЕЙД-КОНСТРУКТОР'!K42&gt;0,"",IF(BU56="Критично",3000,IF(BU56="Важно",2000,1000))+(100-MIN(BV56,99))+ROW()/100000)</f>
        <v>3093.00056</v>
      </c>
    </row>
    <row r="57" spans="1:76">
      <c r="A57" t="s">
        <v>152</v>
      </c>
      <c r="B57" t="s">
        <v>159</v>
      </c>
      <c r="C57" t="s">
        <v>135</v>
      </c>
      <c r="D57" t="s">
        <v>645</v>
      </c>
      <c r="E57" t="s">
        <v>1871</v>
      </c>
      <c r="F57">
        <v>37</v>
      </c>
      <c r="G57" s="34">
        <v>0.64912280701754388</v>
      </c>
      <c r="H57" t="s">
        <v>1930</v>
      </c>
      <c r="I57" s="35">
        <v>52.24</v>
      </c>
      <c r="J57" s="31">
        <v>0.16216216216216217</v>
      </c>
      <c r="K57">
        <f>SUMIF(ТЕХ_Расчет!$A$2:$A$26,D57,ТЕХ_Расчет!$B$2:$B$26)</f>
        <v>0</v>
      </c>
      <c r="L57">
        <f>SUMPRODUCT(ТЕХ_Списки!E10:AW10,$AA$2:$BS$2)</f>
        <v>0</v>
      </c>
      <c r="M57">
        <f>SUMPRODUCT(ТЕХ_Списки!E10:AW10,$AA$3:$BS$3)</f>
        <v>0</v>
      </c>
      <c r="N57">
        <f>SUMPRODUCT(ТЕХ_Списки!E10:AW10,$AA$4:$BS$4)</f>
        <v>0</v>
      </c>
      <c r="O57">
        <f>SUMPRODUCT(ТЕХ_Списки!E10:AW10,$AA$5:$BS$5)</f>
        <v>0</v>
      </c>
      <c r="P57">
        <f>M57*3+N57*2+O57</f>
        <v>0</v>
      </c>
      <c r="Q57">
        <f>IF(C57="Танк",'РЕЙД-КОНСТРУКТОР'!$R$30,IF(C57="Хилер",'РЕЙД-КОНСТРУКТОР'!$R$31,IF(C57="Саппорт",'РЕЙД-КОНСТРУКТОР'!$R$32,'РЕЙД-КОНСТРУКТОР'!$R$33)))</f>
        <v>16</v>
      </c>
      <c r="R57">
        <f>IF(C57="Танк",IF(Q57&gt;0,70,-150),IF(C57="Хилер",IF(Q57&gt;0,55,-120),IF(C57="Саппорт",IF(Q57&gt;0,50,-120),IF(Q57&gt;0,15,-120))))</f>
        <v>15</v>
      </c>
      <c r="S57" s="35">
        <f ca="1">IF(OR('РЕЙД-КОНСТРУКТОР'!$E$3&gt;='РЕЙД-КОНСТРУКТОР'!$R$3,AND('РЕЙД-КОНСТРУКТОР'!$C$3&lt;&gt;"Любая",'РЕЙД-КОНСТРУКТОР'!$C$3&lt;&gt;C57),Y57=0),-999,IF(SUM($AA$3:$BS$3)&gt;0,M57*45+N57*12+O57*2+I57*0.25+R57-X57,IF(SUM($AA$4:$BS$4)&gt;0,N57*25+O57*4+I57*0.5+R57-X57,I57+R57-K57*2-X57)))+0*'РЕЙД-КОНСТРУКТОР'!$N$52</f>
        <v>67.240000000000009</v>
      </c>
      <c r="T57">
        <f ca="1">IF(S57&lt;0,"",S57+ROW()/100000)</f>
        <v>67.240570000000005</v>
      </c>
      <c r="U57" t="e">
        <f ca="1">ТЕХ_Расчет!K58</f>
        <v>#NAME?</v>
      </c>
      <c r="V57" t="str">
        <f>IF(SUM($AA$3:$BS$3)&gt;0,"Закрывает "&amp;M57&amp;" крит. и "&amp;N57&amp;" важных; "&amp;IF(Q57&gt;0,"роль нужна","роль уже заполнена")&amp;"; "&amp;H57&amp;", логи "&amp;TEXT(I57,"0")&amp;"/100. "&amp;IF(U57="—","","Эффекты: "&amp;U57)&amp;IF(X57&gt;0,"; повтор: спек "&amp;K57&amp;", класс "&amp;W57&amp;", штраф "&amp;TEXT(X57,"0"),""),IF(SUM($AA$4:$BS$4)&gt;0,"Критичные закрыты; закрывает "&amp;N57&amp;" важных; "&amp;IF(Q57&gt;0,"роль нужна","роль уже заполнена")&amp;"; "&amp;H57&amp;", логи "&amp;TEXT(I57,"0")&amp;"/100."&amp;IF(X57&gt;0," Повтор: спек "&amp;K57&amp;", класс "&amp;W57&amp;", штраф "&amp;TEXT(X57,"0"),""),"Критичные и важные эффекты закрыты — выбор по роли и логам: "&amp;H57&amp;", "&amp;TEXT(I57,"0")&amp;"/100."&amp;IF(X57&gt;0," Повтор: спек "&amp;K57&amp;", класс "&amp;W57&amp;", штраф "&amp;TEXT(X57,"0"),"")))</f>
        <v>Критичные и важные эффекты закрыты — выбор по роли и логам: DPS 3227, 52/100.</v>
      </c>
      <c r="W57">
        <f>SUMIF('РЕЙД-КОНСТРУКТОР'!$C$6:$C$30,A57,ТЕХ_Расчет!$B$2:$B$26)</f>
        <v>0</v>
      </c>
      <c r="X57">
        <f>IF('РЕЙД-КОНСТРУКТОР'!$R$2="Без ограничений",0,IF('РЕЙД-КОНСТРУКТОР'!$R$2="Умеренно",K57*25+W57*6,K57*55+W57*12))</f>
        <v>0</v>
      </c>
      <c r="Y57">
        <f>IF('РЕЙД-КОНСТРУКТОР'!$R$2="Без ограничений",1,IF(OR(K57&gt;='РЕЙД-КОНСТРУКТОР'!$T$2,W57&gt;='РЕЙД-КОНСТРУКТОР'!$V$2),0,1))</f>
        <v>1</v>
      </c>
      <c r="BT57" t="str">
        <f>'РЕЙД-КОНСТРУКТОР'!J14</f>
        <v>Intellect</v>
      </c>
      <c r="BU57" t="str">
        <f>'РЕЙД-КОНСТРУКТОР'!M14</f>
        <v>Важно</v>
      </c>
      <c r="BV57">
        <f>'СПРАВОЧНИК ЭФФЕКТОВ'!F12</f>
        <v>23</v>
      </c>
      <c r="BW57" t="str">
        <f>'СПРАВОЧНИК ЭФФЕКТОВ'!L12</f>
        <v>Chronomancer — любой спек; Cultist — любой спек; Knight of Xoroth — любой спек; Pyromancer — любой спек; + ещё 3 классов</v>
      </c>
      <c r="BX57">
        <f>IF('РЕЙД-КОНСТРУКТОР'!K14&gt;0,"",IF(BU57="Критично",3000,IF(BU57="Важно",2000,1000))+(100-MIN(BV57,99))+ROW()/100000)</f>
        <v>2077.0005700000002</v>
      </c>
    </row>
    <row r="58" spans="1:76">
      <c r="A58" t="s">
        <v>267</v>
      </c>
      <c r="B58" t="s">
        <v>270</v>
      </c>
      <c r="C58" t="s">
        <v>139</v>
      </c>
      <c r="D58" t="s">
        <v>683</v>
      </c>
      <c r="E58" t="s">
        <v>1871</v>
      </c>
      <c r="F58">
        <v>63</v>
      </c>
      <c r="G58" s="34">
        <v>0.75903614457831325</v>
      </c>
      <c r="H58" t="s">
        <v>1967</v>
      </c>
      <c r="I58" s="35">
        <v>51.83</v>
      </c>
      <c r="J58" s="31">
        <v>7.9365079365079361E-2</v>
      </c>
      <c r="K58">
        <f>SUMIF(ТЕХ_Расчет!$A$2:$A$26,D58,ТЕХ_Расчет!$B$2:$B$26)</f>
        <v>0</v>
      </c>
      <c r="L58">
        <f>SUMPRODUCT(ТЕХ_Списки!E48:AW48,$AA$2:$BS$2)</f>
        <v>0</v>
      </c>
      <c r="M58">
        <f>SUMPRODUCT(ТЕХ_Списки!E48:AW48,$AA$3:$BS$3)</f>
        <v>0</v>
      </c>
      <c r="N58">
        <f>SUMPRODUCT(ТЕХ_Списки!E48:AW48,$AA$4:$BS$4)</f>
        <v>0</v>
      </c>
      <c r="O58">
        <f>SUMPRODUCT(ТЕХ_Списки!E48:AW48,$AA$5:$BS$5)</f>
        <v>0</v>
      </c>
      <c r="P58">
        <f>M58*3+N58*2+O58</f>
        <v>0</v>
      </c>
      <c r="Q58">
        <f>IF(C58="Танк",'РЕЙД-КОНСТРУКТОР'!$R$30,IF(C58="Хилер",'РЕЙД-КОНСТРУКТОР'!$R$31,IF(C58="Саппорт",'РЕЙД-КОНСТРУКТОР'!$R$32,'РЕЙД-КОНСТРУКТОР'!$R$33)))</f>
        <v>16</v>
      </c>
      <c r="R58">
        <f>IF(C58="Танк",IF(Q58&gt;0,70,-150),IF(C58="Хилер",IF(Q58&gt;0,55,-120),IF(C58="Саппорт",IF(Q58&gt;0,50,-120),IF(Q58&gt;0,15,-120))))</f>
        <v>15</v>
      </c>
      <c r="S58" s="35">
        <f ca="1">IF(OR('РЕЙД-КОНСТРУКТОР'!$E$3&gt;='РЕЙД-КОНСТРУКТОР'!$R$3,AND('РЕЙД-КОНСТРУКТОР'!$C$3&lt;&gt;"Любая",'РЕЙД-КОНСТРУКТОР'!$C$3&lt;&gt;C58),Y58=0),-999,IF(SUM($AA$3:$BS$3)&gt;0,M58*45+N58*12+O58*2+I58*0.25+R58-X58,IF(SUM($AA$4:$BS$4)&gt;0,N58*25+O58*4+I58*0.5+R58-X58,I58+R58-K58*2-X58)))+0*'РЕЙД-КОНСТРУКТОР'!$N$52</f>
        <v>66.83</v>
      </c>
      <c r="T58">
        <f ca="1">IF(S58&lt;0,"",S58+ROW()/100000)</f>
        <v>66.830579999999998</v>
      </c>
      <c r="U58" t="e">
        <f ca="1">ТЕХ_Расчет!K96</f>
        <v>#NAME?</v>
      </c>
      <c r="V58" t="str">
        <f>IF(SUM($AA$3:$BS$3)&gt;0,"Закрывает "&amp;M58&amp;" крит. и "&amp;N58&amp;" важных; "&amp;IF(Q58&gt;0,"роль нужна","роль уже заполнена")&amp;"; "&amp;H58&amp;", логи "&amp;TEXT(I58,"0")&amp;"/100. "&amp;IF(U58="—","","Эффекты: "&amp;U58)&amp;IF(X58&gt;0,"; повтор: спек "&amp;K58&amp;", класс "&amp;W58&amp;", штраф "&amp;TEXT(X58,"0"),""),IF(SUM($AA$4:$BS$4)&gt;0,"Критичные закрыты; закрывает "&amp;N58&amp;" важных; "&amp;IF(Q58&gt;0,"роль нужна","роль уже заполнена")&amp;"; "&amp;H58&amp;", логи "&amp;TEXT(I58,"0")&amp;"/100."&amp;IF(X58&gt;0," Повтор: спек "&amp;K58&amp;", класс "&amp;W58&amp;", штраф "&amp;TEXT(X58,"0"),""),"Критичные и важные эффекты закрыты — выбор по роли и логам: "&amp;H58&amp;", "&amp;TEXT(I58,"0")&amp;"/100."&amp;IF(X58&gt;0," Повтор: спек "&amp;K58&amp;", класс "&amp;W58&amp;", штраф "&amp;TEXT(X58,"0"),"")))</f>
        <v>Критичные и важные эффекты закрыты — выбор по роли и логам: DPS 3187, 52/100.</v>
      </c>
      <c r="W58">
        <f>SUMIF('РЕЙД-КОНСТРУКТОР'!$C$6:$C$30,A58,ТЕХ_Расчет!$B$2:$B$26)</f>
        <v>0</v>
      </c>
      <c r="X58">
        <f>IF('РЕЙД-КОНСТРУКТОР'!$R$2="Без ограничений",0,IF('РЕЙД-КОНСТРУКТОР'!$R$2="Умеренно",K58*25+W58*6,K58*55+W58*12))</f>
        <v>0</v>
      </c>
      <c r="Y58">
        <f>IF('РЕЙД-КОНСТРУКТОР'!$R$2="Без ограничений",1,IF(OR(K58&gt;='РЕЙД-КОНСТРУКТОР'!$T$2,W58&gt;='РЕЙД-КОНСТРУКТОР'!$V$2),0,1))</f>
        <v>1</v>
      </c>
    </row>
    <row r="59" spans="1:76">
      <c r="A59" t="s">
        <v>276</v>
      </c>
      <c r="B59" t="s">
        <v>277</v>
      </c>
      <c r="C59" t="s">
        <v>135</v>
      </c>
      <c r="D59" t="s">
        <v>685</v>
      </c>
      <c r="E59" t="s">
        <v>1871</v>
      </c>
      <c r="F59">
        <v>9</v>
      </c>
      <c r="G59" s="34">
        <v>0.31034482758620691</v>
      </c>
      <c r="H59" t="s">
        <v>1969</v>
      </c>
      <c r="I59" s="35">
        <v>51.71</v>
      </c>
      <c r="J59" s="31">
        <v>0.1111111111111111</v>
      </c>
      <c r="K59">
        <f>SUMIF(ТЕХ_Расчет!$A$2:$A$26,D59,ТЕХ_Расчет!$B$2:$B$26)</f>
        <v>0</v>
      </c>
      <c r="L59">
        <f>SUMPRODUCT(ТЕХ_Списки!E50:AW50,$AA$2:$BS$2)</f>
        <v>0</v>
      </c>
      <c r="M59">
        <f>SUMPRODUCT(ТЕХ_Списки!E50:AW50,$AA$3:$BS$3)</f>
        <v>0</v>
      </c>
      <c r="N59">
        <f>SUMPRODUCT(ТЕХ_Списки!E50:AW50,$AA$4:$BS$4)</f>
        <v>0</v>
      </c>
      <c r="O59">
        <f>SUMPRODUCT(ТЕХ_Списки!E50:AW50,$AA$5:$BS$5)</f>
        <v>0</v>
      </c>
      <c r="P59">
        <f>M59*3+N59*2+O59</f>
        <v>0</v>
      </c>
      <c r="Q59">
        <f>IF(C59="Танк",'РЕЙД-КОНСТРУКТОР'!$R$30,IF(C59="Хилер",'РЕЙД-КОНСТРУКТОР'!$R$31,IF(C59="Саппорт",'РЕЙД-КОНСТРУКТОР'!$R$32,'РЕЙД-КОНСТРУКТОР'!$R$33)))</f>
        <v>16</v>
      </c>
      <c r="R59">
        <f>IF(C59="Танк",IF(Q59&gt;0,70,-150),IF(C59="Хилер",IF(Q59&gt;0,55,-120),IF(C59="Саппорт",IF(Q59&gt;0,50,-120),IF(Q59&gt;0,15,-120))))</f>
        <v>15</v>
      </c>
      <c r="S59" s="35">
        <f ca="1">IF(OR('РЕЙД-КОНСТРУКТОР'!$E$3&gt;='РЕЙД-КОНСТРУКТОР'!$R$3,AND('РЕЙД-КОНСТРУКТОР'!$C$3&lt;&gt;"Любая",'РЕЙД-КОНСТРУКТОР'!$C$3&lt;&gt;C59),Y59=0),-999,IF(SUM($AA$3:$BS$3)&gt;0,M59*45+N59*12+O59*2+I59*0.25+R59-X59,IF(SUM($AA$4:$BS$4)&gt;0,N59*25+O59*4+I59*0.5+R59-X59,I59+R59-K59*2-X59)))+0*'РЕЙД-КОНСТРУКТОР'!$N$52</f>
        <v>66.710000000000008</v>
      </c>
      <c r="T59">
        <f ca="1">IF(S59&lt;0,"",S59+ROW()/100000)</f>
        <v>66.71059000000001</v>
      </c>
      <c r="U59" t="e">
        <f ca="1">ТЕХ_Расчет!K98</f>
        <v>#NAME?</v>
      </c>
      <c r="V59" t="str">
        <f>IF(SUM($AA$3:$BS$3)&gt;0,"Закрывает "&amp;M59&amp;" крит. и "&amp;N59&amp;" важных; "&amp;IF(Q59&gt;0,"роль нужна","роль уже заполнена")&amp;"; "&amp;H59&amp;", логи "&amp;TEXT(I59,"0")&amp;"/100. "&amp;IF(U59="—","","Эффекты: "&amp;U59)&amp;IF(X59&gt;0,"; повтор: спек "&amp;K59&amp;", класс "&amp;W59&amp;", штраф "&amp;TEXT(X59,"0"),""),IF(SUM($AA$4:$BS$4)&gt;0,"Критичные закрыты; закрывает "&amp;N59&amp;" важных; "&amp;IF(Q59&gt;0,"роль нужна","роль уже заполнена")&amp;"; "&amp;H59&amp;", логи "&amp;TEXT(I59,"0")&amp;"/100."&amp;IF(X59&gt;0," Повтор: спек "&amp;K59&amp;", класс "&amp;W59&amp;", штраф "&amp;TEXT(X59,"0"),""),"Критичные и важные эффекты закрыты — выбор по роли и логам: "&amp;H59&amp;", "&amp;TEXT(I59,"0")&amp;"/100."&amp;IF(X59&gt;0," Повтор: спек "&amp;K59&amp;", класс "&amp;W59&amp;", штраф "&amp;TEXT(X59,"0"),"")))</f>
        <v>Критичные и важные эффекты закрыты — выбор по роли и логам: DPS 1946, 52/100.</v>
      </c>
      <c r="W59">
        <f>SUMIF('РЕЙД-КОНСТРУКТОР'!$C$6:$C$30,A59,ТЕХ_Расчет!$B$2:$B$26)</f>
        <v>0</v>
      </c>
      <c r="X59">
        <f>IF('РЕЙД-КОНСТРУКТОР'!$R$2="Без ограничений",0,IF('РЕЙД-КОНСТРУКТОР'!$R$2="Умеренно",K59*25+W59*6,K59*55+W59*12))</f>
        <v>0</v>
      </c>
      <c r="Y59">
        <f>IF('РЕЙД-КОНСТРУКТОР'!$R$2="Без ограничений",1,IF(OR(K59&gt;='РЕЙД-КОНСТРУКТОР'!$T$2,W59&gt;='РЕЙД-КОНСТРУКТОР'!$V$2),0,1))</f>
        <v>1</v>
      </c>
    </row>
    <row r="60" spans="1:76">
      <c r="A60" t="s">
        <v>276</v>
      </c>
      <c r="B60" t="s">
        <v>282</v>
      </c>
      <c r="C60" t="s">
        <v>84</v>
      </c>
      <c r="D60" t="s">
        <v>687</v>
      </c>
      <c r="E60" t="s">
        <v>1873</v>
      </c>
      <c r="F60">
        <v>1</v>
      </c>
      <c r="G60" s="34">
        <v>4.7619047619047616E-2</v>
      </c>
      <c r="H60" t="s">
        <v>1971</v>
      </c>
      <c r="I60" s="35">
        <v>50.95</v>
      </c>
      <c r="J60" s="31">
        <v>0</v>
      </c>
      <c r="K60">
        <f>SUMIF(ТЕХ_Расчет!$A$2:$A$26,D60,ТЕХ_Расчет!$B$2:$B$26)</f>
        <v>0</v>
      </c>
      <c r="L60">
        <f>SUMPRODUCT(ТЕХ_Списки!E52:AW52,$AA$2:$BS$2)</f>
        <v>0</v>
      </c>
      <c r="M60">
        <f>SUMPRODUCT(ТЕХ_Списки!E52:AW52,$AA$3:$BS$3)</f>
        <v>0</v>
      </c>
      <c r="N60">
        <f>SUMPRODUCT(ТЕХ_Списки!E52:AW52,$AA$4:$BS$4)</f>
        <v>0</v>
      </c>
      <c r="O60">
        <f>SUMPRODUCT(ТЕХ_Списки!E52:AW52,$AA$5:$BS$5)</f>
        <v>0</v>
      </c>
      <c r="P60">
        <f>M60*3+N60*2+O60</f>
        <v>0</v>
      </c>
      <c r="Q60">
        <f>IF(C60="Танк",'РЕЙД-КОНСТРУКТОР'!$R$30,IF(C60="Хилер",'РЕЙД-КОНСТРУКТОР'!$R$31,IF(C60="Саппорт",'РЕЙД-КОНСТРУКТОР'!$R$32,'РЕЙД-КОНСТРУКТОР'!$R$33)))</f>
        <v>2</v>
      </c>
      <c r="R60">
        <f>IF(C60="Танк",IF(Q60&gt;0,70,-150),IF(C60="Хилер",IF(Q60&gt;0,55,-120),IF(C60="Саппорт",IF(Q60&gt;0,50,-120),IF(Q60&gt;0,15,-120))))</f>
        <v>50</v>
      </c>
      <c r="S60" s="35">
        <f ca="1">IF(OR('РЕЙД-КОНСТРУКТОР'!$E$3&gt;='РЕЙД-КОНСТРУКТОР'!$R$3,AND('РЕЙД-КОНСТРУКТОР'!$C$3&lt;&gt;"Любая",'РЕЙД-КОНСТРУКТОР'!$C$3&lt;&gt;C60),Y60=0),-999,IF(SUM($AA$3:$BS$3)&gt;0,M60*45+N60*12+O60*2+I60*0.25+R60-X60,IF(SUM($AA$4:$BS$4)&gt;0,N60*25+O60*4+I60*0.5+R60-X60,I60+R60-K60*2-X60)))+0*'РЕЙД-КОНСТРУКТОР'!$N$52</f>
        <v>100.95</v>
      </c>
      <c r="T60">
        <f ca="1">IF(S60&lt;0,"",S60+ROW()/100000)</f>
        <v>100.95060000000001</v>
      </c>
      <c r="U60" t="e">
        <f ca="1">ТЕХ_Расчет!K100</f>
        <v>#NAME?</v>
      </c>
      <c r="V60" t="str">
        <f>IF(SUM($AA$3:$BS$3)&gt;0,"Закрывает "&amp;M60&amp;" крит. и "&amp;N60&amp;" важных; "&amp;IF(Q60&gt;0,"роль нужна","роль уже заполнена")&amp;"; "&amp;H60&amp;", логи "&amp;TEXT(I60,"0")&amp;"/100. "&amp;IF(U60="—","","Эффекты: "&amp;U60)&amp;IF(X60&gt;0,"; повтор: спек "&amp;K60&amp;", класс "&amp;W60&amp;", штраф "&amp;TEXT(X60,"0"),""),IF(SUM($AA$4:$BS$4)&gt;0,"Критичные закрыты; закрывает "&amp;N60&amp;" важных; "&amp;IF(Q60&gt;0,"роль нужна","роль уже заполнена")&amp;"; "&amp;H60&amp;", логи "&amp;TEXT(I60,"0")&amp;"/100."&amp;IF(X60&gt;0," Повтор: спек "&amp;K60&amp;", класс "&amp;W60&amp;", штраф "&amp;TEXT(X60,"0"),""),"Критичные и важные эффекты закрыты — выбор по роли и логам: "&amp;H60&amp;", "&amp;TEXT(I60,"0")&amp;"/100."&amp;IF(X60&gt;0," Повтор: спек "&amp;K60&amp;", класс "&amp;W60&amp;", штраф "&amp;TEXT(X60,"0"),"")))</f>
        <v>Критичные и важные эффекты закрыты — выбор по роли и логам: балл роли 2483, 51/100.</v>
      </c>
      <c r="W60">
        <f>SUMIF('РЕЙД-КОНСТРУКТОР'!$C$6:$C$30,A60,ТЕХ_Расчет!$B$2:$B$26)</f>
        <v>0</v>
      </c>
      <c r="X60">
        <f>IF('РЕЙД-КОНСТРУКТОР'!$R$2="Без ограничений",0,IF('РЕЙД-КОНСТРУКТОР'!$R$2="Умеренно",K60*25+W60*6,K60*55+W60*12))</f>
        <v>0</v>
      </c>
      <c r="Y60">
        <f>IF('РЕЙД-КОНСТРУКТОР'!$R$2="Без ограничений",1,IF(OR(K60&gt;='РЕЙД-КОНСТРУКТОР'!$T$2,W60&gt;='РЕЙД-КОНСТРУКТОР'!$V$2),0,1))</f>
        <v>1</v>
      </c>
    </row>
    <row r="61" spans="1:76">
      <c r="A61" t="s">
        <v>285</v>
      </c>
      <c r="B61" t="s">
        <v>292</v>
      </c>
      <c r="C61" t="s">
        <v>78</v>
      </c>
      <c r="D61" t="s">
        <v>690</v>
      </c>
      <c r="E61" t="s">
        <v>1874</v>
      </c>
      <c r="F61">
        <v>40</v>
      </c>
      <c r="G61" s="34">
        <v>0.66666666666666663</v>
      </c>
      <c r="H61" t="s">
        <v>1974</v>
      </c>
      <c r="I61" s="35">
        <v>50.61</v>
      </c>
      <c r="J61" s="31">
        <v>0.1</v>
      </c>
      <c r="K61">
        <f>SUMIF(ТЕХ_Расчет!$A$2:$A$26,D61,ТЕХ_Расчет!$B$2:$B$26)</f>
        <v>0</v>
      </c>
      <c r="L61">
        <f>SUMPRODUCT(ТЕХ_Списки!E55:AW55,$AA$2:$BS$2)</f>
        <v>0</v>
      </c>
      <c r="M61">
        <f>SUMPRODUCT(ТЕХ_Списки!E55:AW55,$AA$3:$BS$3)</f>
        <v>0</v>
      </c>
      <c r="N61">
        <f>SUMPRODUCT(ТЕХ_Списки!E55:AW55,$AA$4:$BS$4)</f>
        <v>0</v>
      </c>
      <c r="O61">
        <f>SUMPRODUCT(ТЕХ_Списки!E55:AW55,$AA$5:$BS$5)</f>
        <v>0</v>
      </c>
      <c r="P61">
        <f>M61*3+N61*2+O61</f>
        <v>0</v>
      </c>
      <c r="Q61">
        <f>IF(C61="Танк",'РЕЙД-КОНСТРУКТОР'!$R$30,IF(C61="Хилер",'РЕЙД-КОНСТРУКТОР'!$R$31,IF(C61="Саппорт",'РЕЙД-КОНСТРУКТОР'!$R$32,'РЕЙД-КОНСТРУКТОР'!$R$33)))</f>
        <v>2</v>
      </c>
      <c r="R61">
        <f>IF(C61="Танк",IF(Q61&gt;0,70,-150),IF(C61="Хилер",IF(Q61&gt;0,55,-120),IF(C61="Саппорт",IF(Q61&gt;0,50,-120),IF(Q61&gt;0,15,-120))))</f>
        <v>70</v>
      </c>
      <c r="S61" s="35">
        <f ca="1">IF(OR('РЕЙД-КОНСТРУКТОР'!$E$3&gt;='РЕЙД-КОНСТРУКТОР'!$R$3,AND('РЕЙД-КОНСТРУКТОР'!$C$3&lt;&gt;"Любая",'РЕЙД-КОНСТРУКТОР'!$C$3&lt;&gt;C61),Y61=0),-999,IF(SUM($AA$3:$BS$3)&gt;0,M61*45+N61*12+O61*2+I61*0.25+R61-X61,IF(SUM($AA$4:$BS$4)&gt;0,N61*25+O61*4+I61*0.5+R61-X61,I61+R61-K61*2-X61)))+0*'РЕЙД-КОНСТРУКТОР'!$N$52</f>
        <v>120.61</v>
      </c>
      <c r="T61">
        <f ca="1">IF(S61&lt;0,"",S61+ROW()/100000)</f>
        <v>120.61060999999999</v>
      </c>
      <c r="U61" t="e">
        <f ca="1">ТЕХ_Расчет!K103</f>
        <v>#NAME?</v>
      </c>
      <c r="V61" t="str">
        <f>IF(SUM($AA$3:$BS$3)&gt;0,"Закрывает "&amp;M61&amp;" крит. и "&amp;N61&amp;" важных; "&amp;IF(Q61&gt;0,"роль нужна","роль уже заполнена")&amp;"; "&amp;H61&amp;", логи "&amp;TEXT(I61,"0")&amp;"/100. "&amp;IF(U61="—","","Эффекты: "&amp;U61)&amp;IF(X61&gt;0,"; повтор: спек "&amp;K61&amp;", класс "&amp;W61&amp;", штраф "&amp;TEXT(X61,"0"),""),IF(SUM($AA$4:$BS$4)&gt;0,"Критичные закрыты; закрывает "&amp;N61&amp;" важных; "&amp;IF(Q61&gt;0,"роль нужна","роль уже заполнена")&amp;"; "&amp;H61&amp;", логи "&amp;TEXT(I61,"0")&amp;"/100."&amp;IF(X61&gt;0," Повтор: спек "&amp;K61&amp;", класс "&amp;W61&amp;", штраф "&amp;TEXT(X61,"0"),""),"Критичные и важные эффекты закрыты — выбор по роли и логам: "&amp;H61&amp;", "&amp;TEXT(I61,"0")&amp;"/100."&amp;IF(X61&gt;0," Повтор: спек "&amp;K61&amp;", класс "&amp;W61&amp;", штраф "&amp;TEXT(X61,"0"),"")))</f>
        <v>Критичные и важные эффекты закрыты — выбор по роли и логам: DTPS 505, 51/100.</v>
      </c>
      <c r="W61">
        <f>SUMIF('РЕЙД-КОНСТРУКТОР'!$C$6:$C$30,A61,ТЕХ_Расчет!$B$2:$B$26)</f>
        <v>0</v>
      </c>
      <c r="X61">
        <f>IF('РЕЙД-КОНСТРУКТОР'!$R$2="Без ограничений",0,IF('РЕЙД-КОНСТРУКТОР'!$R$2="Умеренно",K61*25+W61*6,K61*55+W61*12))</f>
        <v>0</v>
      </c>
      <c r="Y61">
        <f>IF('РЕЙД-КОНСТРУКТОР'!$R$2="Без ограничений",1,IF(OR(K61&gt;='РЕЙД-КОНСТРУКТОР'!$T$2,W61&gt;='РЕЙД-КОНСТРУКТОР'!$V$2),0,1))</f>
        <v>1</v>
      </c>
    </row>
    <row r="62" spans="1:76">
      <c r="A62" t="s">
        <v>312</v>
      </c>
      <c r="B62" t="s">
        <v>316</v>
      </c>
      <c r="C62" t="s">
        <v>139</v>
      </c>
      <c r="D62" t="s">
        <v>698</v>
      </c>
      <c r="E62" t="s">
        <v>1871</v>
      </c>
      <c r="F62">
        <v>3</v>
      </c>
      <c r="G62" s="34">
        <v>0.13043478260869565</v>
      </c>
      <c r="H62" t="s">
        <v>1982</v>
      </c>
      <c r="I62" s="35">
        <v>49.1</v>
      </c>
      <c r="J62" s="31">
        <v>0.66666666666666663</v>
      </c>
      <c r="K62">
        <f>SUMIF(ТЕХ_Расчет!$A$2:$A$26,D62,ТЕХ_Расчет!$B$2:$B$26)</f>
        <v>0</v>
      </c>
      <c r="L62">
        <f>SUMPRODUCT(ТЕХ_Списки!E63:AW63,$AA$2:$BS$2)</f>
        <v>0</v>
      </c>
      <c r="M62">
        <f>SUMPRODUCT(ТЕХ_Списки!E63:AW63,$AA$3:$BS$3)</f>
        <v>0</v>
      </c>
      <c r="N62">
        <f>SUMPRODUCT(ТЕХ_Списки!E63:AW63,$AA$4:$BS$4)</f>
        <v>0</v>
      </c>
      <c r="O62">
        <f>SUMPRODUCT(ТЕХ_Списки!E63:AW63,$AA$5:$BS$5)</f>
        <v>0</v>
      </c>
      <c r="P62">
        <f>M62*3+N62*2+O62</f>
        <v>0</v>
      </c>
      <c r="Q62">
        <f>IF(C62="Танк",'РЕЙД-КОНСТРУКТОР'!$R$30,IF(C62="Хилер",'РЕЙД-КОНСТРУКТОР'!$R$31,IF(C62="Саппорт",'РЕЙД-КОНСТРУКТОР'!$R$32,'РЕЙД-КОНСТРУКТОР'!$R$33)))</f>
        <v>16</v>
      </c>
      <c r="R62">
        <f>IF(C62="Танк",IF(Q62&gt;0,70,-150),IF(C62="Хилер",IF(Q62&gt;0,55,-120),IF(C62="Саппорт",IF(Q62&gt;0,50,-120),IF(Q62&gt;0,15,-120))))</f>
        <v>15</v>
      </c>
      <c r="S62" s="35">
        <f ca="1">IF(OR('РЕЙД-КОНСТРУКТОР'!$E$3&gt;='РЕЙД-КОНСТРУКТОР'!$R$3,AND('РЕЙД-КОНСТРУКТОР'!$C$3&lt;&gt;"Любая",'РЕЙД-КОНСТРУКТОР'!$C$3&lt;&gt;C62),Y62=0),-999,IF(SUM($AA$3:$BS$3)&gt;0,M62*45+N62*12+O62*2+I62*0.25+R62-X62,IF(SUM($AA$4:$BS$4)&gt;0,N62*25+O62*4+I62*0.5+R62-X62,I62+R62-K62*2-X62)))+0*'РЕЙД-КОНСТРУКТОР'!$N$52</f>
        <v>64.099999999999994</v>
      </c>
      <c r="T62">
        <f ca="1">IF(S62&lt;0,"",S62+ROW()/100000)</f>
        <v>64.100619999999992</v>
      </c>
      <c r="U62" t="e">
        <f ca="1">ТЕХ_Расчет!K111</f>
        <v>#NAME?</v>
      </c>
      <c r="V62" t="str">
        <f>IF(SUM($AA$3:$BS$3)&gt;0,"Закрывает "&amp;M62&amp;" крит. и "&amp;N62&amp;" важных; "&amp;IF(Q62&gt;0,"роль нужна","роль уже заполнена")&amp;"; "&amp;H62&amp;", логи "&amp;TEXT(I62,"0")&amp;"/100. "&amp;IF(U62="—","","Эффекты: "&amp;U62)&amp;IF(X62&gt;0,"; повтор: спек "&amp;K62&amp;", класс "&amp;W62&amp;", штраф "&amp;TEXT(X62,"0"),""),IF(SUM($AA$4:$BS$4)&gt;0,"Критичные закрыты; закрывает "&amp;N62&amp;" важных; "&amp;IF(Q62&gt;0,"роль нужна","роль уже заполнена")&amp;"; "&amp;H62&amp;", логи "&amp;TEXT(I62,"0")&amp;"/100."&amp;IF(X62&gt;0," Повтор: спек "&amp;K62&amp;", класс "&amp;W62&amp;", штраф "&amp;TEXT(X62,"0"),""),"Критичные и важные эффекты закрыты — выбор по роли и логам: "&amp;H62&amp;", "&amp;TEXT(I62,"0")&amp;"/100."&amp;IF(X62&gt;0," Повтор: спек "&amp;K62&amp;", класс "&amp;W62&amp;", штраф "&amp;TEXT(X62,"0"),"")))</f>
        <v>Критичные и важные эффекты закрыты — выбор по роли и логам: DPS 2288, 49/100.</v>
      </c>
      <c r="W62">
        <f>SUMIF('РЕЙД-КОНСТРУКТОР'!$C$6:$C$30,A62,ТЕХ_Расчет!$B$2:$B$26)</f>
        <v>0</v>
      </c>
      <c r="X62">
        <f>IF('РЕЙД-КОНСТРУКТОР'!$R$2="Без ограничений",0,IF('РЕЙД-КОНСТРУКТОР'!$R$2="Умеренно",K62*25+W62*6,K62*55+W62*12))</f>
        <v>0</v>
      </c>
      <c r="Y62">
        <f>IF('РЕЙД-КОНСТРУКТОР'!$R$2="Без ограничений",1,IF(OR(K62&gt;='РЕЙД-КОНСТРУКТОР'!$T$2,W62&gt;='РЕЙД-КОНСТРУКТОР'!$V$2),0,1))</f>
        <v>1</v>
      </c>
    </row>
    <row r="63" spans="1:76">
      <c r="A63" t="s">
        <v>194</v>
      </c>
      <c r="B63" t="s">
        <v>201</v>
      </c>
      <c r="C63" t="s">
        <v>78</v>
      </c>
      <c r="D63" t="s">
        <v>659</v>
      </c>
      <c r="E63" t="s">
        <v>1874</v>
      </c>
      <c r="F63">
        <v>5</v>
      </c>
      <c r="G63" s="34">
        <v>0.2</v>
      </c>
      <c r="H63" t="s">
        <v>1944</v>
      </c>
      <c r="I63" s="35">
        <v>49.09</v>
      </c>
      <c r="J63" s="31">
        <v>0</v>
      </c>
      <c r="K63">
        <f>SUMIF(ТЕХ_Расчет!$A$2:$A$26,D63,ТЕХ_Расчет!$B$2:$B$26)</f>
        <v>0</v>
      </c>
      <c r="L63">
        <f>SUMPRODUCT(ТЕХ_Списки!E24:AW24,$AA$2:$BS$2)</f>
        <v>0</v>
      </c>
      <c r="M63">
        <f>SUMPRODUCT(ТЕХ_Списки!E24:AW24,$AA$3:$BS$3)</f>
        <v>0</v>
      </c>
      <c r="N63">
        <f>SUMPRODUCT(ТЕХ_Списки!E24:AW24,$AA$4:$BS$4)</f>
        <v>0</v>
      </c>
      <c r="O63">
        <f>SUMPRODUCT(ТЕХ_Списки!E24:AW24,$AA$5:$BS$5)</f>
        <v>0</v>
      </c>
      <c r="P63">
        <f>M63*3+N63*2+O63</f>
        <v>0</v>
      </c>
      <c r="Q63">
        <f>IF(C63="Танк",'РЕЙД-КОНСТРУКТОР'!$R$30,IF(C63="Хилер",'РЕЙД-КОНСТРУКТОР'!$R$31,IF(C63="Саппорт",'РЕЙД-КОНСТРУКТОР'!$R$32,'РЕЙД-КОНСТРУКТОР'!$R$33)))</f>
        <v>2</v>
      </c>
      <c r="R63">
        <f>IF(C63="Танк",IF(Q63&gt;0,70,-150),IF(C63="Хилер",IF(Q63&gt;0,55,-120),IF(C63="Саппорт",IF(Q63&gt;0,50,-120),IF(Q63&gt;0,15,-120))))</f>
        <v>70</v>
      </c>
      <c r="S63" s="35">
        <f ca="1">IF(OR('РЕЙД-КОНСТРУКТОР'!$E$3&gt;='РЕЙД-КОНСТРУКТОР'!$R$3,AND('РЕЙД-КОНСТРУКТОР'!$C$3&lt;&gt;"Любая",'РЕЙД-КОНСТРУКТОР'!$C$3&lt;&gt;C63),Y63=0),-999,IF(SUM($AA$3:$BS$3)&gt;0,M63*45+N63*12+O63*2+I63*0.25+R63-X63,IF(SUM($AA$4:$BS$4)&gt;0,N63*25+O63*4+I63*0.5+R63-X63,I63+R63-K63*2-X63)))+0*'РЕЙД-КОНСТРУКТОР'!$N$52</f>
        <v>119.09</v>
      </c>
      <c r="T63">
        <f ca="1">IF(S63&lt;0,"",S63+ROW()/100000)</f>
        <v>119.09063</v>
      </c>
      <c r="U63" t="e">
        <f ca="1">ТЕХ_Расчет!K72</f>
        <v>#NAME?</v>
      </c>
      <c r="V63" t="str">
        <f>IF(SUM($AA$3:$BS$3)&gt;0,"Закрывает "&amp;M63&amp;" крит. и "&amp;N63&amp;" важных; "&amp;IF(Q63&gt;0,"роль нужна","роль уже заполнена")&amp;"; "&amp;H63&amp;", логи "&amp;TEXT(I63,"0")&amp;"/100. "&amp;IF(U63="—","","Эффекты: "&amp;U63)&amp;IF(X63&gt;0,"; повтор: спек "&amp;K63&amp;", класс "&amp;W63&amp;", штраф "&amp;TEXT(X63,"0"),""),IF(SUM($AA$4:$BS$4)&gt;0,"Критичные закрыты; закрывает "&amp;N63&amp;" важных; "&amp;IF(Q63&gt;0,"роль нужна","роль уже заполнена")&amp;"; "&amp;H63&amp;", логи "&amp;TEXT(I63,"0")&amp;"/100."&amp;IF(X63&gt;0," Повтор: спек "&amp;K63&amp;", класс "&amp;W63&amp;", штраф "&amp;TEXT(X63,"0"),""),"Критичные и важные эффекты закрыты — выбор по роли и логам: "&amp;H63&amp;", "&amp;TEXT(I63,"0")&amp;"/100."&amp;IF(X63&gt;0," Повтор: спек "&amp;K63&amp;", класс "&amp;W63&amp;", штраф "&amp;TEXT(X63,"0"),"")))</f>
        <v>Критичные и важные эффекты закрыты — выбор по роли и логам: DTPS 794, 49/100.</v>
      </c>
      <c r="W63">
        <f>SUMIF('РЕЙД-КОНСТРУКТОР'!$C$6:$C$30,A63,ТЕХ_Расчет!$B$2:$B$26)</f>
        <v>0</v>
      </c>
      <c r="X63">
        <f>IF('РЕЙД-КОНСТРУКТОР'!$R$2="Без ограничений",0,IF('РЕЙД-КОНСТРУКТОР'!$R$2="Умеренно",K63*25+W63*6,K63*55+W63*12))</f>
        <v>0</v>
      </c>
      <c r="Y63">
        <f>IF('РЕЙД-КОНСТРУКТОР'!$R$2="Без ограничений",1,IF(OR(K63&gt;='РЕЙД-КОНСТРУКТОР'!$T$2,W63&gt;='РЕЙД-КОНСТРУКТОР'!$V$2),0,1))</f>
        <v>1</v>
      </c>
      <c r="BT63" t="str">
        <f>'РЕЙД-КОНСТРУКТОР'!J28</f>
        <v>Arcane Resistance</v>
      </c>
      <c r="BU63" t="str">
        <f>'РЕЙД-КОНСТРУКТОР'!M28</f>
        <v>Опционально</v>
      </c>
      <c r="BV63">
        <f>'СПРАВОЧНИК ЭФФЕКТОВ'!F26</f>
        <v>17</v>
      </c>
      <c r="BW63" t="str">
        <f>'СПРАВОЧНИК ЭФФЕКТОВ'!L26</f>
        <v>Knight of Xoroth — любой спек; Primalist — любой спек; Pyromancer — любой спек; Runemaster — любой спек; + ещё 1 классов</v>
      </c>
      <c r="BX63">
        <f>IF('РЕЙД-КОНСТРУКТОР'!K28&gt;0,"",IF(BU63="Критично",3000,IF(BU63="Важно",2000,1000))+(100-MIN(BV63,99))+ROW()/100000)</f>
        <v>1083.00063</v>
      </c>
    </row>
    <row r="64" spans="1:76">
      <c r="A64" t="s">
        <v>322</v>
      </c>
      <c r="B64" t="s">
        <v>326</v>
      </c>
      <c r="C64" t="s">
        <v>81</v>
      </c>
      <c r="D64" t="s">
        <v>701</v>
      </c>
      <c r="E64" t="s">
        <v>1872</v>
      </c>
      <c r="F64">
        <v>66</v>
      </c>
      <c r="G64" s="34">
        <v>0.76744186046511631</v>
      </c>
      <c r="H64" t="s">
        <v>1985</v>
      </c>
      <c r="I64" s="35">
        <v>48.9</v>
      </c>
      <c r="J64" s="31">
        <v>0.18181818181818182</v>
      </c>
      <c r="K64">
        <f>SUMIF(ТЕХ_Расчет!$A$2:$A$26,D64,ТЕХ_Расчет!$B$2:$B$26)</f>
        <v>0</v>
      </c>
      <c r="L64">
        <f>SUMPRODUCT(ТЕХ_Списки!E66:AW66,$AA$2:$BS$2)</f>
        <v>0</v>
      </c>
      <c r="M64">
        <f>SUMPRODUCT(ТЕХ_Списки!E66:AW66,$AA$3:$BS$3)</f>
        <v>0</v>
      </c>
      <c r="N64">
        <f>SUMPRODUCT(ТЕХ_Списки!E66:AW66,$AA$4:$BS$4)</f>
        <v>0</v>
      </c>
      <c r="O64">
        <f>SUMPRODUCT(ТЕХ_Списки!E66:AW66,$AA$5:$BS$5)</f>
        <v>0</v>
      </c>
      <c r="P64">
        <f>M64*3+N64*2+O64</f>
        <v>0</v>
      </c>
      <c r="Q64">
        <f>IF(C64="Танк",'РЕЙД-КОНСТРУКТОР'!$R$30,IF(C64="Хилер",'РЕЙД-КОНСТРУКТОР'!$R$31,IF(C64="Саппорт",'РЕЙД-КОНСТРУКТОР'!$R$32,'РЕЙД-КОНСТРУКТОР'!$R$33)))</f>
        <v>5</v>
      </c>
      <c r="R64">
        <f>IF(C64="Танк",IF(Q64&gt;0,70,-150),IF(C64="Хилер",IF(Q64&gt;0,55,-120),IF(C64="Саппорт",IF(Q64&gt;0,50,-120),IF(Q64&gt;0,15,-120))))</f>
        <v>55</v>
      </c>
      <c r="S64" s="35">
        <f ca="1">IF(OR('РЕЙД-КОНСТРУКТОР'!$E$3&gt;='РЕЙД-КОНСТРУКТОР'!$R$3,AND('РЕЙД-КОНСТРУКТОР'!$C$3&lt;&gt;"Любая",'РЕЙД-КОНСТРУКТОР'!$C$3&lt;&gt;C64),Y64=0),-999,IF(SUM($AA$3:$BS$3)&gt;0,M64*45+N64*12+O64*2+I64*0.25+R64-X64,IF(SUM($AA$4:$BS$4)&gt;0,N64*25+O64*4+I64*0.5+R64-X64,I64+R64-K64*2-X64)))+0*'РЕЙД-КОНСТРУКТОР'!$N$52</f>
        <v>103.9</v>
      </c>
      <c r="T64">
        <f ca="1">IF(S64&lt;0,"",S64+ROW()/100000)</f>
        <v>103.90064000000001</v>
      </c>
      <c r="U64" t="e">
        <f ca="1">ТЕХ_Расчет!K114</f>
        <v>#NAME?</v>
      </c>
      <c r="V64" t="str">
        <f>IF(SUM($AA$3:$BS$3)&gt;0,"Закрывает "&amp;M64&amp;" крит. и "&amp;N64&amp;" важных; "&amp;IF(Q64&gt;0,"роль нужна","роль уже заполнена")&amp;"; "&amp;H64&amp;", логи "&amp;TEXT(I64,"0")&amp;"/100. "&amp;IF(U64="—","","Эффекты: "&amp;U64)&amp;IF(X64&gt;0,"; повтор: спек "&amp;K64&amp;", класс "&amp;W64&amp;", штраф "&amp;TEXT(X64,"0"),""),IF(SUM($AA$4:$BS$4)&gt;0,"Критичные закрыты; закрывает "&amp;N64&amp;" важных; "&amp;IF(Q64&gt;0,"роль нужна","роль уже заполнена")&amp;"; "&amp;H64&amp;", логи "&amp;TEXT(I64,"0")&amp;"/100."&amp;IF(X64&gt;0," Повтор: спек "&amp;K64&amp;", класс "&amp;W64&amp;", штраф "&amp;TEXT(X64,"0"),""),"Критичные и важные эффекты закрыты — выбор по роли и логам: "&amp;H64&amp;", "&amp;TEXT(I64,"0")&amp;"/100."&amp;IF(X64&gt;0," Повтор: спек "&amp;K64&amp;", класс "&amp;W64&amp;", штраф "&amp;TEXT(X64,"0"),"")))</f>
        <v>Критичные и важные эффекты закрыты — выбор по роли и логам: HPS 597, 49/100.</v>
      </c>
      <c r="W64">
        <f>SUMIF('РЕЙД-КОНСТРУКТОР'!$C$6:$C$30,A64,ТЕХ_Расчет!$B$2:$B$26)</f>
        <v>0</v>
      </c>
      <c r="X64">
        <f>IF('РЕЙД-КОНСТРУКТОР'!$R$2="Без ограничений",0,IF('РЕЙД-КОНСТРУКТОР'!$R$2="Умеренно",K64*25+W64*6,K64*55+W64*12))</f>
        <v>0</v>
      </c>
      <c r="Y64">
        <f>IF('РЕЙД-КОНСТРУКТОР'!$R$2="Без ограничений",1,IF(OR(K64&gt;='РЕЙД-КОНСТРУКТОР'!$T$2,W64&gt;='РЕЙД-КОНСТРУКТОР'!$V$2),0,1))</f>
        <v>1</v>
      </c>
    </row>
    <row r="65" spans="1:76">
      <c r="A65" t="s">
        <v>204</v>
      </c>
      <c r="B65" t="s">
        <v>208</v>
      </c>
      <c r="C65" t="s">
        <v>135</v>
      </c>
      <c r="D65" t="s">
        <v>661</v>
      </c>
      <c r="E65" t="s">
        <v>1871</v>
      </c>
      <c r="F65">
        <v>36</v>
      </c>
      <c r="G65" s="34">
        <v>0.6428571428571429</v>
      </c>
      <c r="H65" t="s">
        <v>1946</v>
      </c>
      <c r="I65" s="35">
        <v>48.23</v>
      </c>
      <c r="J65" s="31">
        <v>0.1388888888888889</v>
      </c>
      <c r="K65">
        <f>SUMIF(ТЕХ_Расчет!$A$2:$A$26,D65,ТЕХ_Расчет!$B$2:$B$26)</f>
        <v>0</v>
      </c>
      <c r="L65">
        <f>SUMPRODUCT(ТЕХ_Списки!E26:AW26,$AA$2:$BS$2)</f>
        <v>0</v>
      </c>
      <c r="M65">
        <f>SUMPRODUCT(ТЕХ_Списки!E26:AW26,$AA$3:$BS$3)</f>
        <v>0</v>
      </c>
      <c r="N65">
        <f>SUMPRODUCT(ТЕХ_Списки!E26:AW26,$AA$4:$BS$4)</f>
        <v>0</v>
      </c>
      <c r="O65">
        <f>SUMPRODUCT(ТЕХ_Списки!E26:AW26,$AA$5:$BS$5)</f>
        <v>0</v>
      </c>
      <c r="P65">
        <f>M65*3+N65*2+O65</f>
        <v>0</v>
      </c>
      <c r="Q65">
        <f>IF(C65="Танк",'РЕЙД-КОНСТРУКТОР'!$R$30,IF(C65="Хилер",'РЕЙД-КОНСТРУКТОР'!$R$31,IF(C65="Саппорт",'РЕЙД-КОНСТРУКТОР'!$R$32,'РЕЙД-КОНСТРУКТОР'!$R$33)))</f>
        <v>16</v>
      </c>
      <c r="R65">
        <f>IF(C65="Танк",IF(Q65&gt;0,70,-150),IF(C65="Хилер",IF(Q65&gt;0,55,-120),IF(C65="Саппорт",IF(Q65&gt;0,50,-120),IF(Q65&gt;0,15,-120))))</f>
        <v>15</v>
      </c>
      <c r="S65" s="35">
        <f ca="1">IF(OR('РЕЙД-КОНСТРУКТОР'!$E$3&gt;='РЕЙД-КОНСТРУКТОР'!$R$3,AND('РЕЙД-КОНСТРУКТОР'!$C$3&lt;&gt;"Любая",'РЕЙД-КОНСТРУКТОР'!$C$3&lt;&gt;C65),Y65=0),-999,IF(SUM($AA$3:$BS$3)&gt;0,M65*45+N65*12+O65*2+I65*0.25+R65-X65,IF(SUM($AA$4:$BS$4)&gt;0,N65*25+O65*4+I65*0.5+R65-X65,I65+R65-K65*2-X65)))+0*'РЕЙД-КОНСТРУКТОР'!$N$52</f>
        <v>63.23</v>
      </c>
      <c r="T65">
        <f ca="1">IF(S65&lt;0,"",S65+ROW()/100000)</f>
        <v>63.230649999999997</v>
      </c>
      <c r="U65" t="e">
        <f ca="1">ТЕХ_Расчет!K74</f>
        <v>#NAME?</v>
      </c>
      <c r="V65" t="str">
        <f>IF(SUM($AA$3:$BS$3)&gt;0,"Закрывает "&amp;M65&amp;" крит. и "&amp;N65&amp;" важных; "&amp;IF(Q65&gt;0,"роль нужна","роль уже заполнена")&amp;"; "&amp;H65&amp;", логи "&amp;TEXT(I65,"0")&amp;"/100. "&amp;IF(U65="—","","Эффекты: "&amp;U65)&amp;IF(X65&gt;0,"; повтор: спек "&amp;K65&amp;", класс "&amp;W65&amp;", штраф "&amp;TEXT(X65,"0"),""),IF(SUM($AA$4:$BS$4)&gt;0,"Критичные закрыты; закрывает "&amp;N65&amp;" важных; "&amp;IF(Q65&gt;0,"роль нужна","роль уже заполнена")&amp;"; "&amp;H65&amp;", логи "&amp;TEXT(I65,"0")&amp;"/100."&amp;IF(X65&gt;0," Повтор: спек "&amp;K65&amp;", класс "&amp;W65&amp;", штраф "&amp;TEXT(X65,"0"),""),"Критичные и важные эффекты закрыты — выбор по роли и логам: "&amp;H65&amp;", "&amp;TEXT(I65,"0")&amp;"/100."&amp;IF(X65&gt;0," Повтор: спек "&amp;K65&amp;", класс "&amp;W65&amp;", штраф "&amp;TEXT(X65,"0"),"")))</f>
        <v>Критичные и важные эффекты закрыты — выбор по роли и логам: DPS 2779, 48/100.</v>
      </c>
      <c r="W65">
        <f>SUMIF('РЕЙД-КОНСТРУКТОР'!$C$6:$C$30,A65,ТЕХ_Расчет!$B$2:$B$26)</f>
        <v>0</v>
      </c>
      <c r="X65">
        <f>IF('РЕЙД-КОНСТРУКТОР'!$R$2="Без ограничений",0,IF('РЕЙД-КОНСТРУКТОР'!$R$2="Умеренно",K65*25+W65*6,K65*55+W65*12))</f>
        <v>0</v>
      </c>
      <c r="Y65">
        <f>IF('РЕЙД-КОНСТРУКТОР'!$R$2="Без ограничений",1,IF(OR(K65&gt;='РЕЙД-КОНСТРУКТОР'!$T$2,W65&gt;='РЕЙД-КОНСТРУКТОР'!$V$2),0,1))</f>
        <v>1</v>
      </c>
      <c r="BT65" t="str">
        <f>'РЕЙД-КОНСТРУКТОР'!J30</f>
        <v>3% Damage Reduction (all)</v>
      </c>
      <c r="BU65" t="str">
        <f>'РЕЙД-КОНСТРУКТОР'!M30</f>
        <v>Критично</v>
      </c>
      <c r="BV65">
        <f>'СПРАВОЧНИК ЭФФЕКТОВ'!F28</f>
        <v>7</v>
      </c>
      <c r="BW65" t="str">
        <f>'СПРАВОЧНИК ЭФФЕКТОВ'!L28</f>
        <v>Chronomancer — Time; Cultist — Heretic; Guardian — Vanguard; Reaper — Domination; + ещё 3 классов</v>
      </c>
      <c r="BX65">
        <f>IF('РЕЙД-КОНСТРУКТОР'!K30&gt;0,"",IF(BU65="Критично",3000,IF(BU65="Важно",2000,1000))+(100-MIN(BV65,99))+ROW()/100000)</f>
        <v>3093.00065</v>
      </c>
    </row>
    <row r="66" spans="1:76">
      <c r="A66" t="s">
        <v>130</v>
      </c>
      <c r="B66" t="s">
        <v>131</v>
      </c>
      <c r="C66" t="s">
        <v>84</v>
      </c>
      <c r="D66" t="s">
        <v>634</v>
      </c>
      <c r="E66" t="s">
        <v>1873</v>
      </c>
      <c r="F66">
        <v>43</v>
      </c>
      <c r="G66" s="34">
        <v>0.68253968253968256</v>
      </c>
      <c r="H66" t="s">
        <v>1922</v>
      </c>
      <c r="I66" s="35">
        <v>45</v>
      </c>
      <c r="J66" s="31">
        <v>6.9767441860465115E-2</v>
      </c>
      <c r="K66">
        <f>SUMIF(ТЕХ_Расчет!$A$2:$A$26,D66,ТЕХ_Расчет!$B$2:$B$26)</f>
        <v>0</v>
      </c>
      <c r="L66">
        <f>SUMPRODUCT(ТЕХ_Списки!E2:AW2,$AA$2:$BS$2)</f>
        <v>0</v>
      </c>
      <c r="M66">
        <f>SUMPRODUCT(ТЕХ_Списки!E2:AW2,$AA$3:$BS$3)</f>
        <v>0</v>
      </c>
      <c r="N66">
        <f>SUMPRODUCT(ТЕХ_Списки!E2:AW2,$AA$4:$BS$4)</f>
        <v>0</v>
      </c>
      <c r="O66">
        <f>SUMPRODUCT(ТЕХ_Списки!E2:AW2,$AA$5:$BS$5)</f>
        <v>0</v>
      </c>
      <c r="P66">
        <f>M66*3+N66*2+O66</f>
        <v>0</v>
      </c>
      <c r="Q66">
        <f>IF(C66="Танк",'РЕЙД-КОНСТРУКТОР'!$R$30,IF(C66="Хилер",'РЕЙД-КОНСТРУКТОР'!$R$31,IF(C66="Саппорт",'РЕЙД-КОНСТРУКТОР'!$R$32,'РЕЙД-КОНСТРУКТОР'!$R$33)))</f>
        <v>2</v>
      </c>
      <c r="R66">
        <f>IF(C66="Танк",IF(Q66&gt;0,70,-150),IF(C66="Хилер",IF(Q66&gt;0,55,-120),IF(C66="Саппорт",IF(Q66&gt;0,50,-120),IF(Q66&gt;0,15,-120))))</f>
        <v>50</v>
      </c>
      <c r="S66" s="35">
        <f ca="1">IF(OR('РЕЙД-КОНСТРУКТОР'!$E$3&gt;='РЕЙД-КОНСТРУКТОР'!$R$3,AND('РЕЙД-КОНСТРУКТОР'!$C$3&lt;&gt;"Любая",'РЕЙД-КОНСТРУКТОР'!$C$3&lt;&gt;C66),Y66=0),-999,IF(SUM($AA$3:$BS$3)&gt;0,M66*45+N66*12+O66*2+I66*0.25+R66-X66,IF(SUM($AA$4:$BS$4)&gt;0,N66*25+O66*4+I66*0.5+R66-X66,I66+R66-K66*2-X66)))+0*'РЕЙД-КОНСТРУКТОР'!$N$52</f>
        <v>95</v>
      </c>
      <c r="T66">
        <f ca="1">IF(S66&lt;0,"",S66+ROW()/100000)</f>
        <v>95.000659999999996</v>
      </c>
      <c r="U66" t="e">
        <f ca="1">ТЕХ_Расчет!K50</f>
        <v>#NAME?</v>
      </c>
      <c r="V66" t="str">
        <f>IF(SUM($AA$3:$BS$3)&gt;0,"Закрывает "&amp;M66&amp;" крит. и "&amp;N66&amp;" важных; "&amp;IF(Q66&gt;0,"роль нужна","роль уже заполнена")&amp;"; "&amp;H66&amp;", логи "&amp;TEXT(I66,"0")&amp;"/100. "&amp;IF(U66="—","","Эффекты: "&amp;U66)&amp;IF(X66&gt;0,"; повтор: спек "&amp;K66&amp;", класс "&amp;W66&amp;", штраф "&amp;TEXT(X66,"0"),""),IF(SUM($AA$4:$BS$4)&gt;0,"Критичные закрыты; закрывает "&amp;N66&amp;" важных; "&amp;IF(Q66&gt;0,"роль нужна","роль уже заполнена")&amp;"; "&amp;H66&amp;", логи "&amp;TEXT(I66,"0")&amp;"/100."&amp;IF(X66&gt;0," Повтор: спек "&amp;K66&amp;", класс "&amp;W66&amp;", штраф "&amp;TEXT(X66,"0"),""),"Критичные и важные эффекты закрыты — выбор по роли и логам: "&amp;H66&amp;", "&amp;TEXT(I66,"0")&amp;"/100."&amp;IF(X66&gt;0," Повтор: спек "&amp;K66&amp;", класс "&amp;W66&amp;", штраф "&amp;TEXT(X66,"0"),"")))</f>
        <v>Критичные и важные эффекты закрыты — выбор по роли и логам: балл роли 2459; роль в логах не отделена, 45/100.</v>
      </c>
      <c r="W66">
        <f>SUMIF('РЕЙД-КОНСТРУКТОР'!$C$6:$C$30,A66,ТЕХ_Расчет!$B$2:$B$26)</f>
        <v>0</v>
      </c>
      <c r="X66">
        <f>IF('РЕЙД-КОНСТРУКТОР'!$R$2="Без ограничений",0,IF('РЕЙД-КОНСТРУКТОР'!$R$2="Умеренно",K66*25+W66*6,K66*55+W66*12))</f>
        <v>0</v>
      </c>
      <c r="Y66">
        <f>IF('РЕЙД-КОНСТРУКТОР'!$R$2="Без ограничений",1,IF(OR(K66&gt;='РЕЙД-КОНСТРУКТОР'!$T$2,W66&gt;='РЕЙД-КОНСТРУКТОР'!$V$2),0,1))</f>
        <v>1</v>
      </c>
      <c r="AA66">
        <f>IF('РЕЙД-КОНСТРУКТОР'!K6=0,1,0)</f>
        <v>1</v>
      </c>
      <c r="AB66">
        <f>IF('РЕЙД-КОНСТРУКТОР'!K7=0,1,0)</f>
        <v>1</v>
      </c>
      <c r="AC66">
        <f>IF('РЕЙД-КОНСТРУКТОР'!K8=0,1,0)</f>
        <v>1</v>
      </c>
      <c r="AD66">
        <f>IF('РЕЙД-КОНСТРУКТОР'!K9=0,1,0)</f>
        <v>1</v>
      </c>
      <c r="AE66">
        <f>IF('РЕЙД-КОНСТРУКТОР'!K10=0,1,0)</f>
        <v>1</v>
      </c>
      <c r="AF66">
        <f>IF('РЕЙД-КОНСТРУКТОР'!K11=0,1,0)</f>
        <v>1</v>
      </c>
      <c r="AG66">
        <f>IF('РЕЙД-КОНСТРУКТОР'!K12=0,1,0)</f>
        <v>1</v>
      </c>
      <c r="AH66">
        <f>IF('РЕЙД-КОНСТРУКТОР'!K13=0,1,0)</f>
        <v>1</v>
      </c>
      <c r="AI66">
        <f>IF('РЕЙД-КОНСТРУКТОР'!K14=0,1,0)</f>
        <v>1</v>
      </c>
      <c r="AJ66">
        <f>IF('РЕЙД-КОНСТРУКТОР'!K15=0,1,0)</f>
        <v>1</v>
      </c>
      <c r="AK66">
        <f>IF('РЕЙД-КОНСТРУКТОР'!K16=0,1,0)</f>
        <v>1</v>
      </c>
      <c r="AL66">
        <f>IF('РЕЙД-КОНСТРУКТОР'!K17=0,1,0)</f>
        <v>1</v>
      </c>
      <c r="AM66">
        <f>IF('РЕЙД-КОНСТРУКТОР'!K18=0,1,0)</f>
        <v>1</v>
      </c>
      <c r="AN66">
        <f>IF('РЕЙД-КОНСТРУКТОР'!K19=0,1,0)</f>
        <v>1</v>
      </c>
      <c r="AO66">
        <f>IF('РЕЙД-КОНСТРУКТОР'!K20=0,1,0)</f>
        <v>1</v>
      </c>
      <c r="AP66">
        <f>IF('РЕЙД-КОНСТРУКТОР'!K21=0,1,0)</f>
        <v>1</v>
      </c>
      <c r="AQ66">
        <f>IF('РЕЙД-КОНСТРУКТОР'!K22=0,1,0)</f>
        <v>1</v>
      </c>
      <c r="AR66">
        <f>IF('РЕЙД-КОНСТРУКТОР'!K23=0,1,0)</f>
        <v>1</v>
      </c>
      <c r="AS66">
        <f>IF('РЕЙД-КОНСТРУКТОР'!K24=0,1,0)</f>
        <v>1</v>
      </c>
      <c r="AT66">
        <f>IF('РЕЙД-КОНСТРУКТОР'!K25=0,1,0)</f>
        <v>1</v>
      </c>
      <c r="AU66">
        <f>IF('РЕЙД-КОНСТРУКТОР'!K26=0,1,0)</f>
        <v>1</v>
      </c>
      <c r="AV66">
        <f>IF('РЕЙД-КОНСТРУКТОР'!K27=0,1,0)</f>
        <v>1</v>
      </c>
      <c r="AW66">
        <f>IF('РЕЙД-КОНСТРУКТОР'!K28=0,1,0)</f>
        <v>1</v>
      </c>
      <c r="AX66">
        <f>IF('РЕЙД-КОНСТРУКТОР'!K29=0,1,0)</f>
        <v>1</v>
      </c>
      <c r="AY66">
        <f>IF('РЕЙД-КОНСТРУКТОР'!K30=0,1,0)</f>
        <v>1</v>
      </c>
      <c r="AZ66">
        <f>IF('РЕЙД-КОНСТРУКТОР'!K31=0,1,0)</f>
        <v>1</v>
      </c>
      <c r="BA66">
        <f>IF('РЕЙД-КОНСТРУКТОР'!K32=0,1,0)</f>
        <v>1</v>
      </c>
      <c r="BB66">
        <f>IF('РЕЙД-КОНСТРУКТОР'!K33=0,1,0)</f>
        <v>1</v>
      </c>
      <c r="BC66">
        <f>IF('РЕЙД-КОНСТРУКТОР'!K34=0,1,0)</f>
        <v>1</v>
      </c>
      <c r="BD66">
        <f>IF('РЕЙД-КОНСТРУКТОР'!K35=0,1,0)</f>
        <v>1</v>
      </c>
      <c r="BE66">
        <f>IF('РЕЙД-КОНСТРУКТОР'!K36=0,1,0)</f>
        <v>1</v>
      </c>
      <c r="BF66">
        <f>IF('РЕЙД-КОНСТРУКТОР'!K37=0,1,0)</f>
        <v>1</v>
      </c>
      <c r="BG66">
        <f>IF('РЕЙД-КОНСТРУКТОР'!K38=0,1,0)</f>
        <v>1</v>
      </c>
      <c r="BH66">
        <f>IF('РЕЙД-КОНСТРУКТОР'!K39=0,1,0)</f>
        <v>1</v>
      </c>
      <c r="BI66">
        <f>IF('РЕЙД-КОНСТРУКТОР'!K40=0,1,0)</f>
        <v>1</v>
      </c>
      <c r="BJ66">
        <f>IF('РЕЙД-КОНСТРУКТОР'!K41=0,1,0)</f>
        <v>1</v>
      </c>
      <c r="BK66">
        <f>IF('РЕЙД-КОНСТРУКТОР'!K42=0,1,0)</f>
        <v>1</v>
      </c>
      <c r="BL66">
        <f>IF('РЕЙД-КОНСТРУКТОР'!K43=0,1,0)</f>
        <v>1</v>
      </c>
      <c r="BM66">
        <f>IF('РЕЙД-КОНСТРУКТОР'!K44=0,1,0)</f>
        <v>1</v>
      </c>
      <c r="BN66">
        <f>IF('РЕЙД-КОНСТРУКТОР'!K45=0,1,0)</f>
        <v>1</v>
      </c>
      <c r="BO66">
        <f>IF('РЕЙД-КОНСТРУКТОР'!K46=0,1,0)</f>
        <v>1</v>
      </c>
      <c r="BP66">
        <f>IF('РЕЙД-КОНСТРУКТОР'!K47=0,1,0)</f>
        <v>1</v>
      </c>
      <c r="BQ66">
        <f>IF('РЕЙД-КОНСТРУКТОР'!K48=0,1,0)</f>
        <v>1</v>
      </c>
      <c r="BR66">
        <f>IF('РЕЙД-КОНСТРУКТОР'!K49=0,1,0)</f>
        <v>1</v>
      </c>
      <c r="BS66">
        <f>IF('РЕЙД-КОНСТРУКТОР'!K50=0,1,0)</f>
        <v>1</v>
      </c>
      <c r="BT66" t="str">
        <f>'РЕЙД-КОНСТРУКТОР'!J6</f>
        <v>10% Stats</v>
      </c>
      <c r="BU66" t="str">
        <f>'РЕЙД-КОНСТРУКТОР'!M6</f>
        <v>Критично</v>
      </c>
      <c r="BV66">
        <f>'СПРАВОЧНИК ЭФФЕКТОВ'!F4</f>
        <v>14</v>
      </c>
      <c r="BW66" t="str">
        <f>'СПРАВОЧНИК ЭФФЕКТОВ'!L4</f>
        <v>Cultist — любой спек; Runemaster — любой спек; Sun Cleric — любой спек; Templar — любой спек</v>
      </c>
      <c r="BX66">
        <f>IF('РЕЙД-КОНСТРУКТОР'!K6&gt;0,"",IF(BU66="Критично",3000,IF(BU66="Важно",2000,1000))+(100-MIN(BV66,99))+ROW()/100000)</f>
        <v>3086.0006600000002</v>
      </c>
    </row>
    <row r="67" spans="1:76">
      <c r="A67" t="s">
        <v>174</v>
      </c>
      <c r="B67" t="s">
        <v>180</v>
      </c>
      <c r="C67" t="s">
        <v>84</v>
      </c>
      <c r="D67" t="s">
        <v>652</v>
      </c>
      <c r="E67" t="s">
        <v>1873</v>
      </c>
      <c r="F67">
        <v>8</v>
      </c>
      <c r="G67" s="34">
        <v>0.2857142857142857</v>
      </c>
      <c r="H67" t="s">
        <v>1937</v>
      </c>
      <c r="I67" s="35">
        <v>45</v>
      </c>
      <c r="J67" s="31">
        <v>0.25</v>
      </c>
      <c r="K67">
        <f>SUMIF(ТЕХ_Расчет!$A$2:$A$26,D67,ТЕХ_Расчет!$B$2:$B$26)</f>
        <v>0</v>
      </c>
      <c r="L67">
        <f>SUMPRODUCT(ТЕХ_Списки!E17:AW17,$AA$2:$BS$2)</f>
        <v>0</v>
      </c>
      <c r="M67">
        <f>SUMPRODUCT(ТЕХ_Списки!E17:AW17,$AA$3:$BS$3)</f>
        <v>0</v>
      </c>
      <c r="N67">
        <f>SUMPRODUCT(ТЕХ_Списки!E17:AW17,$AA$4:$BS$4)</f>
        <v>0</v>
      </c>
      <c r="O67">
        <f>SUMPRODUCT(ТЕХ_Списки!E17:AW17,$AA$5:$BS$5)</f>
        <v>0</v>
      </c>
      <c r="P67">
        <f>M67*3+N67*2+O67</f>
        <v>0</v>
      </c>
      <c r="Q67">
        <f>IF(C67="Танк",'РЕЙД-КОНСТРУКТОР'!$R$30,IF(C67="Хилер",'РЕЙД-КОНСТРУКТОР'!$R$31,IF(C67="Саппорт",'РЕЙД-КОНСТРУКТОР'!$R$32,'РЕЙД-КОНСТРУКТОР'!$R$33)))</f>
        <v>2</v>
      </c>
      <c r="R67">
        <f>IF(C67="Танк",IF(Q67&gt;0,70,-150),IF(C67="Хилер",IF(Q67&gt;0,55,-120),IF(C67="Саппорт",IF(Q67&gt;0,50,-120),IF(Q67&gt;0,15,-120))))</f>
        <v>50</v>
      </c>
      <c r="S67" s="35">
        <f ca="1">IF(OR('РЕЙД-КОНСТРУКТОР'!$E$3&gt;='РЕЙД-КОНСТРУКТОР'!$R$3,AND('РЕЙД-КОНСТРУКТОР'!$C$3&lt;&gt;"Любая",'РЕЙД-КОНСТРУКТОР'!$C$3&lt;&gt;C67),Y67=0),-999,IF(SUM($AA$3:$BS$3)&gt;0,M67*45+N67*12+O67*2+I67*0.25+R67-X67,IF(SUM($AA$4:$BS$4)&gt;0,N67*25+O67*4+I67*0.5+R67-X67,I67+R67-K67*2-X67)))+0*'РЕЙД-КОНСТРУКТОР'!$N$52</f>
        <v>95</v>
      </c>
      <c r="T67">
        <f ca="1">IF(S67&lt;0,"",S67+ROW()/100000)</f>
        <v>95.00067</v>
      </c>
      <c r="U67" t="e">
        <f ca="1">ТЕХ_Расчет!K65</f>
        <v>#NAME?</v>
      </c>
      <c r="V67" t="str">
        <f>IF(SUM($AA$3:$BS$3)&gt;0,"Закрывает "&amp;M67&amp;" крит. и "&amp;N67&amp;" важных; "&amp;IF(Q67&gt;0,"роль нужна","роль уже заполнена")&amp;"; "&amp;H67&amp;", логи "&amp;TEXT(I67,"0")&amp;"/100. "&amp;IF(U67="—","","Эффекты: "&amp;U67)&amp;IF(X67&gt;0,"; повтор: спек "&amp;K67&amp;", класс "&amp;W67&amp;", штраф "&amp;TEXT(X67,"0"),""),IF(SUM($AA$4:$BS$4)&gt;0,"Критичные закрыты; закрывает "&amp;N67&amp;" важных; "&amp;IF(Q67&gt;0,"роль нужна","роль уже заполнена")&amp;"; "&amp;H67&amp;", логи "&amp;TEXT(I67,"0")&amp;"/100."&amp;IF(X67&gt;0," Повтор: спек "&amp;K67&amp;", класс "&amp;W67&amp;", штраф "&amp;TEXT(X67,"0"),""),"Критичные и важные эффекты закрыты — выбор по роли и логам: "&amp;H67&amp;", "&amp;TEXT(I67,"0")&amp;"/100."&amp;IF(X67&gt;0," Повтор: спек "&amp;K67&amp;", класс "&amp;W67&amp;", штраф "&amp;TEXT(X67,"0"),"")))</f>
        <v>Критичные и важные эффекты закрыты — выбор по роли и логам: балл роли 3366; роль в логах не отделена, 45/100.</v>
      </c>
      <c r="W67">
        <f>SUMIF('РЕЙД-КОНСТРУКТОР'!$C$6:$C$30,A67,ТЕХ_Расчет!$B$2:$B$26)</f>
        <v>0</v>
      </c>
      <c r="X67">
        <f>IF('РЕЙД-КОНСТРУКТОР'!$R$2="Без ограничений",0,IF('РЕЙД-КОНСТРУКТОР'!$R$2="Умеренно",K67*25+W67*6,K67*55+W67*12))</f>
        <v>0</v>
      </c>
      <c r="Y67">
        <f>IF('РЕЙД-КОНСТРУКТОР'!$R$2="Без ограничений",1,IF(OR(K67&gt;='РЕЙД-КОНСТРУКТОР'!$T$2,W67&gt;='РЕЙД-КОНСТРУКТОР'!$V$2),0,1))</f>
        <v>1</v>
      </c>
      <c r="BT67" t="str">
        <f>'РЕЙД-КОНСТРУКТОР'!J21</f>
        <v>3% Critical Strike (all)</v>
      </c>
      <c r="BU67" t="str">
        <f>'РЕЙД-КОНСТРУКТОР'!M21</f>
        <v>Критично</v>
      </c>
      <c r="BV67">
        <f>'СПРАВОЧНИК ЭФФЕКТОВ'!F19</f>
        <v>13</v>
      </c>
      <c r="BW67" t="str">
        <f>'СПРАВОЧНИК ЭФФЕКТОВ'!L19</f>
        <v>Barbarian — Headhunting; Bloodmage — Accursed; Chronomancer — Artificer; Felsworn — Infernal; + ещё 7 классов</v>
      </c>
      <c r="BX67">
        <f>IF('РЕЙД-КОНСТРУКТОР'!K21&gt;0,"",IF(BU67="Критично",3000,IF(BU67="Важно",2000,1000))+(100-MIN(BV67,99))+ROW()/100000)</f>
        <v>3087.0006699999999</v>
      </c>
    </row>
    <row r="68" spans="1:76">
      <c r="A68" t="s">
        <v>204</v>
      </c>
      <c r="B68" t="s">
        <v>210</v>
      </c>
      <c r="C68" t="s">
        <v>84</v>
      </c>
      <c r="D68" t="s">
        <v>662</v>
      </c>
      <c r="E68" t="s">
        <v>1873</v>
      </c>
      <c r="F68">
        <v>69</v>
      </c>
      <c r="G68" s="34">
        <v>0.7752808988764045</v>
      </c>
      <c r="H68" t="s">
        <v>1947</v>
      </c>
      <c r="I68" s="35">
        <v>45</v>
      </c>
      <c r="J68" s="31">
        <v>4.3478260869565216E-2</v>
      </c>
      <c r="K68">
        <f>SUMIF(ТЕХ_Расчет!$A$2:$A$26,D68,ТЕХ_Расчет!$B$2:$B$26)</f>
        <v>0</v>
      </c>
      <c r="L68">
        <f>SUMPRODUCT(ТЕХ_Списки!E27:AW27,$AA$2:$BS$2)</f>
        <v>0</v>
      </c>
      <c r="M68">
        <f>SUMPRODUCT(ТЕХ_Списки!E27:AW27,$AA$3:$BS$3)</f>
        <v>0</v>
      </c>
      <c r="N68">
        <f>SUMPRODUCT(ТЕХ_Списки!E27:AW27,$AA$4:$BS$4)</f>
        <v>0</v>
      </c>
      <c r="O68">
        <f>SUMPRODUCT(ТЕХ_Списки!E27:AW27,$AA$5:$BS$5)</f>
        <v>0</v>
      </c>
      <c r="P68">
        <f>M68*3+N68*2+O68</f>
        <v>0</v>
      </c>
      <c r="Q68">
        <f>IF(C68="Танк",'РЕЙД-КОНСТРУКТОР'!$R$30,IF(C68="Хилер",'РЕЙД-КОНСТРУКТОР'!$R$31,IF(C68="Саппорт",'РЕЙД-КОНСТРУКТОР'!$R$32,'РЕЙД-КОНСТРУКТОР'!$R$33)))</f>
        <v>2</v>
      </c>
      <c r="R68">
        <f>IF(C68="Танк",IF(Q68&gt;0,70,-150),IF(C68="Хилер",IF(Q68&gt;0,55,-120),IF(C68="Саппорт",IF(Q68&gt;0,50,-120),IF(Q68&gt;0,15,-120))))</f>
        <v>50</v>
      </c>
      <c r="S68" s="35">
        <f ca="1">IF(OR('РЕЙД-КОНСТРУКТОР'!$E$3&gt;='РЕЙД-КОНСТРУКТОР'!$R$3,AND('РЕЙД-КОНСТРУКТОР'!$C$3&lt;&gt;"Любая",'РЕЙД-КОНСТРУКТОР'!$C$3&lt;&gt;C68),Y68=0),-999,IF(SUM($AA$3:$BS$3)&gt;0,M68*45+N68*12+O68*2+I68*0.25+R68-X68,IF(SUM($AA$4:$BS$4)&gt;0,N68*25+O68*4+I68*0.5+R68-X68,I68+R68-K68*2-X68)))+0*'РЕЙД-КОНСТРУКТОР'!$N$52</f>
        <v>95</v>
      </c>
      <c r="T68">
        <f ca="1">IF(S68&lt;0,"",S68+ROW()/100000)</f>
        <v>95.000680000000003</v>
      </c>
      <c r="U68" t="e">
        <f ca="1">ТЕХ_Расчет!K75</f>
        <v>#NAME?</v>
      </c>
      <c r="V68" t="str">
        <f>IF(SUM($AA$3:$BS$3)&gt;0,"Закрывает "&amp;M68&amp;" крит. и "&amp;N68&amp;" важных; "&amp;IF(Q68&gt;0,"роль нужна","роль уже заполнена")&amp;"; "&amp;H68&amp;", логи "&amp;TEXT(I68,"0")&amp;"/100. "&amp;IF(U68="—","","Эффекты: "&amp;U68)&amp;IF(X68&gt;0,"; повтор: спек "&amp;K68&amp;", класс "&amp;W68&amp;", штраф "&amp;TEXT(X68,"0"),""),IF(SUM($AA$4:$BS$4)&gt;0,"Критичные закрыты; закрывает "&amp;N68&amp;" важных; "&amp;IF(Q68&gt;0,"роль нужна","роль уже заполнена")&amp;"; "&amp;H68&amp;", логи "&amp;TEXT(I68,"0")&amp;"/100."&amp;IF(X68&gt;0," Повтор: спек "&amp;K68&amp;", класс "&amp;W68&amp;", штраф "&amp;TEXT(X68,"0"),""),"Критичные и важные эффекты закрыты — выбор по роли и логам: "&amp;H68&amp;", "&amp;TEXT(I68,"0")&amp;"/100."&amp;IF(X68&gt;0," Повтор: спек "&amp;K68&amp;", класс "&amp;W68&amp;", штраф "&amp;TEXT(X68,"0"),"")))</f>
        <v>Критичные и важные эффекты закрыты — выбор по роли и логам: балл роли 2477; роль в логах не отделена, 45/100.</v>
      </c>
      <c r="W68">
        <f>SUMIF('РЕЙД-КОНСТРУКТОР'!$C$6:$C$30,A68,ТЕХ_Расчет!$B$2:$B$26)</f>
        <v>0</v>
      </c>
      <c r="X68">
        <f>IF('РЕЙД-КОНСТРУКТОР'!$R$2="Без ограничений",0,IF('РЕЙД-КОНСТРУКТОР'!$R$2="Умеренно",K68*25+W68*6,K68*55+W68*12))</f>
        <v>0</v>
      </c>
      <c r="Y68">
        <f>IF('РЕЙД-КОНСТРУКТОР'!$R$2="Без ограничений",1,IF(OR(K68&gt;='РЕЙД-КОНСТРУКТОР'!$T$2,W68&gt;='РЕЙД-КОНСТРУКТОР'!$V$2),0,1))</f>
        <v>1</v>
      </c>
      <c r="BT68" t="str">
        <f>'РЕЙД-КОНСТРУКТОР'!J31</f>
        <v>6% Healing Done</v>
      </c>
      <c r="BU68" t="str">
        <f>'РЕЙД-КОНСТРУКТОР'!M31</f>
        <v>Опционально</v>
      </c>
      <c r="BV68">
        <f>'СПРАВОЧНИК ЭФФЕКТОВ'!F29</f>
        <v>6</v>
      </c>
      <c r="BW68" t="str">
        <f>'СПРАВОЧНИК ЭФФЕКТОВ'!L29</f>
        <v>Bloodmage — Eternal; Primalist — Grovekeeper; Sun Cleric — Seraphim; Templar — Oathkeeper; + ещё 2 классов</v>
      </c>
      <c r="BX68">
        <f>IF('РЕЙД-КОНСТРУКТОР'!K31&gt;0,"",IF(BU68="Критично",3000,IF(BU68="Важно",2000,1000))+(100-MIN(BV68,99))+ROW()/100000)</f>
        <v>1094.0006800000001</v>
      </c>
    </row>
    <row r="69" spans="1:76">
      <c r="A69" t="s">
        <v>256</v>
      </c>
      <c r="B69" t="s">
        <v>264</v>
      </c>
      <c r="C69" t="s">
        <v>78</v>
      </c>
      <c r="D69" t="s">
        <v>681</v>
      </c>
      <c r="E69" t="s">
        <v>1874</v>
      </c>
      <c r="F69">
        <v>44</v>
      </c>
      <c r="G69" s="34">
        <v>0.6875</v>
      </c>
      <c r="H69" t="s">
        <v>1965</v>
      </c>
      <c r="I69" s="35">
        <v>43.12</v>
      </c>
      <c r="J69" s="31">
        <v>4.5454545454545456E-2</v>
      </c>
      <c r="K69">
        <f>SUMIF(ТЕХ_Расчет!$A$2:$A$26,D69,ТЕХ_Расчет!$B$2:$B$26)</f>
        <v>0</v>
      </c>
      <c r="L69">
        <f>SUMPRODUCT(ТЕХ_Списки!E46:AW46,$AA$2:$BS$2)</f>
        <v>0</v>
      </c>
      <c r="M69">
        <f>SUMPRODUCT(ТЕХ_Списки!E46:AW46,$AA$3:$BS$3)</f>
        <v>0</v>
      </c>
      <c r="N69">
        <f>SUMPRODUCT(ТЕХ_Списки!E46:AW46,$AA$4:$BS$4)</f>
        <v>0</v>
      </c>
      <c r="O69">
        <f>SUMPRODUCT(ТЕХ_Списки!E46:AW46,$AA$5:$BS$5)</f>
        <v>0</v>
      </c>
      <c r="P69">
        <f>M69*3+N69*2+O69</f>
        <v>0</v>
      </c>
      <c r="Q69">
        <f>IF(C69="Танк",'РЕЙД-КОНСТРУКТОР'!$R$30,IF(C69="Хилер",'РЕЙД-КОНСТРУКТОР'!$R$31,IF(C69="Саппорт",'РЕЙД-КОНСТРУКТОР'!$R$32,'РЕЙД-КОНСТРУКТОР'!$R$33)))</f>
        <v>2</v>
      </c>
      <c r="R69">
        <f>IF(C69="Танк",IF(Q69&gt;0,70,-150),IF(C69="Хилер",IF(Q69&gt;0,55,-120),IF(C69="Саппорт",IF(Q69&gt;0,50,-120),IF(Q69&gt;0,15,-120))))</f>
        <v>70</v>
      </c>
      <c r="S69" s="35">
        <f ca="1">IF(OR('РЕЙД-КОНСТРУКТОР'!$E$3&gt;='РЕЙД-КОНСТРУКТОР'!$R$3,AND('РЕЙД-КОНСТРУКТОР'!$C$3&lt;&gt;"Любая",'РЕЙД-КОНСТРУКТОР'!$C$3&lt;&gt;C69),Y69=0),-999,IF(SUM($AA$3:$BS$3)&gt;0,M69*45+N69*12+O69*2+I69*0.25+R69-X69,IF(SUM($AA$4:$BS$4)&gt;0,N69*25+O69*4+I69*0.5+R69-X69,I69+R69-K69*2-X69)))+0*'РЕЙД-КОНСТРУКТОР'!$N$52</f>
        <v>113.12</v>
      </c>
      <c r="T69">
        <f ca="1">IF(S69&lt;0,"",S69+ROW()/100000)</f>
        <v>113.12069000000001</v>
      </c>
      <c r="U69" t="e">
        <f ca="1">ТЕХ_Расчет!K94</f>
        <v>#NAME?</v>
      </c>
      <c r="V69" t="str">
        <f>IF(SUM($AA$3:$BS$3)&gt;0,"Закрывает "&amp;M69&amp;" крит. и "&amp;N69&amp;" важных; "&amp;IF(Q69&gt;0,"роль нужна","роль уже заполнена")&amp;"; "&amp;H69&amp;", логи "&amp;TEXT(I69,"0")&amp;"/100. "&amp;IF(U69="—","","Эффекты: "&amp;U69)&amp;IF(X69&gt;0,"; повтор: спек "&amp;K69&amp;", класс "&amp;W69&amp;", штраф "&amp;TEXT(X69,"0"),""),IF(SUM($AA$4:$BS$4)&gt;0,"Критичные закрыты; закрывает "&amp;N69&amp;" важных; "&amp;IF(Q69&gt;0,"роль нужна","роль уже заполнена")&amp;"; "&amp;H69&amp;", логи "&amp;TEXT(I69,"0")&amp;"/100."&amp;IF(X69&gt;0," Повтор: спек "&amp;K69&amp;", класс "&amp;W69&amp;", штраф "&amp;TEXT(X69,"0"),""),"Критичные и важные эффекты закрыты — выбор по роли и логам: "&amp;H69&amp;", "&amp;TEXT(I69,"0")&amp;"/100."&amp;IF(X69&gt;0," Повтор: спек "&amp;K69&amp;", класс "&amp;W69&amp;", штраф "&amp;TEXT(X69,"0"),"")))</f>
        <v>Критичные и важные эффекты закрыты — выбор по роли и логам: DTPS 734, 43/100.</v>
      </c>
      <c r="W69">
        <f>SUMIF('РЕЙД-КОНСТРУКТОР'!$C$6:$C$30,A69,ТЕХ_Расчет!$B$2:$B$26)</f>
        <v>0</v>
      </c>
      <c r="X69">
        <f>IF('РЕЙД-КОНСТРУКТОР'!$R$2="Без ограничений",0,IF('РЕЙД-КОНСТРУКТОР'!$R$2="Умеренно",K69*25+W69*6,K69*55+W69*12))</f>
        <v>0</v>
      </c>
      <c r="Y69">
        <f>IF('РЕЙД-КОНСТРУКТОР'!$R$2="Без ограничений",1,IF(OR(K69&gt;='РЕЙД-КОНСТРУКТОР'!$T$2,W69&gt;='РЕЙД-КОНСТРУКТОР'!$V$2),0,1))</f>
        <v>1</v>
      </c>
      <c r="BT69" t="str">
        <f>'РЕЙД-КОНСТРУКТОР'!J50</f>
        <v>Damage Done Reduction (5%)</v>
      </c>
      <c r="BU69" t="str">
        <f>'РЕЙД-КОНСТРУКТОР'!M50</f>
        <v>Критично</v>
      </c>
      <c r="BV69">
        <f>'СПРАВОЧНИК ЭФФЕКТОВ'!F48</f>
        <v>5</v>
      </c>
      <c r="BW69" t="str">
        <f>'СПРАВОЧНИК ЭФФЕКТОВ'!L48</f>
        <v>Felsworn — любой спек; Sun Cleric — Seraphim; Witch Hunter — Inquisition</v>
      </c>
      <c r="BX69">
        <f>IF('РЕЙД-КОНСТРУКТОР'!K50&gt;0,"",IF(BU69="Критично",3000,IF(BU69="Важно",2000,1000))+(100-MIN(BV69,99))+ROW()/100000)</f>
        <v>3095.0006899999998</v>
      </c>
    </row>
    <row r="70" spans="1:76">
      <c r="A70" t="s">
        <v>303</v>
      </c>
      <c r="B70" t="s">
        <v>304</v>
      </c>
      <c r="C70" t="s">
        <v>81</v>
      </c>
      <c r="D70" t="s">
        <v>694</v>
      </c>
      <c r="E70" t="s">
        <v>1872</v>
      </c>
      <c r="F70">
        <v>71</v>
      </c>
      <c r="G70" s="34">
        <v>0.78021978021978022</v>
      </c>
      <c r="H70" t="s">
        <v>1978</v>
      </c>
      <c r="I70" s="35">
        <v>42.2</v>
      </c>
      <c r="J70" s="31">
        <v>0.16901408450704225</v>
      </c>
      <c r="K70">
        <f>SUMIF(ТЕХ_Расчет!$A$2:$A$26,D70,ТЕХ_Расчет!$B$2:$B$26)</f>
        <v>0</v>
      </c>
      <c r="L70">
        <f>SUMPRODUCT(ТЕХ_Списки!E59:AW59,$AA$2:$BS$2)</f>
        <v>0</v>
      </c>
      <c r="M70">
        <f>SUMPRODUCT(ТЕХ_Списки!E59:AW59,$AA$3:$BS$3)</f>
        <v>0</v>
      </c>
      <c r="N70">
        <f>SUMPRODUCT(ТЕХ_Списки!E59:AW59,$AA$4:$BS$4)</f>
        <v>0</v>
      </c>
      <c r="O70">
        <f>SUMPRODUCT(ТЕХ_Списки!E59:AW59,$AA$5:$BS$5)</f>
        <v>0</v>
      </c>
      <c r="P70">
        <f>M70*3+N70*2+O70</f>
        <v>0</v>
      </c>
      <c r="Q70">
        <f>IF(C70="Танк",'РЕЙД-КОНСТРУКТОР'!$R$30,IF(C70="Хилер",'РЕЙД-КОНСТРУКТОР'!$R$31,IF(C70="Саппорт",'РЕЙД-КОНСТРУКТОР'!$R$32,'РЕЙД-КОНСТРУКТОР'!$R$33)))</f>
        <v>5</v>
      </c>
      <c r="R70">
        <f>IF(C70="Танк",IF(Q70&gt;0,70,-150),IF(C70="Хилер",IF(Q70&gt;0,55,-120),IF(C70="Саппорт",IF(Q70&gt;0,50,-120),IF(Q70&gt;0,15,-120))))</f>
        <v>55</v>
      </c>
      <c r="S70" s="35">
        <f ca="1">IF(OR('РЕЙД-КОНСТРУКТОР'!$E$3&gt;='РЕЙД-КОНСТРУКТОР'!$R$3,AND('РЕЙД-КОНСТРУКТОР'!$C$3&lt;&gt;"Любая",'РЕЙД-КОНСТРУКТОР'!$C$3&lt;&gt;C70),Y70=0),-999,IF(SUM($AA$3:$BS$3)&gt;0,M70*45+N70*12+O70*2+I70*0.25+R70-X70,IF(SUM($AA$4:$BS$4)&gt;0,N70*25+O70*4+I70*0.5+R70-X70,I70+R70-K70*2-X70)))+0*'РЕЙД-КОНСТРУКТОР'!$N$52</f>
        <v>97.2</v>
      </c>
      <c r="T70">
        <f ca="1">IF(S70&lt;0,"",S70+ROW()/100000)</f>
        <v>97.200699999999998</v>
      </c>
      <c r="U70" t="e">
        <f ca="1">ТЕХ_Расчет!K107</f>
        <v>#NAME?</v>
      </c>
      <c r="V70" t="str">
        <f>IF(SUM($AA$3:$BS$3)&gt;0,"Закрывает "&amp;M70&amp;" крит. и "&amp;N70&amp;" важных; "&amp;IF(Q70&gt;0,"роль нужна","роль уже заполнена")&amp;"; "&amp;H70&amp;", логи "&amp;TEXT(I70,"0")&amp;"/100. "&amp;IF(U70="—","","Эффекты: "&amp;U70)&amp;IF(X70&gt;0,"; повтор: спек "&amp;K70&amp;", класс "&amp;W70&amp;", штраф "&amp;TEXT(X70,"0"),""),IF(SUM($AA$4:$BS$4)&gt;0,"Критичные закрыты; закрывает "&amp;N70&amp;" важных; "&amp;IF(Q70&gt;0,"роль нужна","роль уже заполнена")&amp;"; "&amp;H70&amp;", логи "&amp;TEXT(I70,"0")&amp;"/100."&amp;IF(X70&gt;0," Повтор: спек "&amp;K70&amp;", класс "&amp;W70&amp;", штраф "&amp;TEXT(X70,"0"),""),"Критичные и важные эффекты закрыты — выбор по роли и логам: "&amp;H70&amp;", "&amp;TEXT(I70,"0")&amp;"/100."&amp;IF(X70&gt;0," Повтор: спек "&amp;K70&amp;", класс "&amp;W70&amp;", штраф "&amp;TEXT(X70,"0"),"")))</f>
        <v>Критичные и важные эффекты закрыты — выбор по роли и логам: HPS 544, 42/100.</v>
      </c>
      <c r="W70">
        <f>SUMIF('РЕЙД-КОНСТРУКТОР'!$C$6:$C$30,A70,ТЕХ_Расчет!$B$2:$B$26)</f>
        <v>0</v>
      </c>
      <c r="X70">
        <f>IF('РЕЙД-КОНСТРУКТОР'!$R$2="Без ограничений",0,IF('РЕЙД-КОНСТРУКТОР'!$R$2="Умеренно",K70*25+W70*6,K70*55+W70*12))</f>
        <v>0</v>
      </c>
      <c r="Y70">
        <f>IF('РЕЙД-КОНСТРУКТОР'!$R$2="Без ограничений",1,IF(OR(K70&gt;='РЕЙД-КОНСТРУКТОР'!$T$2,W70&gt;='РЕЙД-КОНСТРУКТОР'!$V$2),0,1))</f>
        <v>1</v>
      </c>
    </row>
    <row r="71" spans="1:76">
      <c r="A71" t="s">
        <v>244</v>
      </c>
      <c r="B71" t="s">
        <v>254</v>
      </c>
      <c r="C71" t="s">
        <v>84</v>
      </c>
      <c r="D71" t="s">
        <v>677</v>
      </c>
      <c r="E71" t="s">
        <v>1873</v>
      </c>
      <c r="F71">
        <v>207</v>
      </c>
      <c r="G71" s="34">
        <v>0.91189427312775329</v>
      </c>
      <c r="H71" t="s">
        <v>1961</v>
      </c>
      <c r="I71" s="35">
        <v>40.880000000000003</v>
      </c>
      <c r="J71" s="31">
        <v>2.4154589371980676E-2</v>
      </c>
      <c r="K71">
        <f>SUMIF(ТЕХ_Расчет!$A$2:$A$26,D71,ТЕХ_Расчет!$B$2:$B$26)</f>
        <v>0</v>
      </c>
      <c r="L71">
        <f>SUMPRODUCT(ТЕХ_Списки!E42:AW42,$AA$2:$BS$2)</f>
        <v>0</v>
      </c>
      <c r="M71">
        <f>SUMPRODUCT(ТЕХ_Списки!E42:AW42,$AA$3:$BS$3)</f>
        <v>0</v>
      </c>
      <c r="N71">
        <f>SUMPRODUCT(ТЕХ_Списки!E42:AW42,$AA$4:$BS$4)</f>
        <v>0</v>
      </c>
      <c r="O71">
        <f>SUMPRODUCT(ТЕХ_Списки!E42:AW42,$AA$5:$BS$5)</f>
        <v>0</v>
      </c>
      <c r="P71">
        <f>M71*3+N71*2+O71</f>
        <v>0</v>
      </c>
      <c r="Q71">
        <f>IF(C71="Танк",'РЕЙД-КОНСТРУКТОР'!$R$30,IF(C71="Хилер",'РЕЙД-КОНСТРУКТОР'!$R$31,IF(C71="Саппорт",'РЕЙД-КОНСТРУКТОР'!$R$32,'РЕЙД-КОНСТРУКТОР'!$R$33)))</f>
        <v>2</v>
      </c>
      <c r="R71">
        <f>IF(C71="Танк",IF(Q71&gt;0,70,-150),IF(C71="Хилер",IF(Q71&gt;0,55,-120),IF(C71="Саппорт",IF(Q71&gt;0,50,-120),IF(Q71&gt;0,15,-120))))</f>
        <v>50</v>
      </c>
      <c r="S71" s="35">
        <f ca="1">IF(OR('РЕЙД-КОНСТРУКТОР'!$E$3&gt;='РЕЙД-КОНСТРУКТОР'!$R$3,AND('РЕЙД-КОНСТРУКТОР'!$C$3&lt;&gt;"Любая",'РЕЙД-КОНСТРУКТОР'!$C$3&lt;&gt;C71),Y71=0),-999,IF(SUM($AA$3:$BS$3)&gt;0,M71*45+N71*12+O71*2+I71*0.25+R71-X71,IF(SUM($AA$4:$BS$4)&gt;0,N71*25+O71*4+I71*0.5+R71-X71,I71+R71-K71*2-X71)))+0*'РЕЙД-КОНСТРУКТОР'!$N$52</f>
        <v>90.88</v>
      </c>
      <c r="T71">
        <f ca="1">IF(S71&lt;0,"",S71+ROW()/100000)</f>
        <v>90.880709999999993</v>
      </c>
      <c r="U71" t="e">
        <f ca="1">ТЕХ_Расчет!K90</f>
        <v>#NAME?</v>
      </c>
      <c r="V71" t="str">
        <f>IF(SUM($AA$3:$BS$3)&gt;0,"Закрывает "&amp;M71&amp;" крит. и "&amp;N71&amp;" важных; "&amp;IF(Q71&gt;0,"роль нужна","роль уже заполнена")&amp;"; "&amp;H71&amp;", логи "&amp;TEXT(I71,"0")&amp;"/100. "&amp;IF(U71="—","","Эффекты: "&amp;U71)&amp;IF(X71&gt;0,"; повтор: спек "&amp;K71&amp;", класс "&amp;W71&amp;", штраф "&amp;TEXT(X71,"0"),""),IF(SUM($AA$4:$BS$4)&gt;0,"Критичные закрыты; закрывает "&amp;N71&amp;" важных; "&amp;IF(Q71&gt;0,"роль нужна","роль уже заполнена")&amp;"; "&amp;H71&amp;", логи "&amp;TEXT(I71,"0")&amp;"/100."&amp;IF(X71&gt;0," Повтор: спек "&amp;K71&amp;", класс "&amp;W71&amp;", штраф "&amp;TEXT(X71,"0"),""),"Критичные и важные эффекты закрыты — выбор по роли и логам: "&amp;H71&amp;", "&amp;TEXT(I71,"0")&amp;"/100."&amp;IF(X71&gt;0," Повтор: спек "&amp;K71&amp;", класс "&amp;W71&amp;", штраф "&amp;TEXT(X71,"0"),"")))</f>
        <v>Критичные и важные эффекты закрыты — выбор по роли и логам: балл роли 2146, 41/100.</v>
      </c>
      <c r="W71">
        <f>SUMIF('РЕЙД-КОНСТРУКТОР'!$C$6:$C$30,A71,ТЕХ_Расчет!$B$2:$B$26)</f>
        <v>0</v>
      </c>
      <c r="X71">
        <f>IF('РЕЙД-КОНСТРУКТОР'!$R$2="Без ограничений",0,IF('РЕЙД-КОНСТРУКТОР'!$R$2="Умеренно",K71*25+W71*6,K71*55+W71*12))</f>
        <v>0</v>
      </c>
      <c r="Y71">
        <f>IF('РЕЙД-КОНСТРУКТОР'!$R$2="Без ограничений",1,IF(OR(K71&gt;='РЕЙД-КОНСТРУКТОР'!$T$2,W71&gt;='РЕЙД-КОНСТРУКТОР'!$V$2),0,1))</f>
        <v>1</v>
      </c>
      <c r="BT71" t="str">
        <f>'РЕЙД-КОНСТРУКТОР'!J46</f>
        <v>Attack Speed Slow</v>
      </c>
      <c r="BU71" t="str">
        <f>'РЕЙД-КОНСТРУКТОР'!M46</f>
        <v>Критично</v>
      </c>
      <c r="BV71">
        <f>'СПРАВОЧНИК ЭФФЕКТОВ'!F44</f>
        <v>20</v>
      </c>
      <c r="BW71" t="str">
        <f>'СПРАВОЧНИК ЭФФЕКТОВ'!L44</f>
        <v>Necromancer — любой спек; Chronomancer — Artificer; Cultist — Dreadnought; Felsworn — Tyrant; + ещё 11 классов</v>
      </c>
      <c r="BX71">
        <f>IF('РЕЙД-КОНСТРУКТОР'!K46&gt;0,"",IF(BU71="Критично",3000,IF(BU71="Важно",2000,1000))+(100-MIN(BV71,99))+ROW()/100000)</f>
        <v>3080.0007099999998</v>
      </c>
    </row>
  </sheetData>
  <autoFilter ref="A1:BX71" xr:uid="{00000000-0001-0000-0E00-000000000000}"/>
  <conditionalFormatting sqref="I2:I71">
    <cfRule type="dataBar" priority="1">
      <dataBar>
        <cfvo type="min"/>
        <cfvo type="max"/>
        <color rgb="FF7C3AED"/>
      </dataBar>
    </cfRule>
    <cfRule type="dataBar" priority="3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{E599E93E-5DEA-185F-248E-9ED2C84CF8B4}</x14:id>
        </ext>
      </extLst>
    </cfRule>
  </conditionalFormatting>
  <conditionalFormatting sqref="S2:S71">
    <cfRule type="dataBar" priority="2">
      <dataBar>
        <cfvo type="min"/>
        <cfvo type="max"/>
        <color rgb="FF2563EB"/>
      </dataBar>
    </cfRule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{C0EC8DDA-320B-F725-C52B-E243AE3A253D}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99E93E-5DEA-185F-248E-9ED2C84CF8B4}">
            <x14:dataBar>
              <x14:cfvo type="min"/>
              <x14:cfvo type="max"/>
              <x14:negativeFillColor auto="1"/>
              <x14:axisColor auto="1"/>
            </x14:dataBar>
          </x14:cfRule>
          <xm:sqref>I2:I71</xm:sqref>
        </x14:conditionalFormatting>
        <x14:conditionalFormatting xmlns:xm="http://schemas.microsoft.com/office/excel/2006/main">
          <x14:cfRule type="dataBar" id="{C0EC8DDA-320B-F725-C52B-E243AE3A253D}">
            <x14:dataBar>
              <x14:cfvo type="min"/>
              <x14:cfvo type="max"/>
              <x14:negativeFillColor auto="1"/>
              <x14:axisColor auto="1"/>
            </x14:dataBar>
          </x14:cfRule>
          <xm:sqref>S2:S71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8"/>
  <sheetViews>
    <sheetView workbookViewId="0">
      <selection sqref="A1:N1"/>
    </sheetView>
  </sheetViews>
  <sheetFormatPr defaultRowHeight="14.25"/>
  <cols>
    <col min="1" max="1" width="12" customWidth="1"/>
    <col min="2" max="2" width="24" customWidth="1"/>
    <col min="3" max="4" width="10" customWidth="1"/>
    <col min="5" max="6" width="15" customWidth="1"/>
    <col min="7" max="10" width="10" customWidth="1"/>
    <col min="11" max="13" width="17" customWidth="1"/>
    <col min="14" max="14" width="32" customWidth="1"/>
  </cols>
  <sheetData>
    <row r="1" spans="1:14" ht="19.5">
      <c r="A1" s="133" t="s">
        <v>1991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>
      <c r="A2" s="134" t="s">
        <v>1992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4" spans="1:14" ht="30">
      <c r="A4" s="32" t="s">
        <v>1993</v>
      </c>
      <c r="B4" s="32" t="s">
        <v>1994</v>
      </c>
      <c r="C4" s="32" t="s">
        <v>1995</v>
      </c>
      <c r="D4" s="32" t="s">
        <v>1996</v>
      </c>
      <c r="E4" s="32" t="s">
        <v>1997</v>
      </c>
      <c r="F4" s="32" t="s">
        <v>1998</v>
      </c>
      <c r="G4" s="32" t="s">
        <v>1999</v>
      </c>
      <c r="H4" s="32" t="s">
        <v>2000</v>
      </c>
      <c r="I4" s="32" t="s">
        <v>2001</v>
      </c>
      <c r="J4" s="32" t="s">
        <v>87</v>
      </c>
      <c r="K4" s="32" t="s">
        <v>2002</v>
      </c>
      <c r="L4" s="32" t="s">
        <v>2003</v>
      </c>
      <c r="M4" s="32" t="s">
        <v>2004</v>
      </c>
      <c r="N4" s="32" t="s">
        <v>2005</v>
      </c>
    </row>
    <row r="5" spans="1:14">
      <c r="A5" s="14" t="s">
        <v>2006</v>
      </c>
      <c r="B5" s="14" t="s">
        <v>2007</v>
      </c>
      <c r="C5" s="14">
        <v>5</v>
      </c>
      <c r="D5" s="14">
        <v>3</v>
      </c>
      <c r="E5" s="38">
        <v>169.29</v>
      </c>
      <c r="F5" s="38">
        <v>206.68100000000001</v>
      </c>
      <c r="G5" s="14">
        <v>1</v>
      </c>
      <c r="H5" s="14">
        <v>4</v>
      </c>
      <c r="I5" s="14">
        <v>2</v>
      </c>
      <c r="J5" s="14">
        <v>18</v>
      </c>
      <c r="K5" s="14" t="s">
        <v>2008</v>
      </c>
      <c r="L5" s="14" t="s">
        <v>2009</v>
      </c>
      <c r="M5" s="14" t="s">
        <v>2008</v>
      </c>
      <c r="N5" s="14" t="s">
        <v>2010</v>
      </c>
    </row>
    <row r="6" spans="1:14">
      <c r="A6" s="14" t="s">
        <v>2006</v>
      </c>
      <c r="B6" s="14" t="s">
        <v>2011</v>
      </c>
      <c r="C6" s="14">
        <v>8</v>
      </c>
      <c r="D6" s="14">
        <v>3</v>
      </c>
      <c r="E6" s="38">
        <v>155.995</v>
      </c>
      <c r="F6" s="38">
        <v>234.1815</v>
      </c>
      <c r="G6" s="14">
        <v>2</v>
      </c>
      <c r="H6" s="14">
        <v>5</v>
      </c>
      <c r="I6" s="14">
        <v>0</v>
      </c>
      <c r="J6" s="14">
        <v>18</v>
      </c>
      <c r="K6" s="14" t="s">
        <v>2008</v>
      </c>
      <c r="L6" s="14" t="s">
        <v>2012</v>
      </c>
      <c r="M6" s="14" t="s">
        <v>2013</v>
      </c>
      <c r="N6" s="14" t="s">
        <v>2010</v>
      </c>
    </row>
    <row r="7" spans="1:14">
      <c r="A7" s="14" t="s">
        <v>2006</v>
      </c>
      <c r="B7" s="14" t="s">
        <v>2014</v>
      </c>
      <c r="C7" s="14">
        <v>12</v>
      </c>
      <c r="D7" s="14">
        <v>3</v>
      </c>
      <c r="E7" s="38">
        <v>134.273</v>
      </c>
      <c r="F7" s="38">
        <v>175.18899999999999</v>
      </c>
      <c r="G7" s="14">
        <v>2</v>
      </c>
      <c r="H7" s="14">
        <v>5</v>
      </c>
      <c r="I7" s="14">
        <v>1</v>
      </c>
      <c r="J7" s="14">
        <v>17</v>
      </c>
      <c r="K7" s="14" t="s">
        <v>2015</v>
      </c>
      <c r="L7" s="14" t="s">
        <v>2016</v>
      </c>
      <c r="M7" s="14" t="s">
        <v>2017</v>
      </c>
      <c r="N7" s="14" t="s">
        <v>2010</v>
      </c>
    </row>
    <row r="8" spans="1:14">
      <c r="A8" s="14" t="s">
        <v>2006</v>
      </c>
      <c r="B8" s="14" t="s">
        <v>2018</v>
      </c>
      <c r="C8" s="14">
        <v>17</v>
      </c>
      <c r="D8" s="14">
        <v>4</v>
      </c>
      <c r="E8" s="38">
        <v>293.88600000000002</v>
      </c>
      <c r="F8" s="38">
        <v>382.233</v>
      </c>
      <c r="G8" s="14">
        <v>2</v>
      </c>
      <c r="H8" s="14">
        <v>3</v>
      </c>
      <c r="I8" s="14">
        <v>2</v>
      </c>
      <c r="J8" s="14">
        <v>18</v>
      </c>
      <c r="K8" s="14" t="s">
        <v>2019</v>
      </c>
      <c r="L8" s="14" t="s">
        <v>2019</v>
      </c>
      <c r="M8" s="14" t="s">
        <v>2020</v>
      </c>
      <c r="N8" s="14" t="s">
        <v>2010</v>
      </c>
    </row>
    <row r="9" spans="1:14">
      <c r="A9" s="14" t="s">
        <v>2006</v>
      </c>
      <c r="B9" s="14" t="s">
        <v>2021</v>
      </c>
      <c r="C9" s="14">
        <v>4</v>
      </c>
      <c r="D9" s="14">
        <v>3</v>
      </c>
      <c r="E9" s="38">
        <v>255.8</v>
      </c>
      <c r="F9" s="38">
        <v>368.18050000000005</v>
      </c>
      <c r="G9" s="14">
        <v>2</v>
      </c>
      <c r="H9" s="14">
        <v>6</v>
      </c>
      <c r="I9" s="14">
        <v>0</v>
      </c>
      <c r="J9" s="14">
        <v>17</v>
      </c>
      <c r="K9" s="14" t="s">
        <v>2015</v>
      </c>
      <c r="L9" s="14" t="s">
        <v>2022</v>
      </c>
      <c r="M9" s="14" t="s">
        <v>2023</v>
      </c>
      <c r="N9" s="14" t="s">
        <v>2010</v>
      </c>
    </row>
    <row r="10" spans="1:14">
      <c r="A10" s="14" t="s">
        <v>2006</v>
      </c>
      <c r="B10" s="14" t="s">
        <v>2024</v>
      </c>
      <c r="C10" s="14">
        <v>5</v>
      </c>
      <c r="D10" s="14">
        <v>3</v>
      </c>
      <c r="E10" s="38">
        <v>78.968999999999994</v>
      </c>
      <c r="F10" s="38">
        <v>136.29</v>
      </c>
      <c r="G10" s="14">
        <v>2</v>
      </c>
      <c r="H10" s="14">
        <v>5</v>
      </c>
      <c r="I10" s="14">
        <v>0</v>
      </c>
      <c r="J10" s="14">
        <v>18</v>
      </c>
      <c r="K10" s="14" t="s">
        <v>2025</v>
      </c>
      <c r="L10" s="14" t="s">
        <v>2026</v>
      </c>
      <c r="M10" s="14" t="s">
        <v>2027</v>
      </c>
      <c r="N10" s="14" t="s">
        <v>2010</v>
      </c>
    </row>
    <row r="11" spans="1:14" ht="28.5">
      <c r="A11" s="14" t="s">
        <v>2006</v>
      </c>
      <c r="B11" s="14" t="s">
        <v>2028</v>
      </c>
      <c r="C11" s="14">
        <v>19</v>
      </c>
      <c r="D11" s="14">
        <v>19</v>
      </c>
      <c r="E11" s="38"/>
      <c r="F11" s="38"/>
      <c r="G11" s="14">
        <v>2</v>
      </c>
      <c r="H11" s="14">
        <v>4</v>
      </c>
      <c r="I11" s="14">
        <v>1</v>
      </c>
      <c r="J11" s="14">
        <v>18</v>
      </c>
      <c r="K11" s="14" t="s">
        <v>182</v>
      </c>
      <c r="L11" s="14" t="s">
        <v>182</v>
      </c>
      <c r="M11" s="14" t="s">
        <v>182</v>
      </c>
      <c r="N11" s="14" t="s">
        <v>2029</v>
      </c>
    </row>
    <row r="12" spans="1:14">
      <c r="A12" s="14" t="s">
        <v>2030</v>
      </c>
      <c r="B12" s="14" t="s">
        <v>2007</v>
      </c>
      <c r="C12" s="14">
        <v>43</v>
      </c>
      <c r="D12" s="14">
        <v>9</v>
      </c>
      <c r="E12" s="38">
        <v>117.253</v>
      </c>
      <c r="F12" s="38">
        <v>206.82900000000001</v>
      </c>
      <c r="G12" s="14">
        <v>1</v>
      </c>
      <c r="H12" s="14">
        <v>3</v>
      </c>
      <c r="I12" s="14">
        <v>2</v>
      </c>
      <c r="J12" s="14">
        <v>18</v>
      </c>
      <c r="K12" s="14" t="s">
        <v>2025</v>
      </c>
      <c r="L12" s="14" t="s">
        <v>2031</v>
      </c>
      <c r="M12" s="14" t="s">
        <v>2025</v>
      </c>
      <c r="N12" s="14" t="s">
        <v>2010</v>
      </c>
    </row>
    <row r="13" spans="1:14">
      <c r="A13" s="14" t="s">
        <v>2030</v>
      </c>
      <c r="B13" s="14" t="s">
        <v>2014</v>
      </c>
      <c r="C13" s="14">
        <v>46</v>
      </c>
      <c r="D13" s="14">
        <v>10</v>
      </c>
      <c r="E13" s="38">
        <v>126.934</v>
      </c>
      <c r="F13" s="38">
        <v>197.85750000000002</v>
      </c>
      <c r="G13" s="14">
        <v>2</v>
      </c>
      <c r="H13" s="14">
        <v>5</v>
      </c>
      <c r="I13" s="14">
        <v>1</v>
      </c>
      <c r="J13" s="14">
        <v>17</v>
      </c>
      <c r="K13" s="14" t="s">
        <v>2032</v>
      </c>
      <c r="L13" s="14" t="s">
        <v>2033</v>
      </c>
      <c r="M13" s="14" t="s">
        <v>2025</v>
      </c>
      <c r="N13" s="14" t="s">
        <v>2010</v>
      </c>
    </row>
    <row r="14" spans="1:14">
      <c r="A14" s="14" t="s">
        <v>2030</v>
      </c>
      <c r="B14" s="14" t="s">
        <v>2011</v>
      </c>
      <c r="C14" s="14">
        <v>54</v>
      </c>
      <c r="D14" s="14">
        <v>11</v>
      </c>
      <c r="E14" s="38">
        <v>87.84</v>
      </c>
      <c r="F14" s="38">
        <v>197.73050000000001</v>
      </c>
      <c r="G14" s="14">
        <v>1</v>
      </c>
      <c r="H14" s="14">
        <v>3</v>
      </c>
      <c r="I14" s="14">
        <v>2</v>
      </c>
      <c r="J14" s="14">
        <v>17</v>
      </c>
      <c r="K14" s="14" t="s">
        <v>2017</v>
      </c>
      <c r="L14" s="14" t="s">
        <v>2031</v>
      </c>
      <c r="M14" s="14" t="s">
        <v>2027</v>
      </c>
      <c r="N14" s="14" t="s">
        <v>2010</v>
      </c>
    </row>
    <row r="15" spans="1:14">
      <c r="A15" s="14" t="s">
        <v>2030</v>
      </c>
      <c r="B15" s="14" t="s">
        <v>2018</v>
      </c>
      <c r="C15" s="14">
        <v>51</v>
      </c>
      <c r="D15" s="14">
        <v>11</v>
      </c>
      <c r="E15" s="38">
        <v>217.35400000000001</v>
      </c>
      <c r="F15" s="38">
        <v>378.755</v>
      </c>
      <c r="G15" s="14">
        <v>2</v>
      </c>
      <c r="H15" s="14">
        <v>2</v>
      </c>
      <c r="I15" s="14">
        <v>2</v>
      </c>
      <c r="J15" s="14">
        <v>16</v>
      </c>
      <c r="K15" s="14" t="s">
        <v>2015</v>
      </c>
      <c r="L15" s="14" t="s">
        <v>2020</v>
      </c>
      <c r="M15" s="14" t="s">
        <v>2025</v>
      </c>
      <c r="N15" s="14" t="s">
        <v>2010</v>
      </c>
    </row>
    <row r="16" spans="1:14">
      <c r="A16" s="14" t="s">
        <v>2030</v>
      </c>
      <c r="B16" s="14" t="s">
        <v>2021</v>
      </c>
      <c r="C16" s="14">
        <v>37</v>
      </c>
      <c r="D16" s="14">
        <v>8</v>
      </c>
      <c r="E16" s="38">
        <v>199.98400000000001</v>
      </c>
      <c r="F16" s="38">
        <v>373.43599999999998</v>
      </c>
      <c r="G16" s="14">
        <v>2</v>
      </c>
      <c r="H16" s="14">
        <v>2</v>
      </c>
      <c r="I16" s="14">
        <v>2</v>
      </c>
      <c r="J16" s="14">
        <v>16</v>
      </c>
      <c r="K16" s="14" t="s">
        <v>2025</v>
      </c>
      <c r="L16" s="14" t="s">
        <v>2020</v>
      </c>
      <c r="M16" s="14" t="s">
        <v>2034</v>
      </c>
      <c r="N16" s="14" t="s">
        <v>2010</v>
      </c>
    </row>
    <row r="17" spans="1:14">
      <c r="A17" s="14" t="s">
        <v>2030</v>
      </c>
      <c r="B17" s="14" t="s">
        <v>2024</v>
      </c>
      <c r="C17" s="14">
        <v>32</v>
      </c>
      <c r="D17" s="14">
        <v>7</v>
      </c>
      <c r="E17" s="38">
        <v>60.738999999999997</v>
      </c>
      <c r="F17" s="38">
        <v>116.301</v>
      </c>
      <c r="G17" s="14">
        <v>1</v>
      </c>
      <c r="H17" s="14">
        <v>2</v>
      </c>
      <c r="I17" s="14">
        <v>2</v>
      </c>
      <c r="J17" s="14">
        <v>17</v>
      </c>
      <c r="K17" s="14" t="s">
        <v>2017</v>
      </c>
      <c r="L17" s="14" t="s">
        <v>2019</v>
      </c>
      <c r="M17" s="14" t="s">
        <v>2015</v>
      </c>
      <c r="N17" s="14" t="s">
        <v>2010</v>
      </c>
    </row>
    <row r="18" spans="1:14" ht="28.5">
      <c r="A18" s="14" t="s">
        <v>2030</v>
      </c>
      <c r="B18" s="14" t="s">
        <v>2028</v>
      </c>
      <c r="C18" s="14">
        <v>56</v>
      </c>
      <c r="D18" s="14">
        <v>56</v>
      </c>
      <c r="E18" s="38"/>
      <c r="F18" s="38"/>
      <c r="G18" s="14">
        <v>2</v>
      </c>
      <c r="H18" s="14">
        <v>3</v>
      </c>
      <c r="I18" s="14">
        <v>2</v>
      </c>
      <c r="J18" s="14">
        <v>17</v>
      </c>
      <c r="K18" s="14" t="s">
        <v>182</v>
      </c>
      <c r="L18" s="14" t="s">
        <v>182</v>
      </c>
      <c r="M18" s="14" t="s">
        <v>182</v>
      </c>
      <c r="N18" s="14" t="s">
        <v>2029</v>
      </c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РЕЙД-КОНСТРУКТОР</vt:lpstr>
      <vt:lpstr>СРАВНЕНИЕ СПЕКОВ</vt:lpstr>
      <vt:lpstr>КАТАЛОГ СПЕКОВ</vt:lpstr>
      <vt:lpstr>СПРАВОЧНИК ЭФФЕКТОВ</vt:lpstr>
      <vt:lpstr>ДАННЫЕ_Комбинации</vt:lpstr>
      <vt:lpstr>ДАННЫЕ_Источники</vt:lpstr>
      <vt:lpstr>Справка</vt:lpstr>
      <vt:lpstr>ТЕХ_Списки</vt:lpstr>
      <vt:lpstr>ТЕХ_Расчет</vt:lpstr>
      <vt:lpstr>ЛОГИ_Эффекты</vt:lpstr>
      <vt:lpstr>ЛОГИ_Пакеты</vt:lpstr>
      <vt:lpstr>ЛОГИ_Эксклюзивы</vt:lpstr>
      <vt:lpstr>ЛОГИ_Спеки</vt:lpstr>
      <vt:lpstr>ЛОГИ_Сводка</vt:lpstr>
      <vt:lpstr>ТЕХ_Подсказки</vt:lpstr>
      <vt:lpstr>ЛОГИ_Быстрые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Мурашев</cp:lastModifiedBy>
  <dcterms:modified xsi:type="dcterms:W3CDTF">2026-07-24T18:43:49Z</dcterms:modified>
</cp:coreProperties>
</file>